
<file path=[Content_Types].xml><?xml version="1.0" encoding="utf-8"?>
<Types xmlns="http://schemas.openxmlformats.org/package/2006/content-types">
  <Default Extension="bin" ContentType="application/vnd.openxmlformats-officedocument.spreadsheetml.customProperty"/>
  <Override PartName="/xl/printerSettings/printerSettings1.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ui1" Type="http://schemas.microsoft.com/office/2006/relationships/ui/extensibility" Target="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45" windowWidth="20115" windowHeight="9270" firstSheet="6" activeTab="10"/>
  </bookViews>
  <sheets>
    <sheet name="ResolverReservedData" sheetId="14" r:id="rId1"/>
    <sheet name="Ammonia Reconciliation Problem" sheetId="79" r:id="rId2"/>
    <sheet name="Test1 Problem" sheetId="1" r:id="rId3"/>
    <sheet name="DV-IDENTITY-0" sheetId="80" state="veryHidden" r:id="rId4"/>
    <sheet name="Large Nonlinear Problem" sheetId="114" r:id="rId5"/>
    <sheet name="Simple Linear Problem" sheetId="146" r:id="rId6"/>
    <sheet name="TestNL4 Problem" sheetId="150" r:id="rId7"/>
    <sheet name="Simple  Mass Volume Problem" sheetId="152" r:id="rId8"/>
    <sheet name="Reconciliation Report 1" sheetId="158" r:id="rId9"/>
    <sheet name="Reconciliation Report 2" sheetId="159" r:id="rId10"/>
    <sheet name="Bilinear" sheetId="156" r:id="rId11"/>
    <sheet name="Bilinear(raw)" sheetId="155" r:id="rId12"/>
  </sheets>
  <functionGroups>
    <functionGroup name="Reconciliation"/>
  </functionGroups>
  <externalReferences>
    <externalReference r:id="rId13"/>
  </externalReferences>
  <definedNames>
    <definedName name="_xx1">'TestNL4 Problem'!$I$7</definedName>
    <definedName name="_xx2">'TestNL4 Problem'!$I$5</definedName>
    <definedName name="_xx3">'TestNL4 Problem'!$I$8</definedName>
    <definedName name="_xx4">'TestNL4 Problem'!$I$6</definedName>
    <definedName name="_xx5">'TestNL4 Problem'!$I$4</definedName>
    <definedName name="_yy1">'TestNL4 Problem'!$I$3</definedName>
    <definedName name="_yy2">'TestNL4 Problem'!$I$9</definedName>
    <definedName name="_yy3">'TestNL4 Problem'!$I$10</definedName>
    <definedName name="abs_btm" localSheetId="5">'Simple Linear Problem'!$I$6</definedName>
    <definedName name="abs_btm">'Test1 Problem'!$I$6</definedName>
    <definedName name="abs_btm_dens">'Simple  Mass Volume Problem'!$Q$6</definedName>
    <definedName name="abs_btm_mass">'Simple  Mass Volume Problem'!$H$6</definedName>
    <definedName name="abs_btm_vol">'Simple  Mass Volume Problem'!$K$6</definedName>
    <definedName name="abs_ovhd" localSheetId="5">'Simple Linear Problem'!$I$9</definedName>
    <definedName name="abs_ovhd">'Test1 Problem'!$I$9</definedName>
    <definedName name="abs_ovhd_dens">'Simple  Mass Volume Problem'!$Q$9</definedName>
    <definedName name="abs_ovhd_mass">'Simple  Mass Volume Problem'!$H$9</definedName>
    <definedName name="abs_ovhd_vol">'Simple  Mass Volume Problem'!$K$9</definedName>
    <definedName name="acid_gas" localSheetId="5">'Simple Linear Problem'!$I$4</definedName>
    <definedName name="acid_gas">'Test1 Problem'!$I$4</definedName>
    <definedName name="acid_gas_dens">'Simple  Mass Volume Problem'!$Q$4</definedName>
    <definedName name="acid_gas_mass">'Simple  Mass Volume Problem'!$H$4</definedName>
    <definedName name="acid_gas_vol">'Simple  Mass Volume Problem'!$K$4</definedName>
    <definedName name="BOREWATER_Q" localSheetId="10">Bilinear!$C$151</definedName>
    <definedName name="bypass" localSheetId="5">'Simple Linear Problem'!$I$15</definedName>
    <definedName name="bypass">'Test1 Problem'!$I$15</definedName>
    <definedName name="bypass_dens">'Simple  Mass Volume Problem'!$Q$15</definedName>
    <definedName name="bypass_mass">'Simple  Mass Volume Problem'!$H$15</definedName>
    <definedName name="bypass_vol">'Simple  Mass Volume Problem'!$K$15</definedName>
    <definedName name="CCLASStreamConcThickenerFeedStream_Ag" localSheetId="4">'Large Nonlinear Problem'!$C$320</definedName>
    <definedName name="CCLASStreamConcThickenerFeedStream_Au" localSheetId="4">'Large Nonlinear Problem'!$C$319</definedName>
    <definedName name="CCLASStreamConcThickenerFeedStream_Cu" localSheetId="4">'Large Nonlinear Problem'!$C$317</definedName>
    <definedName name="CCLASStreamConcThickenerFeedStream_F" localSheetId="4">'Large Nonlinear Problem'!$C$323</definedName>
    <definedName name="CCLASStreamConcThickenerFeedStream_Fe" localSheetId="4">'Large Nonlinear Problem'!$C$318</definedName>
    <definedName name="CCLASStreamConcThickenerFeedStream_Mass" localSheetId="4">'Large Nonlinear Problem'!$C$316</definedName>
    <definedName name="CCLASStreamConcThickenerFeedStream_S" localSheetId="4">'Large Nonlinear Problem'!$C$321</definedName>
    <definedName name="CCLASStreamConcThickenerFeedStream_U" localSheetId="4">'Large Nonlinear Problem'!$C$322</definedName>
    <definedName name="CCLASStreamFlotationTailsStream_Ag" localSheetId="4">'Large Nonlinear Problem'!$C$328</definedName>
    <definedName name="CCLASStreamFlotationTailsStream_Au" localSheetId="4">'Large Nonlinear Problem'!$C$327</definedName>
    <definedName name="CCLASStreamFlotationTailsStream_Cu" localSheetId="4">'Large Nonlinear Problem'!$C$325</definedName>
    <definedName name="CCLASStreamFlotationTailsStream_F" localSheetId="4">'Large Nonlinear Problem'!$C$331</definedName>
    <definedName name="CCLASStreamFlotationTailsStream_Fe" localSheetId="4">'Large Nonlinear Problem'!$C$326</definedName>
    <definedName name="CCLASStreamFlotationTailsStream_Mass" localSheetId="4">'Large Nonlinear Problem'!$C$324</definedName>
    <definedName name="CCLASStreamFlotationTailsStream_S" localSheetId="4">'Large Nonlinear Problem'!$C$329</definedName>
    <definedName name="CCLASStreamFlotationTailsStream_U" localSheetId="4">'Large Nonlinear Problem'!$C$330</definedName>
    <definedName name="CCLASStreamRougherFeedStream_Ag" localSheetId="4">'Large Nonlinear Problem'!$C$336</definedName>
    <definedName name="CCLASStreamRougherFeedStream_Au" localSheetId="4">'Large Nonlinear Problem'!$C$335</definedName>
    <definedName name="CCLASStreamRougherFeedStream_Cu" localSheetId="4">'Large Nonlinear Problem'!$C$333</definedName>
    <definedName name="CCLASStreamRougherFeedStream_F" localSheetId="4">'Large Nonlinear Problem'!$C$339</definedName>
    <definedName name="CCLASStreamRougherFeedStream_Fe" localSheetId="4">'Large Nonlinear Problem'!$C$334</definedName>
    <definedName name="CCLASStreamRougherFeedStream_Mass" localSheetId="4">'Large Nonlinear Problem'!$C$332</definedName>
    <definedName name="CCLASStreamRougherFeedStream_S" localSheetId="4">'Large Nonlinear Problem'!$C$337</definedName>
    <definedName name="CCLASStreamRougherFeedStream_U" localSheetId="4">'Large Nonlinear Problem'!$C$338</definedName>
    <definedName name="ConcStorageTank1_close_Ag" localSheetId="4">'Large Nonlinear Problem'!$C$348</definedName>
    <definedName name="ConcStorageTank1_close_Au" localSheetId="4">'Large Nonlinear Problem'!$C$346</definedName>
    <definedName name="ConcStorageTank1_close_Cu" localSheetId="4">'Large Nonlinear Problem'!$C$342</definedName>
    <definedName name="ConcStorageTank1_close_F" localSheetId="4">'Large Nonlinear Problem'!$C$354</definedName>
    <definedName name="ConcStorageTank1_close_Fe" localSheetId="4">'Large Nonlinear Problem'!$C$344</definedName>
    <definedName name="ConcStorageTank1_close_Mass" localSheetId="4">'Large Nonlinear Problem'!$C$340</definedName>
    <definedName name="ConcStorageTank1_close_S" localSheetId="4">'Large Nonlinear Problem'!$C$350</definedName>
    <definedName name="ConcStorageTank1_close_U" localSheetId="4">'Large Nonlinear Problem'!$C$352</definedName>
    <definedName name="ConcStorageTank1_open_Ag" localSheetId="4">'Large Nonlinear Problem'!$C$349</definedName>
    <definedName name="ConcStorageTank1_open_Au" localSheetId="4">'Large Nonlinear Problem'!$C$347</definedName>
    <definedName name="ConcStorageTank1_open_Cu" localSheetId="4">'Large Nonlinear Problem'!$C$343</definedName>
    <definedName name="ConcStorageTank1_open_F" localSheetId="4">'Large Nonlinear Problem'!$C$355</definedName>
    <definedName name="ConcStorageTank1_open_Fe" localSheetId="4">'Large Nonlinear Problem'!$C$345</definedName>
    <definedName name="ConcStorageTank1_open_Mass" localSheetId="4">'Large Nonlinear Problem'!$C$341</definedName>
    <definedName name="ConcStorageTank1_open_S" localSheetId="4">'Large Nonlinear Problem'!$C$351</definedName>
    <definedName name="ConcStorageTank1_open_U" localSheetId="4">'Large Nonlinear Problem'!$C$353</definedName>
    <definedName name="ConcStorageTank1FeedStream_Ag" localSheetId="4">'Large Nonlinear Problem'!$C$360</definedName>
    <definedName name="ConcStorageTank1FeedStream_Au" localSheetId="4">'Large Nonlinear Problem'!$C$359</definedName>
    <definedName name="ConcStorageTank1FeedStream_Cu" localSheetId="4">'Large Nonlinear Problem'!$C$357</definedName>
    <definedName name="ConcStorageTank1FeedStream_F" localSheetId="4">'Large Nonlinear Problem'!$C$363</definedName>
    <definedName name="ConcStorageTank1FeedStream_Fe" localSheetId="4">'Large Nonlinear Problem'!$C$358</definedName>
    <definedName name="ConcStorageTank1FeedStream_Mass" localSheetId="4">'Large Nonlinear Problem'!$C$356</definedName>
    <definedName name="ConcStorageTank1FeedStream_S" localSheetId="4">'Large Nonlinear Problem'!$C$361</definedName>
    <definedName name="ConcStorageTank1FeedStream_U" localSheetId="4">'Large Nonlinear Problem'!$C$362</definedName>
    <definedName name="ConcStorageTank1UnderflowStream_Ag" localSheetId="4">'Large Nonlinear Problem'!$C$368</definedName>
    <definedName name="ConcStorageTank1UnderflowStream_Au" localSheetId="4">'Large Nonlinear Problem'!$C$367</definedName>
    <definedName name="ConcStorageTank1UnderflowStream_Cu" localSheetId="4">'Large Nonlinear Problem'!$C$365</definedName>
    <definedName name="ConcStorageTank1UnderflowStream_F" localSheetId="4">'Large Nonlinear Problem'!$C$371</definedName>
    <definedName name="ConcStorageTank1UnderflowStream_Fe" localSheetId="4">'Large Nonlinear Problem'!$C$366</definedName>
    <definedName name="ConcStorageTank1UnderflowStream_Mass" localSheetId="4">'Large Nonlinear Problem'!$C$364</definedName>
    <definedName name="ConcStorageTank1UnderflowStream_S" localSheetId="4">'Large Nonlinear Problem'!$C$369</definedName>
    <definedName name="ConcStorageTank1UnderflowStream_U" localSheetId="4">'Large Nonlinear Problem'!$C$370</definedName>
    <definedName name="ConcStorageTank2_close_Ag" localSheetId="4">'Large Nonlinear Problem'!$C$380</definedName>
    <definedName name="ConcStorageTank2_close_Au" localSheetId="4">'Large Nonlinear Problem'!$C$378</definedName>
    <definedName name="ConcStorageTank2_close_Cu" localSheetId="4">'Large Nonlinear Problem'!$C$374</definedName>
    <definedName name="ConcStorageTank2_close_F" localSheetId="4">'Large Nonlinear Problem'!$C$386</definedName>
    <definedName name="ConcStorageTank2_close_Fe" localSheetId="4">'Large Nonlinear Problem'!$C$376</definedName>
    <definedName name="ConcStorageTank2_close_Mass" localSheetId="4">'Large Nonlinear Problem'!$C$372</definedName>
    <definedName name="ConcStorageTank2_close_S" localSheetId="4">'Large Nonlinear Problem'!$C$382</definedName>
    <definedName name="ConcStorageTank2_close_U" localSheetId="4">'Large Nonlinear Problem'!$C$384</definedName>
    <definedName name="ConcStorageTank2_open_Ag" localSheetId="4">'Large Nonlinear Problem'!$C$381</definedName>
    <definedName name="ConcStorageTank2_open_Au" localSheetId="4">'Large Nonlinear Problem'!$C$379</definedName>
    <definedName name="ConcStorageTank2_open_Cu" localSheetId="4">'Large Nonlinear Problem'!$C$375</definedName>
    <definedName name="ConcStorageTank2_open_F" localSheetId="4">'Large Nonlinear Problem'!$C$387</definedName>
    <definedName name="ConcStorageTank2_open_Fe" localSheetId="4">'Large Nonlinear Problem'!$C$377</definedName>
    <definedName name="ConcStorageTank2_open_Mass" localSheetId="4">'Large Nonlinear Problem'!$C$373</definedName>
    <definedName name="ConcStorageTank2_open_S" localSheetId="4">'Large Nonlinear Problem'!$C$383</definedName>
    <definedName name="ConcStorageTank2_open_U" localSheetId="4">'Large Nonlinear Problem'!$C$385</definedName>
    <definedName name="ConcStorageTank2FeedStream_Ag" localSheetId="4">'Large Nonlinear Problem'!$C$392</definedName>
    <definedName name="ConcStorageTank2FeedStream_Au" localSheetId="4">'Large Nonlinear Problem'!$C$391</definedName>
    <definedName name="ConcStorageTank2FeedStream_Cu" localSheetId="4">'Large Nonlinear Problem'!$C$389</definedName>
    <definedName name="ConcStorageTank2FeedStream_F" localSheetId="4">'Large Nonlinear Problem'!$C$395</definedName>
    <definedName name="ConcStorageTank2FeedStream_Fe" localSheetId="4">'Large Nonlinear Problem'!$C$390</definedName>
    <definedName name="ConcStorageTank2FeedStream_Mass" localSheetId="4">'Large Nonlinear Problem'!$C$388</definedName>
    <definedName name="ConcStorageTank2FeedStream_S" localSheetId="4">'Large Nonlinear Problem'!$C$393</definedName>
    <definedName name="ConcStorageTank2FeedStream_U" localSheetId="4">'Large Nonlinear Problem'!$C$394</definedName>
    <definedName name="ConcStorageTank2UnderflowStream_Ag" localSheetId="4">'Large Nonlinear Problem'!$C$400</definedName>
    <definedName name="ConcStorageTank2UnderflowStream_Au" localSheetId="4">'Large Nonlinear Problem'!$C$399</definedName>
    <definedName name="ConcStorageTank2UnderflowStream_Cu" localSheetId="4">'Large Nonlinear Problem'!$C$397</definedName>
    <definedName name="ConcStorageTank2UnderflowStream_F" localSheetId="4">'Large Nonlinear Problem'!$C$403</definedName>
    <definedName name="ConcStorageTank2UnderflowStream_Fe" localSheetId="4">'Large Nonlinear Problem'!$C$398</definedName>
    <definedName name="ConcStorageTank2UnderflowStream_Mass" localSheetId="4">'Large Nonlinear Problem'!$C$396</definedName>
    <definedName name="ConcStorageTank2UnderflowStream_S" localSheetId="4">'Large Nonlinear Problem'!$C$401</definedName>
    <definedName name="ConcStorageTank2UnderflowStream_U" localSheetId="4">'Large Nonlinear Problem'!$C$402</definedName>
    <definedName name="ConcThickener_close_Ag" localSheetId="4">'Large Nonlinear Problem'!$C$412</definedName>
    <definedName name="ConcThickener_close_Au" localSheetId="4">'Large Nonlinear Problem'!$C$410</definedName>
    <definedName name="ConcThickener_close_Cu" localSheetId="4">'Large Nonlinear Problem'!$C$406</definedName>
    <definedName name="ConcThickener_close_F" localSheetId="4">'Large Nonlinear Problem'!$C$418</definedName>
    <definedName name="ConcThickener_close_Fe" localSheetId="4">'Large Nonlinear Problem'!$C$408</definedName>
    <definedName name="ConcThickener_close_Mass" localSheetId="4">'Large Nonlinear Problem'!$C$404</definedName>
    <definedName name="ConcThickener_close_S" localSheetId="4">'Large Nonlinear Problem'!$C$414</definedName>
    <definedName name="ConcThickener_close_U" localSheetId="4">'Large Nonlinear Problem'!$C$416</definedName>
    <definedName name="ConcThickener_open_Ag" localSheetId="4">'Large Nonlinear Problem'!$C$413</definedName>
    <definedName name="ConcThickener_open_Au" localSheetId="4">'Large Nonlinear Problem'!$C$411</definedName>
    <definedName name="ConcThickener_open_Cu" localSheetId="4">'Large Nonlinear Problem'!$C$407</definedName>
    <definedName name="ConcThickener_open_F" localSheetId="4">'Large Nonlinear Problem'!$C$419</definedName>
    <definedName name="ConcThickener_open_Fe" localSheetId="4">'Large Nonlinear Problem'!$C$409</definedName>
    <definedName name="ConcThickener_open_Mass" localSheetId="4">'Large Nonlinear Problem'!$C$405</definedName>
    <definedName name="ConcThickener_open_S" localSheetId="4">'Large Nonlinear Problem'!$C$415</definedName>
    <definedName name="ConcThickener_open_U" localSheetId="4">'Large Nonlinear Problem'!$C$417</definedName>
    <definedName name="ConcThickenerUnderflowStream_Ag" localSheetId="4">'Large Nonlinear Problem'!$C$424</definedName>
    <definedName name="ConcThickenerUnderflowStream_Au" localSheetId="4">'Large Nonlinear Problem'!$C$423</definedName>
    <definedName name="ConcThickenerUnderflowStream_Cu" localSheetId="4">'Large Nonlinear Problem'!$C$421</definedName>
    <definedName name="ConcThickenerUnderflowStream_F" localSheetId="4">'Large Nonlinear Problem'!$C$427</definedName>
    <definedName name="ConcThickenerUnderflowStream_Fe" localSheetId="4">'Large Nonlinear Problem'!$C$422</definedName>
    <definedName name="ConcThickenerUnderflowStream_Mass" localSheetId="4">'Large Nonlinear Problem'!$C$420</definedName>
    <definedName name="ConcThickenerUnderflowStream_S" localSheetId="4">'Large Nonlinear Problem'!$C$425</definedName>
    <definedName name="ConcThickenerUnderflowStream_U" localSheetId="4">'Large Nonlinear Problem'!$C$426</definedName>
    <definedName name="CONCTHK_OVERFLOW_Q" localSheetId="10">Bilinear!$C$182</definedName>
    <definedName name="CONCTHK_TK23_CF" localSheetId="10">Bilinear!$C$183</definedName>
    <definedName name="CONCTHK_TK23_Q" localSheetId="10">Bilinear!$C$184</definedName>
    <definedName name="CONCTHK_TK23_WF" localSheetId="10">Bilinear!$C$185</definedName>
    <definedName name="CONCTHK_TK24_CF" localSheetId="10">Bilinear!$C$186</definedName>
    <definedName name="CONCTHK_TK24_Q" localSheetId="10">Bilinear!$C$187</definedName>
    <definedName name="CONCTHK_TK24_WF" localSheetId="10">Bilinear!$C$188</definedName>
    <definedName name="CONCTHK_TK25_CF" localSheetId="10">Bilinear!$C$189</definedName>
    <definedName name="CONCTHK_TK25_Q" localSheetId="10">Bilinear!$C$190</definedName>
    <definedName name="CONCTHK_TK25_WF" localSheetId="10">Bilinear!$C$191</definedName>
    <definedName name="CONCTHK_TK26_CF" localSheetId="10">Bilinear!$C$192</definedName>
    <definedName name="CONCTHK_TK26_Q" localSheetId="10">Bilinear!$C$193</definedName>
    <definedName name="CONCTHK_TK26_WF" localSheetId="10">Bilinear!$C$194</definedName>
    <definedName name="CONCTHK_TKC_CF" localSheetId="10">Bilinear!$C$195</definedName>
    <definedName name="CONCTHK_TKC_Q" localSheetId="10">Bilinear!$C$196</definedName>
    <definedName name="CONCTHK_TKC_WF" localSheetId="10">Bilinear!$C$197</definedName>
    <definedName name="CONCTHK1_OVERFLOW_Q" localSheetId="10">Bilinear!$C$152</definedName>
    <definedName name="CONCTHK2_OVERFLOW_Q" localSheetId="10">Bilinear!$C$181</definedName>
    <definedName name="CONCTHK21_CLOSE_CF" localSheetId="10">Bilinear!$C$153</definedName>
    <definedName name="CONCTHK21_CLOSE_Q" localSheetId="10">Bilinear!$C$154</definedName>
    <definedName name="CONCTHK21_CLOSE_WF" localSheetId="10">Bilinear!$C$155</definedName>
    <definedName name="CONCTHK21_OPEN_CF" localSheetId="10">Bilinear!$C$156</definedName>
    <definedName name="CONCTHK21_OPEN_Q" localSheetId="10">Bilinear!$C$157</definedName>
    <definedName name="CONCTHK21_OPEN_WF" localSheetId="10">Bilinear!$C$158</definedName>
    <definedName name="CONCTHK21_PP51_CF" localSheetId="10">Bilinear!$C$159</definedName>
    <definedName name="CONCTHK21_PP51_Q" localSheetId="10">Bilinear!$C$160</definedName>
    <definedName name="CONCTHK21_PP51_WF" localSheetId="10">Bilinear!$C$161</definedName>
    <definedName name="CONCTHK21_PP52_CF" localSheetId="10">Bilinear!$C$162</definedName>
    <definedName name="CONCTHK21_PP52_Q" localSheetId="10">Bilinear!$C$163</definedName>
    <definedName name="CONCTHK21_PP52_WF" localSheetId="10">Bilinear!$C$164</definedName>
    <definedName name="CONCTHK21_TOTVOL_CLOSE_Q" localSheetId="10">Bilinear!$C$165</definedName>
    <definedName name="CONCTHK21_TOTVOL_OPEN_Q" localSheetId="10">Bilinear!$C$166</definedName>
    <definedName name="CONCTHK22_CLOSE_CF" localSheetId="10">Bilinear!$C$167</definedName>
    <definedName name="CONCTHK22_CLOSE_Q" localSheetId="10">Bilinear!$C$168</definedName>
    <definedName name="CONCTHK22_CLOSE_WF" localSheetId="10">Bilinear!$C$169</definedName>
    <definedName name="CONCTHK22_OPEN_CF" localSheetId="10">Bilinear!$C$170</definedName>
    <definedName name="CONCTHK22_OPEN_Q" localSheetId="10">Bilinear!$C$171</definedName>
    <definedName name="CONCTHK22_OPEN_WF" localSheetId="10">Bilinear!$C$172</definedName>
    <definedName name="CONCTHK22_PP53_CF" localSheetId="10">Bilinear!$C$173</definedName>
    <definedName name="CONCTHK22_PP53_Q" localSheetId="10">Bilinear!$C$174</definedName>
    <definedName name="CONCTHK22_PP53_WF" localSheetId="10">Bilinear!$C$175</definedName>
    <definedName name="CONCTHK22_PP54_CF" localSheetId="10">Bilinear!$C$176</definedName>
    <definedName name="CONCTHK22_PP54_Q" localSheetId="10">Bilinear!$C$177</definedName>
    <definedName name="CONCTHK22_PP54_WF" localSheetId="10">Bilinear!$C$178</definedName>
    <definedName name="CONCTHK22_TOTVOL_CLOSE_Q" localSheetId="10">Bilinear!$C$179</definedName>
    <definedName name="CONCTHK22_TOTVOL_OPEN_Q" localSheetId="10">Bilinear!$C$180</definedName>
    <definedName name="condensate" localSheetId="5">'Simple Linear Problem'!$I$14</definedName>
    <definedName name="condensate">'Test1 Problem'!$I$14</definedName>
    <definedName name="condensate_dens">'Simple  Mass Volume Problem'!$Q$14</definedName>
    <definedName name="condensate_mass">'Simple  Mass Volume Problem'!$H$14</definedName>
    <definedName name="condensate_vol">'Simple  Mass Volume Problem'!$K$14</definedName>
    <definedName name="CrushedOreStream_Ag" localSheetId="4">'Large Nonlinear Problem'!$C$513</definedName>
    <definedName name="CrushedOreStream_Au" localSheetId="4">'Large Nonlinear Problem'!$C$512</definedName>
    <definedName name="CrushedOreStream_Cu" localSheetId="4">'Large Nonlinear Problem'!$C$510</definedName>
    <definedName name="CrushedOreStream_F" localSheetId="4">'Large Nonlinear Problem'!$C$516</definedName>
    <definedName name="CrushedOreStream_Fe" localSheetId="4">'Large Nonlinear Problem'!$C$511</definedName>
    <definedName name="CrushedOreStream_S" localSheetId="4">'Large Nonlinear Problem'!$C$514</definedName>
    <definedName name="CrushedOreStream_U" localSheetId="4">'Large Nonlinear Problem'!$C$515</definedName>
    <definedName name="D_4_Feed" localSheetId="7">'Simple  Mass Volume Problem'!$C$4</definedName>
    <definedName name="D_4_Feed" localSheetId="5">'Simple Linear Problem'!$C$4</definedName>
    <definedName name="D_4_Feed">'Test1 Problem'!$C$4</definedName>
    <definedName name="D_4_Product" localSheetId="7">'Simple  Mass Volume Problem'!$E$4</definedName>
    <definedName name="D_4_Product" localSheetId="5">'Simple Linear Problem'!$E$4</definedName>
    <definedName name="D_4_Product">'Test1 Problem'!$E$4</definedName>
    <definedName name="D_7_Feed" localSheetId="7">'Simple  Mass Volume Problem'!$C$9</definedName>
    <definedName name="D_7_Feed" localSheetId="5">'Simple Linear Problem'!$C$9</definedName>
    <definedName name="D_7_Feed">'Test1 Problem'!$C$9</definedName>
    <definedName name="D_7_Product" localSheetId="7">'Simple  Mass Volume Problem'!$E$9</definedName>
    <definedName name="D_7_Product" localSheetId="5">'Simple Linear Problem'!$E$9</definedName>
    <definedName name="D_7_Product">'Test1 Problem'!$E$9</definedName>
    <definedName name="DI101_CONCTHK21_CF" localSheetId="10">Bilinear!$C$198</definedName>
    <definedName name="DI101_CONCTHK21_Q" localSheetId="10">Bilinear!$C$199</definedName>
    <definedName name="DI101_CONCTHK21_WF" localSheetId="10">Bilinear!$C$200</definedName>
    <definedName name="DI101_CONCTHK22_CF" localSheetId="10">Bilinear!$C$201</definedName>
    <definedName name="DI101_CONCTHK22_Q" localSheetId="10">Bilinear!$C$202</definedName>
    <definedName name="DI101_CONCTHK22_WF" localSheetId="10">Bilinear!$C$203</definedName>
    <definedName name="DI101_TOTAL_CF" localSheetId="10">Bilinear!$C$204</definedName>
    <definedName name="DI101_TOTAL_Q" localSheetId="10">Bilinear!$C$205</definedName>
    <definedName name="DI101_TOTAL_WF" localSheetId="10">Bilinear!$C$206</definedName>
    <definedName name="DI150_TAILTHK6_CF" localSheetId="10">Bilinear!$C$207</definedName>
    <definedName name="DI150_TAILTHK6_Q" localSheetId="10">Bilinear!$C$208</definedName>
    <definedName name="DI150_TAILTHK6_WF" localSheetId="10">Bilinear!$C$209</definedName>
    <definedName name="DI150_TAILTHK7_CF" localSheetId="10">Bilinear!$C$210</definedName>
    <definedName name="DI150_TAILTHK7_Q" localSheetId="10">Bilinear!$C$211</definedName>
    <definedName name="DI150_TAILTHK7_WF" localSheetId="10">Bilinear!$C$212</definedName>
    <definedName name="DI150_TAILTHK8_CF" localSheetId="10">Bilinear!$C$213</definedName>
    <definedName name="DI150_TAILTHK8_Q" localSheetId="10">Bilinear!$C$214</definedName>
    <definedName name="DI150_TAILTHK8_WF" localSheetId="10">Bilinear!$C$215</definedName>
    <definedName name="fat_oil" localSheetId="5">'Simple Linear Problem'!$I$10</definedName>
    <definedName name="fat_oil">'Test1 Problem'!$I$10</definedName>
    <definedName name="fat_oil_dens">'Simple  Mass Volume Problem'!$Q$10</definedName>
    <definedName name="fat_oil_mass">'Simple  Mass Volume Problem'!$H$10</definedName>
    <definedName name="fat_oil_vol">'Simple  Mass Volume Problem'!$K$10</definedName>
    <definedName name="FEED_CF" localSheetId="10">Bilinear!$C$216</definedName>
    <definedName name="FEED_Q" localSheetId="10">Bilinear!$C$217</definedName>
    <definedName name="FEED_WF" localSheetId="10">Bilinear!$C$218</definedName>
    <definedName name="FINALCONC_CF" localSheetId="10">Bilinear!$C$219</definedName>
    <definedName name="FINALCONC_Q" localSheetId="10">Bilinear!$C$220</definedName>
    <definedName name="FINALCONC_WF" localSheetId="10">Bilinear!$C$221</definedName>
    <definedName name="fuel_gas" localSheetId="5">'Simple Linear Problem'!$I$13</definedName>
    <definedName name="fuel_gas">'Test1 Problem'!$I$13</definedName>
    <definedName name="fuel_gas_dens">'Simple  Mass Volume Problem'!$Q$13</definedName>
    <definedName name="fuel_gas_mass">'Simple  Mass Volume Problem'!$H$13</definedName>
    <definedName name="fuel_gas_vol">'Simple  Mass Volume Problem'!$K$13</definedName>
    <definedName name="H2O_RECOVERED_Q" localSheetId="10">Bilinear!$C$230</definedName>
    <definedName name="H2ODISCHARGE_Q" localSheetId="10">Bilinear!$C$222</definedName>
    <definedName name="H2OFRESH_TK83_Q" localSheetId="10">Bilinear!$C$223</definedName>
    <definedName name="H2OPROCESSTOTAL_Q" localSheetId="10">Bilinear!$C$224</definedName>
    <definedName name="H2OSEAL_1CLN_Q" localSheetId="10">Bilinear!$C$225</definedName>
    <definedName name="H2OSEAL_DI30_Q" localSheetId="10">Bilinear!$C$226</definedName>
    <definedName name="H2OSEAL_Q" localSheetId="10">Bilinear!$C$227</definedName>
    <definedName name="H2OSEAL_REM_1_Q" localSheetId="10">Bilinear!$C$228</definedName>
    <definedName name="H2OSEAL_REM_2_Q" localSheetId="10">Bilinear!$C$229</definedName>
    <definedName name="J_4_Feed" localSheetId="7">'Simple  Mass Volume Problem'!$C$5</definedName>
    <definedName name="J_4_Feed" localSheetId="5">'Simple Linear Problem'!$C$5</definedName>
    <definedName name="J_4_Feed">'Test1 Problem'!$C$5</definedName>
    <definedName name="J_4_Product" localSheetId="7">'Simple  Mass Volume Problem'!$E$5</definedName>
    <definedName name="J_4_Product" localSheetId="5">'Simple Linear Problem'!$E$5</definedName>
    <definedName name="J_4_Product">'Test1 Problem'!$E$5</definedName>
    <definedName name="J_6_Feed" localSheetId="7">'Simple  Mass Volume Problem'!$C$6</definedName>
    <definedName name="J_6_Feed" localSheetId="5">'Simple Linear Problem'!$C$6</definedName>
    <definedName name="J_6_Feed">'Test1 Problem'!$C$6</definedName>
    <definedName name="J_6_Product" localSheetId="7">'Simple  Mass Volume Problem'!$E$6</definedName>
    <definedName name="J_6_Product" localSheetId="5">'Simple Linear Problem'!$E$6</definedName>
    <definedName name="J_6_Product">'Test1 Problem'!$E$6</definedName>
    <definedName name="lean_oil" localSheetId="5">'Simple Linear Problem'!$I$8</definedName>
    <definedName name="lean_oil">'Test1 Problem'!$I$8</definedName>
    <definedName name="lean_oil_dens">'Simple  Mass Volume Problem'!$Q$8</definedName>
    <definedName name="lean_oil_mass">'Simple  Mass Volume Problem'!$H$8</definedName>
    <definedName name="lean_oil_vol">'Simple  Mass Volume Problem'!$K$8</definedName>
    <definedName name="MILL_MIXER_CF" localSheetId="10">Bilinear!$C$231</definedName>
    <definedName name="MILL_MIXER_Q" localSheetId="10">Bilinear!$C$232</definedName>
    <definedName name="MILL_MIXER_WF" localSheetId="10">Bilinear!$C$233</definedName>
    <definedName name="OSAStreamConcThickenerFeedStream_Ag" localSheetId="4">'Large Nonlinear Problem'!$C$432</definedName>
    <definedName name="OSAStreamConcThickenerFeedStream_Au" localSheetId="4">'Large Nonlinear Problem'!$C$431</definedName>
    <definedName name="OSAStreamConcThickenerFeedStream_Cu" localSheetId="4">'Large Nonlinear Problem'!$C$429</definedName>
    <definedName name="OSAStreamConcThickenerFeedStream_F" localSheetId="4">'Large Nonlinear Problem'!$C$435</definedName>
    <definedName name="OSAStreamConcThickenerFeedStream_Fe" localSheetId="4">'Large Nonlinear Problem'!$C$430</definedName>
    <definedName name="OSAStreamConcThickenerFeedStream_Mass" localSheetId="4">'Large Nonlinear Problem'!$C$428</definedName>
    <definedName name="OSAStreamConcThickenerFeedStream_S" localSheetId="4">'Large Nonlinear Problem'!$C$433</definedName>
    <definedName name="OSAStreamConcThickenerFeedStream_U" localSheetId="4">'Large Nonlinear Problem'!$C$434</definedName>
    <definedName name="OSAStreamFlotationTailsStream_Ag" localSheetId="4">'Large Nonlinear Problem'!$C$440</definedName>
    <definedName name="OSAStreamFlotationTailsStream_Au" localSheetId="4">'Large Nonlinear Problem'!$C$439</definedName>
    <definedName name="OSAStreamFlotationTailsStream_Cu" localSheetId="4">'Large Nonlinear Problem'!$C$437</definedName>
    <definedName name="OSAStreamFlotationTailsStream_F" localSheetId="4">'Large Nonlinear Problem'!$C$443</definedName>
    <definedName name="OSAStreamFlotationTailsStream_Fe" localSheetId="4">'Large Nonlinear Problem'!$C$438</definedName>
    <definedName name="OSAStreamFlotationTailsStream_Mass" localSheetId="4">'Large Nonlinear Problem'!$C$436</definedName>
    <definedName name="OSAStreamFlotationTailsStream_S" localSheetId="4">'Large Nonlinear Problem'!$C$441</definedName>
    <definedName name="OSAStreamFlotationTailsStream_U" localSheetId="4">'Large Nonlinear Problem'!$C$442</definedName>
    <definedName name="OSAStreamRougherFeedStream_Ag" localSheetId="4">'Large Nonlinear Problem'!$C$448</definedName>
    <definedName name="OSAStreamRougherFeedStream_Au" localSheetId="4">'Large Nonlinear Problem'!$C$447</definedName>
    <definedName name="OSAStreamRougherFeedStream_Cu" localSheetId="4">'Large Nonlinear Problem'!$C$445</definedName>
    <definedName name="OSAStreamRougherFeedStream_F" localSheetId="4">'Large Nonlinear Problem'!$C$451</definedName>
    <definedName name="OSAStreamRougherFeedStream_Fe" localSheetId="4">'Large Nonlinear Problem'!$C$446</definedName>
    <definedName name="OSAStreamRougherFeedStream_Mass" localSheetId="4">'Large Nonlinear Problem'!$C$444</definedName>
    <definedName name="OSAStreamRougherFeedStream_S" localSheetId="4">'Large Nonlinear Problem'!$C$449</definedName>
    <definedName name="OSAStreamRougherFeedStream_U" localSheetId="4">'Large Nonlinear Problem'!$C$450</definedName>
    <definedName name="PIPE_TKCLC_CF" localSheetId="10">Bilinear!$C$240</definedName>
    <definedName name="PIPE_TKCLC_Q" localSheetId="10">Bilinear!$C$241</definedName>
    <definedName name="PIPE_TKCLC_WF" localSheetId="10">Bilinear!$C$242</definedName>
    <definedName name="PIPELINE_CLOSE_CF" localSheetId="10">Bilinear!$C$234</definedName>
    <definedName name="PIPELINE_CLOSE_Q" localSheetId="10">Bilinear!$C$235</definedName>
    <definedName name="PIPELINE_CLOSE_WF" localSheetId="10">Bilinear!$C$236</definedName>
    <definedName name="PIPELINE_OPEN_CF" localSheetId="10">Bilinear!$C$237</definedName>
    <definedName name="PIPELINE_OPEN_Q" localSheetId="10">Bilinear!$C$238</definedName>
    <definedName name="PIPELINE_OPEN_WF" localSheetId="10">Bilinear!$C$239</definedName>
    <definedName name="PLANTA_RO_FEED_Q" localSheetId="10">Bilinear!$C$243</definedName>
    <definedName name="POND_RECVR_Q" localSheetId="10">Bilinear!$C$244</definedName>
    <definedName name="POOL_2CLN_Q" localSheetId="10">Bilinear!$C$246</definedName>
    <definedName name="POOL_2CLNCONC_Q" localSheetId="10">Bilinear!$C$245</definedName>
    <definedName name="POOL_BC1SUMP_Q" localSheetId="10">Bilinear!$C$247</definedName>
    <definedName name="POOL_BC2SUMP_Q" localSheetId="10">Bilinear!$C$248</definedName>
    <definedName name="POOL_BC3SUMP_Q" localSheetId="10">Bilinear!$C$249</definedName>
    <definedName name="POOL_DI30_Q" localSheetId="10">Bilinear!$C$250</definedName>
    <definedName name="POOL_M1_Q" localSheetId="10">Bilinear!$C$251</definedName>
    <definedName name="POOL_MB1_Q" localSheetId="10">Bilinear!$C$252</definedName>
    <definedName name="POOL_MB2_Q" localSheetId="10">Bilinear!$C$253</definedName>
    <definedName name="POOL_MB3_Q" localSheetId="10">Bilinear!$C$254</definedName>
    <definedName name="POOL_MIXER_Q" localSheetId="10">Bilinear!$C$255</definedName>
    <definedName name="POOL_REM_1_Q" localSheetId="10">Bilinear!$C$256</definedName>
    <definedName name="POOL_REM_2_Q" localSheetId="10">Bilinear!$C$257</definedName>
    <definedName name="POOL_SAG_Q" localSheetId="10">Bilinear!$C$258</definedName>
    <definedName name="POOL_TK42_Q" localSheetId="10">Bilinear!$C$259</definedName>
    <definedName name="POOL_TK91_Q" localSheetId="10">Bilinear!$C$260</definedName>
    <definedName name="PP51_DI101_CF" localSheetId="10">Bilinear!$C$261</definedName>
    <definedName name="PP51_DI101_Q" localSheetId="10">Bilinear!$C$262</definedName>
    <definedName name="PP51_DI101_WF" localSheetId="10">Bilinear!$C$263</definedName>
    <definedName name="PP51_DI104_CF" localSheetId="10">Bilinear!$C$264</definedName>
    <definedName name="PP51_DI104_Q" localSheetId="10">Bilinear!$C$265</definedName>
    <definedName name="PP51_DI104_WF" localSheetId="10">Bilinear!$C$266</definedName>
    <definedName name="PP52_DI101_CF" localSheetId="10">Bilinear!$C$267</definedName>
    <definedName name="PP52_DI101_Q" localSheetId="10">Bilinear!$C$268</definedName>
    <definedName name="PP52_DI101_WF" localSheetId="10">Bilinear!$C$269</definedName>
    <definedName name="PP52_DI104_CF" localSheetId="10">Bilinear!$C$270</definedName>
    <definedName name="PP52_DI104_Q" localSheetId="10">Bilinear!$C$271</definedName>
    <definedName name="PP52_DI104_WF" localSheetId="10">Bilinear!$C$272</definedName>
    <definedName name="PP53_DI101_CF" localSheetId="10">Bilinear!$C$273</definedName>
    <definedName name="PP53_DI101_Q" localSheetId="10">Bilinear!$C$274</definedName>
    <definedName name="PP53_DI101_WF" localSheetId="10">Bilinear!$C$275</definedName>
    <definedName name="PP53_DI104_CF" localSheetId="10">Bilinear!$C$276</definedName>
    <definedName name="PP53_DI104_Q" localSheetId="10">Bilinear!$C$277</definedName>
    <definedName name="PP53_DI104_WF" localSheetId="10">Bilinear!$C$278</definedName>
    <definedName name="PP54_DI101_CF" localSheetId="10">Bilinear!$C$279</definedName>
    <definedName name="PP54_DI101_Q" localSheetId="10">Bilinear!$C$280</definedName>
    <definedName name="PP54_DI101_WF" localSheetId="10">Bilinear!$C$281</definedName>
    <definedName name="PP54_DI104_CF" localSheetId="10">Bilinear!$C$282</definedName>
    <definedName name="PP54_DI104_Q" localSheetId="10">Bilinear!$C$283</definedName>
    <definedName name="PP54_DI104_WF" localSheetId="10">Bilinear!$C$284</definedName>
    <definedName name="PressureFilterFeedStream_Ag" localSheetId="4">'Large Nonlinear Problem'!$C$456</definedName>
    <definedName name="PressureFilterFeedStream_Au" localSheetId="4">'Large Nonlinear Problem'!$C$455</definedName>
    <definedName name="PressureFilterFeedStream_Cu" localSheetId="4">'Large Nonlinear Problem'!$C$453</definedName>
    <definedName name="PressureFilterFeedStream_F" localSheetId="4">'Large Nonlinear Problem'!$C$459</definedName>
    <definedName name="PressureFilterFeedStream_Fe" localSheetId="4">'Large Nonlinear Problem'!$C$454</definedName>
    <definedName name="PressureFilterFeedStream_Mass" localSheetId="4">'Large Nonlinear Problem'!$C$452</definedName>
    <definedName name="PressureFilterFeedStream_S" localSheetId="4">'Large Nonlinear Problem'!$C$457</definedName>
    <definedName name="PressureFilterFeedStream_U" localSheetId="4">'Large Nonlinear Problem'!$C$458</definedName>
    <definedName name="PressureFilterUnderflowStream_Ag" localSheetId="4">'Large Nonlinear Problem'!$C$464</definedName>
    <definedName name="PressureFilterUnderflowStream_Au" localSheetId="4">'Large Nonlinear Problem'!$C$463</definedName>
    <definedName name="PressureFilterUnderflowStream_Cu" localSheetId="4">'Large Nonlinear Problem'!$C$461</definedName>
    <definedName name="PressureFilterUnderflowStream_F" localSheetId="4">'Large Nonlinear Problem'!$C$467</definedName>
    <definedName name="PressureFilterUnderflowStream_Fe" localSheetId="4">'Large Nonlinear Problem'!$C$462</definedName>
    <definedName name="PressureFilterUnderflowStream_Mass" localSheetId="4">'Large Nonlinear Problem'!$C$460</definedName>
    <definedName name="PressureFilterUnderflowStream_S" localSheetId="4">'Large Nonlinear Problem'!$C$465</definedName>
    <definedName name="PressureFilterUnderflowStream_U" localSheetId="4">'Large Nonlinear Problem'!$C$466</definedName>
    <definedName name="ReactorEff">'Ammonia Reconciliation Problem'!$C$11</definedName>
    <definedName name="recycle" localSheetId="5">'Simple Linear Problem'!$I$7</definedName>
    <definedName name="recycle">'Test1 Problem'!$I$7</definedName>
    <definedName name="recycle_dens">'Simple  Mass Volume Problem'!$Q$7</definedName>
    <definedName name="recycle_mass">'Simple  Mass Volume Problem'!$H$7</definedName>
    <definedName name="recycle_vol">'Simple  Mass Volume Problem'!$K$7</definedName>
    <definedName name="ResolverData" localSheetId="1" hidden="1">ResolverReservedData!$A$1</definedName>
    <definedName name="ResolverData" localSheetId="10" hidden="1">ResolverReservedData!$G$1</definedName>
    <definedName name="ResolverData" localSheetId="4" hidden="1">ResolverReservedData!$C$1</definedName>
    <definedName name="ResolverData" localSheetId="7" hidden="1">ResolverReservedData!$F$1</definedName>
    <definedName name="ResolverData" localSheetId="5" hidden="1">ResolverReservedData!$D$1</definedName>
    <definedName name="ResolverData" localSheetId="2" hidden="1">ResolverReservedData!$B$1</definedName>
    <definedName name="ResolverData" localSheetId="6" hidden="1">ResolverReservedData!$E$1</definedName>
    <definedName name="RIVERWATER_Q" localSheetId="10">Bilinear!$C$285</definedName>
    <definedName name="RO_POND_Q" localSheetId="10">Bilinear!$C$289</definedName>
    <definedName name="RO_TANK_Q" localSheetId="10">Bilinear!$C$290</definedName>
    <definedName name="ROUFEED_CF" localSheetId="10">Bilinear!$C$286</definedName>
    <definedName name="ROUFEED_Q" localSheetId="10">Bilinear!$C$287</definedName>
    <definedName name="ROUFEED_WF" localSheetId="10">Bilinear!$C$288</definedName>
    <definedName name="SAGMillFeedStream_Ag" localSheetId="4">'Large Nonlinear Problem'!$C$472</definedName>
    <definedName name="SAGMillFeedStream_Au" localSheetId="4">'Large Nonlinear Problem'!$C$471</definedName>
    <definedName name="SAGMillFeedStream_Cu" localSheetId="4">'Large Nonlinear Problem'!$C$469</definedName>
    <definedName name="SAGMillFeedStream_F" localSheetId="4">'Large Nonlinear Problem'!$C$475</definedName>
    <definedName name="SAGMillFeedStream_Fe" localSheetId="4">'Large Nonlinear Problem'!$C$470</definedName>
    <definedName name="SAGMillFeedStream_Mass" localSheetId="4">'Large Nonlinear Problem'!$C$468</definedName>
    <definedName name="SAGMillFeedStream_S" localSheetId="4">'Large Nonlinear Problem'!$C$473</definedName>
    <definedName name="SAGMillFeedStream_U" localSheetId="4">'Large Nonlinear Problem'!$C$474</definedName>
    <definedName name="sep_ovhd" localSheetId="5">'Simple Linear Problem'!$I$11</definedName>
    <definedName name="sep_ovhd">'Test1 Problem'!$I$11</definedName>
    <definedName name="sep_ovhd_dens">'Simple  Mass Volume Problem'!$Q$11</definedName>
    <definedName name="sep_ovhd_mass">'Simple  Mass Volume Problem'!$H$11</definedName>
    <definedName name="sep_ovhd_vol">'Simple  Mass Volume Problem'!$K$11</definedName>
    <definedName name="solver_adj" localSheetId="1" hidden="1">'Ammonia Reconciliation Problem'!$C$4:$C$6,'Ammonia Reconciliation Problem'!$C$8:$C$12,'Ammonia Reconciliation Problem'!$G$4:$G$6,'Ammonia Reconciliation Problem'!$G$8:$G$10,'Ammonia Reconciliation Problem'!$K$4:$K$6,'Ammonia Reconciliation Problem'!$K$8:$K$10,'Ammonia Reconciliation Problem'!$O$6:$O$7</definedName>
    <definedName name="solver_adj" localSheetId="7" hidden="1">'Simple  Mass Volume Problem'!$K$4:$K$15</definedName>
    <definedName name="solver_adj" localSheetId="5" hidden="1">'Simple Linear Problem'!$I$4:$I$15</definedName>
    <definedName name="solver_adj" localSheetId="2" hidden="1">'Test1 Problem'!$I$4:$I$15</definedName>
    <definedName name="solver_cvg" localSheetId="1" hidden="1">0.0001</definedName>
    <definedName name="solver_cvg" localSheetId="7" hidden="1">0.0001</definedName>
    <definedName name="solver_cvg" localSheetId="5" hidden="1">0.0001</definedName>
    <definedName name="solver_cvg" localSheetId="2" hidden="1">0.0001</definedName>
    <definedName name="solver_drv" localSheetId="1" hidden="1">1</definedName>
    <definedName name="solver_drv" localSheetId="7" hidden="1">1</definedName>
    <definedName name="solver_drv" localSheetId="5" hidden="1">1</definedName>
    <definedName name="solver_drv" localSheetId="2" hidden="1">1</definedName>
    <definedName name="solver_est" localSheetId="1" hidden="1">1</definedName>
    <definedName name="solver_est" localSheetId="7" hidden="1">1</definedName>
    <definedName name="solver_est" localSheetId="5" hidden="1">1</definedName>
    <definedName name="solver_est" localSheetId="2" hidden="1">1</definedName>
    <definedName name="solver_itr" localSheetId="1" hidden="1">100</definedName>
    <definedName name="solver_itr" localSheetId="7" hidden="1">100</definedName>
    <definedName name="solver_itr" localSheetId="5" hidden="1">100</definedName>
    <definedName name="solver_itr" localSheetId="2" hidden="1">100</definedName>
    <definedName name="solver_lhs1" localSheetId="1" hidden="1">'Ammonia Reconciliation Problem'!$D$15:$D$19</definedName>
    <definedName name="solver_lhs1" localSheetId="7" hidden="1">'Simple  Mass Volume Problem'!$C$4:$C$9</definedName>
    <definedName name="solver_lhs1" localSheetId="5" hidden="1">'Simple Linear Problem'!$C$4:$C$9</definedName>
    <definedName name="solver_lhs1" localSheetId="2" hidden="1">'Test1 Problem'!$C$4:$C$9</definedName>
    <definedName name="solver_lhs2" localSheetId="1" hidden="1">'Ammonia Reconciliation Problem'!$H$15:$H$19</definedName>
    <definedName name="solver_lhs2" localSheetId="7" hidden="1">'Simple  Mass Volume Problem'!$C$10</definedName>
    <definedName name="solver_lhs2" localSheetId="5" hidden="1">'Simple Linear Problem'!$C$10</definedName>
    <definedName name="solver_lhs2" localSheetId="2" hidden="1">'Test1 Problem'!$C$10</definedName>
    <definedName name="solver_lhs3" localSheetId="1" hidden="1">'Ammonia Reconciliation Problem'!$L$15:$L$19</definedName>
    <definedName name="solver_lhs4" localSheetId="1" hidden="1">'Ammonia Reconciliation Problem'!$P$16:$P$17</definedName>
    <definedName name="solver_lin" localSheetId="1" hidden="1">2</definedName>
    <definedName name="solver_lin" localSheetId="7" hidden="1">2</definedName>
    <definedName name="solver_lin" localSheetId="5" hidden="1">2</definedName>
    <definedName name="solver_lin" localSheetId="2" hidden="1">2</definedName>
    <definedName name="solver_neg" localSheetId="1" hidden="1">2</definedName>
    <definedName name="solver_neg" localSheetId="7" hidden="1">2</definedName>
    <definedName name="solver_neg" localSheetId="5" hidden="1">2</definedName>
    <definedName name="solver_neg" localSheetId="2" hidden="1">2</definedName>
    <definedName name="solver_num" localSheetId="1" hidden="1">4</definedName>
    <definedName name="solver_num" localSheetId="7" hidden="1">1</definedName>
    <definedName name="solver_num" localSheetId="5" hidden="1">1</definedName>
    <definedName name="solver_num" localSheetId="2" hidden="1">1</definedName>
    <definedName name="solver_nwt" localSheetId="1" hidden="1">1</definedName>
    <definedName name="solver_nwt" localSheetId="7" hidden="1">1</definedName>
    <definedName name="solver_nwt" localSheetId="5" hidden="1">1</definedName>
    <definedName name="solver_nwt" localSheetId="2" hidden="1">1</definedName>
    <definedName name="solver_opt" localSheetId="1" hidden="1">'Ammonia Reconciliation Problem'!$B$28</definedName>
    <definedName name="solver_opt" localSheetId="7" hidden="1">'Simple  Mass Volume Problem'!$C$18</definedName>
    <definedName name="solver_opt" localSheetId="5" hidden="1">'Simple Linear Problem'!$C$18</definedName>
    <definedName name="solver_opt" localSheetId="2" hidden="1">'Test1 Problem'!$N$22</definedName>
    <definedName name="solver_pre" localSheetId="1" hidden="1">0.000001</definedName>
    <definedName name="solver_pre" localSheetId="7" hidden="1">0.000001</definedName>
    <definedName name="solver_pre" localSheetId="5" hidden="1">0.000001</definedName>
    <definedName name="solver_pre" localSheetId="2" hidden="1">0.000001</definedName>
    <definedName name="solver_rel1" localSheetId="1" hidden="1">2</definedName>
    <definedName name="solver_rel1" localSheetId="7" hidden="1">2</definedName>
    <definedName name="solver_rel1" localSheetId="5" hidden="1">2</definedName>
    <definedName name="solver_rel1" localSheetId="2" hidden="1">2</definedName>
    <definedName name="solver_rel2" localSheetId="1" hidden="1">2</definedName>
    <definedName name="solver_rel2" localSheetId="7" hidden="1">2</definedName>
    <definedName name="solver_rel2" localSheetId="5" hidden="1">2</definedName>
    <definedName name="solver_rel2" localSheetId="2" hidden="1">2</definedName>
    <definedName name="solver_rel3" localSheetId="1" hidden="1">2</definedName>
    <definedName name="solver_rel4" localSheetId="1" hidden="1">2</definedName>
    <definedName name="solver_rhs1" localSheetId="1" hidden="1">'Ammonia Reconciliation Problem'!$F$15:$F$19</definedName>
    <definedName name="solver_rhs1" localSheetId="7" hidden="1">'Simple  Mass Volume Problem'!$E$4:$E$9</definedName>
    <definedName name="solver_rhs1" localSheetId="5" hidden="1">'Simple Linear Problem'!$E$4:$E$9</definedName>
    <definedName name="solver_rhs1" localSheetId="2" hidden="1">'Test1 Problem'!$E$4:$E$9</definedName>
    <definedName name="solver_rhs2" localSheetId="1" hidden="1">'Ammonia Reconciliation Problem'!$J$15:$J$19</definedName>
    <definedName name="solver_rhs2" localSheetId="7" hidden="1">'Simple  Mass Volume Problem'!$E$10</definedName>
    <definedName name="solver_rhs2" localSheetId="5" hidden="1">'Simple Linear Problem'!$E$10</definedName>
    <definedName name="solver_rhs2" localSheetId="2" hidden="1">'Test1 Problem'!$E$10</definedName>
    <definedName name="solver_rhs3" localSheetId="1" hidden="1">'Ammonia Reconciliation Problem'!$N$15:$N$19</definedName>
    <definedName name="solver_rhs4" localSheetId="1" hidden="1">'Ammonia Reconciliation Problem'!$R$16:$R$17</definedName>
    <definedName name="solver_scl" localSheetId="1" hidden="1">2</definedName>
    <definedName name="solver_scl" localSheetId="7" hidden="1">2</definedName>
    <definedName name="solver_scl" localSheetId="5" hidden="1">2</definedName>
    <definedName name="solver_scl" localSheetId="2" hidden="1">2</definedName>
    <definedName name="solver_sho" localSheetId="1" hidden="1">2</definedName>
    <definedName name="solver_sho" localSheetId="7" hidden="1">2</definedName>
    <definedName name="solver_sho" localSheetId="5" hidden="1">2</definedName>
    <definedName name="solver_sho" localSheetId="2" hidden="1">2</definedName>
    <definedName name="solver_tim" localSheetId="1" hidden="1">100</definedName>
    <definedName name="solver_tim" localSheetId="7" hidden="1">100</definedName>
    <definedName name="solver_tim" localSheetId="5" hidden="1">100</definedName>
    <definedName name="solver_tim" localSheetId="2" hidden="1">100</definedName>
    <definedName name="solver_tol" localSheetId="1" hidden="1">0.05</definedName>
    <definedName name="solver_tol" localSheetId="7" hidden="1">0.05</definedName>
    <definedName name="solver_tol" localSheetId="5" hidden="1">0.05</definedName>
    <definedName name="solver_tol" localSheetId="2" hidden="1">0.05</definedName>
    <definedName name="solver_typ" localSheetId="1" hidden="1">2</definedName>
    <definedName name="solver_typ" localSheetId="7" hidden="1">2</definedName>
    <definedName name="solver_typ" localSheetId="5" hidden="1">2</definedName>
    <definedName name="solver_typ" localSheetId="2" hidden="1">2</definedName>
    <definedName name="solver_val" localSheetId="1" hidden="1">0</definedName>
    <definedName name="solver_val" localSheetId="7" hidden="1">0</definedName>
    <definedName name="solver_val" localSheetId="5" hidden="1">0</definedName>
    <definedName name="solver_val" localSheetId="2" hidden="1">0</definedName>
    <definedName name="sour_gas" localSheetId="5">'Simple Linear Problem'!$I$12</definedName>
    <definedName name="sour_gas">'Test1 Problem'!$I$12</definedName>
    <definedName name="sour_gas_dens">'Simple  Mass Volume Problem'!$Q$12</definedName>
    <definedName name="sour_gas_mass">'Simple  Mass Volume Problem'!$H$12</definedName>
    <definedName name="sour_gas_vol">'Simple  Mass Volume Problem'!$K$12</definedName>
    <definedName name="SpillageReturnStream_Ag" localSheetId="4">'Large Nonlinear Problem'!$C$480</definedName>
    <definedName name="SpillageReturnStream_Au" localSheetId="4">'Large Nonlinear Problem'!$C$479</definedName>
    <definedName name="SpillageReturnStream_Cu" localSheetId="4">'Large Nonlinear Problem'!$C$477</definedName>
    <definedName name="SpillageReturnStream_F" localSheetId="4">'Large Nonlinear Problem'!$C$483</definedName>
    <definedName name="SpillageReturnStream_Fe" localSheetId="4">'Large Nonlinear Problem'!$C$478</definedName>
    <definedName name="SpillageReturnStream_Mass" localSheetId="4">'Large Nonlinear Problem'!$C$476</definedName>
    <definedName name="SpillageReturnStream_S" localSheetId="4">'Large Nonlinear Problem'!$C$481</definedName>
    <definedName name="SpillageReturnStream_U" localSheetId="4">'Large Nonlinear Problem'!$C$482</definedName>
    <definedName name="SplitterEff">'Ammonia Reconciliation Problem'!$C$12</definedName>
    <definedName name="Stream1_A">'Ammonia Reconciliation Problem'!$K$4</definedName>
    <definedName name="Stream1_H">'Ammonia Reconciliation Problem'!$G$4</definedName>
    <definedName name="Stream1_N">'Ammonia Reconciliation Problem'!$C$4</definedName>
    <definedName name="Stream1_NH">'Ammonia Reconciliation Problem'!$O$4</definedName>
    <definedName name="Stream2_A">'Ammonia Reconciliation Problem'!$K$5</definedName>
    <definedName name="Stream2_H">'Ammonia Reconciliation Problem'!$G$5</definedName>
    <definedName name="Stream2_N">'Ammonia Reconciliation Problem'!$C$5</definedName>
    <definedName name="Stream2_NH">'Ammonia Reconciliation Problem'!$O$5</definedName>
    <definedName name="Stream3_A">'Ammonia Reconciliation Problem'!$K$6</definedName>
    <definedName name="Stream3_H">'Ammonia Reconciliation Problem'!$G$6</definedName>
    <definedName name="Stream3_N">'Ammonia Reconciliation Problem'!$C$6</definedName>
    <definedName name="Stream3_NH">'Ammonia Reconciliation Problem'!$O$6</definedName>
    <definedName name="Stream4_A">'Ammonia Reconciliation Problem'!$K$7</definedName>
    <definedName name="Stream4_H">'Ammonia Reconciliation Problem'!$G$7</definedName>
    <definedName name="Stream4_N">'Ammonia Reconciliation Problem'!$C$7</definedName>
    <definedName name="Stream4_NH">'Ammonia Reconciliation Problem'!$O$7</definedName>
    <definedName name="Stream5_A">'Ammonia Reconciliation Problem'!$K$8</definedName>
    <definedName name="Stream5_H">'Ammonia Reconciliation Problem'!$G$8</definedName>
    <definedName name="Stream5_N">'Ammonia Reconciliation Problem'!$C$8</definedName>
    <definedName name="Stream5_NH">'Ammonia Reconciliation Problem'!$O$8</definedName>
    <definedName name="Stream6_A">'Ammonia Reconciliation Problem'!$K$9</definedName>
    <definedName name="Stream6_H">'Ammonia Reconciliation Problem'!$G$9</definedName>
    <definedName name="Stream6_N">'Ammonia Reconciliation Problem'!$C$9</definedName>
    <definedName name="Stream6_NH">'Ammonia Reconciliation Problem'!$O$9</definedName>
    <definedName name="Stream7_A">'Ammonia Reconciliation Problem'!$K$10</definedName>
    <definedName name="Stream7_H">'Ammonia Reconciliation Problem'!$G$10</definedName>
    <definedName name="Stream7_N">'Ammonia Reconciliation Problem'!$C$10</definedName>
    <definedName name="Stream7_NH">'Ammonia Reconciliation Problem'!$O$10</definedName>
    <definedName name="T_3_Feed" localSheetId="7">'Simple  Mass Volume Problem'!$C$8</definedName>
    <definedName name="T_3_Feed" localSheetId="5">'Simple Linear Problem'!$C$8</definedName>
    <definedName name="T_3_Feed">'Test1 Problem'!$C$8</definedName>
    <definedName name="T_3_Product" localSheetId="7">'Simple  Mass Volume Problem'!$E$8</definedName>
    <definedName name="T_3_Product" localSheetId="5">'Simple Linear Problem'!$E$8</definedName>
    <definedName name="T_3_Product">'Test1 Problem'!$E$8</definedName>
    <definedName name="T_5_Feed" localSheetId="7">'Simple  Mass Volume Problem'!$C$7</definedName>
    <definedName name="T_5_Feed" localSheetId="5">'Simple Linear Problem'!$C$7</definedName>
    <definedName name="T_5_Feed">'Test1 Problem'!$C$7</definedName>
    <definedName name="T_5_Product" localSheetId="7">'Simple  Mass Volume Problem'!$E$7</definedName>
    <definedName name="T_5_Product" localSheetId="5">'Simple Linear Problem'!$E$7</definedName>
    <definedName name="T_5_Product">'Test1 Problem'!$E$7</definedName>
    <definedName name="TAILPOND_CF" localSheetId="10">Bilinear!$C$291</definedName>
    <definedName name="TAILPOND_Q" localSheetId="10">Bilinear!$C$292</definedName>
    <definedName name="TAILPOND_WF" localSheetId="10">Bilinear!$C$293</definedName>
    <definedName name="TAILS_CF" localSheetId="10">Bilinear!$C$294</definedName>
    <definedName name="TAILS_Q" localSheetId="10">Bilinear!$C$295</definedName>
    <definedName name="TAILS_WF" localSheetId="10">Bilinear!$C$296</definedName>
    <definedName name="TailsThickenerUnderflowStream_Ag" localSheetId="4">'Large Nonlinear Problem'!$C$488</definedName>
    <definedName name="TailsThickenerUnderflowStream_Au" localSheetId="4">'Large Nonlinear Problem'!$C$487</definedName>
    <definedName name="TailsThickenerUnderflowStream_Cu" localSheetId="4">'Large Nonlinear Problem'!$C$485</definedName>
    <definedName name="TailsThickenerUnderflowStream_F" localSheetId="4">'Large Nonlinear Problem'!$C$491</definedName>
    <definedName name="TailsThickenerUnderflowStream_Fe" localSheetId="4">'Large Nonlinear Problem'!$C$486</definedName>
    <definedName name="TailsThickenerUnderflowStream_Mass" localSheetId="4">'Large Nonlinear Problem'!$C$484</definedName>
    <definedName name="TailsThickenerUnderflowStream_S" localSheetId="4">'Large Nonlinear Problem'!$C$489</definedName>
    <definedName name="TailsThickenerUnderflowStream_U" localSheetId="4">'Large Nonlinear Problem'!$C$490</definedName>
    <definedName name="TailsThickening_close_Ag" localSheetId="4">'Large Nonlinear Problem'!$C$500</definedName>
    <definedName name="TailsThickening_close_Au" localSheetId="4">'Large Nonlinear Problem'!$C$498</definedName>
    <definedName name="TailsThickening_close_Cu" localSheetId="4">'Large Nonlinear Problem'!$C$494</definedName>
    <definedName name="TailsThickening_close_F" localSheetId="4">'Large Nonlinear Problem'!$C$506</definedName>
    <definedName name="TailsThickening_close_Fe" localSheetId="4">'Large Nonlinear Problem'!$C$496</definedName>
    <definedName name="TailsThickening_close_Mass" localSheetId="4">'Large Nonlinear Problem'!$C$492</definedName>
    <definedName name="TailsThickening_close_S" localSheetId="4">'Large Nonlinear Problem'!$C$502</definedName>
    <definedName name="TailsThickening_close_U" localSheetId="4">'Large Nonlinear Problem'!$C$504</definedName>
    <definedName name="TailsThickening_open_Ag" localSheetId="4">'Large Nonlinear Problem'!$C$501</definedName>
    <definedName name="TailsThickening_open_Au" localSheetId="4">'Large Nonlinear Problem'!$C$499</definedName>
    <definedName name="TailsThickening_open_Cu" localSheetId="4">'Large Nonlinear Problem'!$C$495</definedName>
    <definedName name="TailsThickening_open_F" localSheetId="4">'Large Nonlinear Problem'!$C$507</definedName>
    <definedName name="TailsThickening_open_Fe" localSheetId="4">'Large Nonlinear Problem'!$C$497</definedName>
    <definedName name="TailsThickening_open_Mass" localSheetId="4">'Large Nonlinear Problem'!$C$493</definedName>
    <definedName name="TailsThickening_open_S" localSheetId="4">'Large Nonlinear Problem'!$C$503</definedName>
    <definedName name="TailsThickening_open_U" localSheetId="4">'Large Nonlinear Problem'!$C$505</definedName>
    <definedName name="TAILTHK_OVERFLOW_Q" localSheetId="10">Bilinear!$C$333</definedName>
    <definedName name="TAILTHK6_CLOSE_CF" localSheetId="10">Bilinear!$C$297</definedName>
    <definedName name="TAILTHK6_CLOSE_Q" localSheetId="10">Bilinear!$C$298</definedName>
    <definedName name="TAILTHK6_CLOSE_WF" localSheetId="10">Bilinear!$C$299</definedName>
    <definedName name="TAILTHK6_OPEN_CF" localSheetId="10">Bilinear!$C$300</definedName>
    <definedName name="TAILTHK6_OPEN_Q" localSheetId="10">Bilinear!$C$301</definedName>
    <definedName name="TAILTHK6_OPEN_WF" localSheetId="10">Bilinear!$C$302</definedName>
    <definedName name="TAILTHK6_OVERFLOW_Q" localSheetId="10">Bilinear!$C$303</definedName>
    <definedName name="TAILTHK6_TOTVOL_CLOSE_Q" localSheetId="10">Bilinear!$C$304</definedName>
    <definedName name="TAILTHK6_TOTVOL_OPEN_Q" localSheetId="10">Bilinear!$C$305</definedName>
    <definedName name="TAILTHK6_UNDERFLOW_CF" localSheetId="10">Bilinear!$C$306</definedName>
    <definedName name="TAILTHK6_UNDERFLOW_Q" localSheetId="10">Bilinear!$C$307</definedName>
    <definedName name="TAILTHK6_UNDERFLOW_WF" localSheetId="10">Bilinear!$C$308</definedName>
    <definedName name="TAILTHK7_CLOSE_CF" localSheetId="10">Bilinear!$C$309</definedName>
    <definedName name="TAILTHK7_CLOSE_Q" localSheetId="10">Bilinear!$C$310</definedName>
    <definedName name="TAILTHK7_CLOSE_WF" localSheetId="10">Bilinear!$C$311</definedName>
    <definedName name="TAILTHK7_OPEN_CF" localSheetId="10">Bilinear!$C$312</definedName>
    <definedName name="TAILTHK7_OPEN_Q" localSheetId="10">Bilinear!$C$313</definedName>
    <definedName name="TAILTHK7_OPEN_WF" localSheetId="10">Bilinear!$C$314</definedName>
    <definedName name="TAILTHK7_OVERFLOW_Q" localSheetId="10">Bilinear!$C$315</definedName>
    <definedName name="TAILTHK7_TOTVOL_CLOSE_Q" localSheetId="10">Bilinear!$C$316</definedName>
    <definedName name="TAILTHK7_TOTVOL_OPEN_Q" localSheetId="10">Bilinear!$C$317</definedName>
    <definedName name="TAILTHK7_UNDERFLOW_CF" localSheetId="10">Bilinear!$C$318</definedName>
    <definedName name="TAILTHK7_UNDERFLOW_Q" localSheetId="10">Bilinear!$C$319</definedName>
    <definedName name="TAILTHK7_UNDERFLOW_WF" localSheetId="10">Bilinear!$C$320</definedName>
    <definedName name="TAILTHK8_CLOSE_CF" localSheetId="10">Bilinear!$C$321</definedName>
    <definedName name="TAILTHK8_CLOSE_Q" localSheetId="10">Bilinear!$C$322</definedName>
    <definedName name="TAILTHK8_CLOSE_WF" localSheetId="10">Bilinear!$C$323</definedName>
    <definedName name="TAILTHK8_OPEN_CF" localSheetId="10">Bilinear!$C$324</definedName>
    <definedName name="TAILTHK8_OPEN_Q" localSheetId="10">Bilinear!$C$325</definedName>
    <definedName name="TAILTHK8_OPEN_WF" localSheetId="10">Bilinear!$C$326</definedName>
    <definedName name="TAILTHK8_OVERFLOW_Q" localSheetId="10">Bilinear!$C$327</definedName>
    <definedName name="TAILTHK8_TOTVOL_CLOSE_Q" localSheetId="10">Bilinear!$C$328</definedName>
    <definedName name="TAILTHK8_TOTVOL_OPEN_Q" localSheetId="10">Bilinear!$C$329</definedName>
    <definedName name="TAILTHK8_UNDERFLOW_CF" localSheetId="10">Bilinear!$C$330</definedName>
    <definedName name="TAILTHK8_UNDERFLOW_Q" localSheetId="10">Bilinear!$C$331</definedName>
    <definedName name="TAILTHK8_UNDERFLOW_WF" localSheetId="10">Bilinear!$C$332</definedName>
    <definedName name="TANK_CLOSE_Q" localSheetId="10">Bilinear!$C$334</definedName>
    <definedName name="TANK_OPEN_Q" localSheetId="10">Bilinear!$C$335</definedName>
    <definedName name="TK10_TK11_Q" localSheetId="10">Bilinear!$C$336</definedName>
    <definedName name="TK140_TK165_CF" localSheetId="10">Bilinear!$C$337</definedName>
    <definedName name="TK140_TK165_Q" localSheetId="10">Bilinear!$C$338</definedName>
    <definedName name="TK140_TK165_WF" localSheetId="10">Bilinear!$C$339</definedName>
    <definedName name="TK23_CLOSE_CF" localSheetId="10">Bilinear!$C$340</definedName>
    <definedName name="TK23_CLOSE_Q" localSheetId="10">Bilinear!$C$341</definedName>
    <definedName name="TK23_CLOSE_WF" localSheetId="10">Bilinear!$C$342</definedName>
    <definedName name="TK23_DI105_CF" localSheetId="10">Bilinear!$C$343</definedName>
    <definedName name="TK23_DI105_Q" localSheetId="10">Bilinear!$C$344</definedName>
    <definedName name="TK23_DI105_WF" localSheetId="10">Bilinear!$C$345</definedName>
    <definedName name="TK23_OPEN_CF" localSheetId="10">Bilinear!$C$346</definedName>
    <definedName name="TK23_OPEN_Q" localSheetId="10">Bilinear!$C$347</definedName>
    <definedName name="TK23_OPEN_WF" localSheetId="10">Bilinear!$C$348</definedName>
    <definedName name="TK24_CLOSE_CF" localSheetId="10">Bilinear!$C$349</definedName>
    <definedName name="TK24_CLOSE_Q" localSheetId="10">Bilinear!$C$350</definedName>
    <definedName name="TK24_CLOSE_WF" localSheetId="10">Bilinear!$C$351</definedName>
    <definedName name="TK24_DI105_CF" localSheetId="10">Bilinear!$C$352</definedName>
    <definedName name="TK24_DI105_Q" localSheetId="10">Bilinear!$C$353</definedName>
    <definedName name="TK24_DI105_WF" localSheetId="10">Bilinear!$C$354</definedName>
    <definedName name="TK24_OPEN_CF" localSheetId="10">Bilinear!$C$355</definedName>
    <definedName name="TK24_OPEN_Q" localSheetId="10">Bilinear!$C$356</definedName>
    <definedName name="TK24_OPEN_WF" localSheetId="10">Bilinear!$C$357</definedName>
    <definedName name="TK25_CLOSE_CF" localSheetId="10">Bilinear!$C$358</definedName>
    <definedName name="TK25_CLOSE_Q" localSheetId="10">Bilinear!$C$359</definedName>
    <definedName name="TK25_CLOSE_WF" localSheetId="10">Bilinear!$C$360</definedName>
    <definedName name="TK25_DI105_CF" localSheetId="10">Bilinear!$C$361</definedName>
    <definedName name="TK25_DI105_Q" localSheetId="10">Bilinear!$C$362</definedName>
    <definedName name="TK25_DI105_WF" localSheetId="10">Bilinear!$C$363</definedName>
    <definedName name="TK25_OPEN_CF" localSheetId="10">Bilinear!$C$364</definedName>
    <definedName name="TK25_OPEN_Q" localSheetId="10">Bilinear!$C$365</definedName>
    <definedName name="TK25_OPEN_WF" localSheetId="10">Bilinear!$C$366</definedName>
    <definedName name="TK26_CLOSE_CF" localSheetId="10">Bilinear!$C$367</definedName>
    <definedName name="TK26_CLOSE_Q" localSheetId="10">Bilinear!$C$368</definedName>
    <definedName name="TK26_CLOSE_WF" localSheetId="10">Bilinear!$C$369</definedName>
    <definedName name="TK26_DI105_CF" localSheetId="10">Bilinear!$C$370</definedName>
    <definedName name="TK26_DI105_Q" localSheetId="10">Bilinear!$C$371</definedName>
    <definedName name="TK26_DI105_WF" localSheetId="10">Bilinear!$C$372</definedName>
    <definedName name="TK26_OPEN_CF" localSheetId="10">Bilinear!$C$373</definedName>
    <definedName name="TK26_OPEN_Q" localSheetId="10">Bilinear!$C$374</definedName>
    <definedName name="TK26_OPEN_WF" localSheetId="10">Bilinear!$C$375</definedName>
    <definedName name="TK83_CHIL_Q" localSheetId="10">Bilinear!$C$376</definedName>
    <definedName name="TK83_CLOSE_Q" localSheetId="10">Bilinear!$C$377</definedName>
    <definedName name="TK83_D20_Q" localSheetId="10">Bilinear!$C$378</definedName>
    <definedName name="TK83_D25_Q" localSheetId="10">Bilinear!$C$379</definedName>
    <definedName name="TK83_MB1_Q" localSheetId="10">Bilinear!$C$380</definedName>
    <definedName name="TK83_MB2_Q" localSheetId="10">Bilinear!$C$381</definedName>
    <definedName name="TK83_MB3_Q" localSheetId="10">Bilinear!$C$382</definedName>
    <definedName name="TK83_OPEN_Q" localSheetId="10">Bilinear!$C$383</definedName>
    <definedName name="TK83_TANK_Q" localSheetId="10">Bilinear!$C$384</definedName>
    <definedName name="TKC_PIPE_CF" localSheetId="10">Bilinear!$C$385</definedName>
    <definedName name="TKC_PIPE_Q" localSheetId="10">Bilinear!$C$386</definedName>
    <definedName name="TKC_PIPE_WF" localSheetId="10">Bilinear!$C$387</definedName>
    <definedName name="treat_gas" localSheetId="5">'Simple Linear Problem'!$I$5</definedName>
    <definedName name="treat_gas">'Test1 Problem'!$I$5</definedName>
    <definedName name="treat_gas_dens">'Simple  Mass Volume Problem'!$Q$5</definedName>
    <definedName name="treat_gas_mass">'Simple  Mass Volume Problem'!$H$5</definedName>
    <definedName name="treat_gas_vol">'Simple  Mass Volume Problem'!$K$5</definedName>
    <definedName name="World_Feed" localSheetId="7">'Simple  Mass Volume Problem'!$C$10</definedName>
    <definedName name="World_Feed">'Simple Linear Problem'!$C$10</definedName>
    <definedName name="World_Product" localSheetId="7">'Simple  Mass Volume Problem'!$E$10</definedName>
    <definedName name="World_Product">'Simple Linear Problem'!$E$10</definedName>
  </definedNames>
  <calcPr calcId="125725"/>
</workbook>
</file>

<file path=xl/calcChain.xml><?xml version="1.0" encoding="utf-8"?>
<calcChain xmlns="http://schemas.openxmlformats.org/spreadsheetml/2006/main">
  <c r="G6" i="14"/>
  <c r="G5" a="1"/>
  <c r="G5"/>
  <c r="G4"/>
  <c r="G2"/>
  <c r="G153" i="155"/>
  <c r="H153"/>
  <c r="G155"/>
  <c r="H155"/>
  <c r="G156"/>
  <c r="H156"/>
  <c r="G157"/>
  <c r="H157"/>
  <c r="G164"/>
  <c r="H164"/>
  <c r="G167"/>
  <c r="H167"/>
  <c r="G169"/>
  <c r="H169"/>
  <c r="G170"/>
  <c r="H170"/>
  <c r="G171"/>
  <c r="H171"/>
  <c r="J171" s="1"/>
  <c r="G178"/>
  <c r="H178"/>
  <c r="J178" s="1"/>
  <c r="G183"/>
  <c r="H183"/>
  <c r="J183" s="1"/>
  <c r="G184"/>
  <c r="H184"/>
  <c r="J184" s="1"/>
  <c r="G186"/>
  <c r="H186"/>
  <c r="J186" s="1"/>
  <c r="G187"/>
  <c r="H187"/>
  <c r="J187" s="1"/>
  <c r="G189"/>
  <c r="H189"/>
  <c r="J189" s="1"/>
  <c r="I189"/>
  <c r="G190"/>
  <c r="H190"/>
  <c r="J190" s="1"/>
  <c r="G192"/>
  <c r="H192"/>
  <c r="J192" s="1"/>
  <c r="G193"/>
  <c r="H193"/>
  <c r="J193" s="1"/>
  <c r="I193"/>
  <c r="G194"/>
  <c r="H194"/>
  <c r="J194" s="1"/>
  <c r="G196"/>
  <c r="H196"/>
  <c r="J196" s="1"/>
  <c r="G198"/>
  <c r="H198"/>
  <c r="J198" s="1"/>
  <c r="G200"/>
  <c r="H200"/>
  <c r="J200" s="1"/>
  <c r="G206"/>
  <c r="H206"/>
  <c r="J206" s="1"/>
  <c r="G209"/>
  <c r="H209"/>
  <c r="J209" s="1"/>
  <c r="I209"/>
  <c r="G213"/>
  <c r="H213"/>
  <c r="J213" s="1"/>
  <c r="I213"/>
  <c r="G215"/>
  <c r="H215"/>
  <c r="J215" s="1"/>
  <c r="G216"/>
  <c r="H216"/>
  <c r="J216" s="1"/>
  <c r="G217"/>
  <c r="H217"/>
  <c r="J217" s="1"/>
  <c r="I217"/>
  <c r="G218"/>
  <c r="H218"/>
  <c r="J218" s="1"/>
  <c r="G220"/>
  <c r="H220"/>
  <c r="J220" s="1"/>
  <c r="G221"/>
  <c r="H221"/>
  <c r="J221" s="1"/>
  <c r="I221"/>
  <c r="G224"/>
  <c r="H224"/>
  <c r="J224" s="1"/>
  <c r="G225"/>
  <c r="H225"/>
  <c r="J225" s="1"/>
  <c r="I225"/>
  <c r="G227"/>
  <c r="H227"/>
  <c r="J227" s="1"/>
  <c r="G228"/>
  <c r="H228"/>
  <c r="J228" s="1"/>
  <c r="G233"/>
  <c r="H233"/>
  <c r="J233" s="1"/>
  <c r="I233"/>
  <c r="G234"/>
  <c r="H234"/>
  <c r="J234" s="1"/>
  <c r="G235"/>
  <c r="H235"/>
  <c r="J235" s="1"/>
  <c r="G236"/>
  <c r="H236"/>
  <c r="J236" s="1"/>
  <c r="G237"/>
  <c r="H237"/>
  <c r="J237" s="1"/>
  <c r="I237"/>
  <c r="G238"/>
  <c r="H238"/>
  <c r="J238" s="1"/>
  <c r="G239"/>
  <c r="H239"/>
  <c r="J239" s="1"/>
  <c r="G240"/>
  <c r="H240"/>
  <c r="J240" s="1"/>
  <c r="G241"/>
  <c r="H241"/>
  <c r="J241" s="1"/>
  <c r="I241"/>
  <c r="G242"/>
  <c r="H242"/>
  <c r="J242" s="1"/>
  <c r="G243"/>
  <c r="H243"/>
  <c r="J243" s="1"/>
  <c r="G244"/>
  <c r="H244"/>
  <c r="J244" s="1"/>
  <c r="G245"/>
  <c r="H245"/>
  <c r="J245" s="1"/>
  <c r="I245"/>
  <c r="G246"/>
  <c r="H246"/>
  <c r="J246" s="1"/>
  <c r="G247"/>
  <c r="H247"/>
  <c r="J247" s="1"/>
  <c r="G248"/>
  <c r="H248"/>
  <c r="J248" s="1"/>
  <c r="G249"/>
  <c r="H249"/>
  <c r="J249" s="1"/>
  <c r="I249"/>
  <c r="G250"/>
  <c r="H250"/>
  <c r="J250" s="1"/>
  <c r="G251"/>
  <c r="H251"/>
  <c r="J251" s="1"/>
  <c r="G252"/>
  <c r="H252"/>
  <c r="J252" s="1"/>
  <c r="G253"/>
  <c r="H253"/>
  <c r="J253" s="1"/>
  <c r="I253"/>
  <c r="G254"/>
  <c r="H254"/>
  <c r="J254" s="1"/>
  <c r="G255"/>
  <c r="H255"/>
  <c r="J255" s="1"/>
  <c r="G256"/>
  <c r="H256"/>
  <c r="J256" s="1"/>
  <c r="G257"/>
  <c r="H257"/>
  <c r="J257" s="1"/>
  <c r="I257"/>
  <c r="G258"/>
  <c r="H258"/>
  <c r="J258" s="1"/>
  <c r="G259"/>
  <c r="H259"/>
  <c r="J259" s="1"/>
  <c r="G260"/>
  <c r="H260"/>
  <c r="J260" s="1"/>
  <c r="G261"/>
  <c r="H261"/>
  <c r="J261" s="1"/>
  <c r="I261"/>
  <c r="G262"/>
  <c r="H262"/>
  <c r="J262" s="1"/>
  <c r="G263"/>
  <c r="H263"/>
  <c r="J263" s="1"/>
  <c r="G264"/>
  <c r="H264"/>
  <c r="J264" s="1"/>
  <c r="G265"/>
  <c r="H265"/>
  <c r="J265" s="1"/>
  <c r="I265"/>
  <c r="G267"/>
  <c r="H267"/>
  <c r="J267" s="1"/>
  <c r="G268"/>
  <c r="H268"/>
  <c r="J268" s="1"/>
  <c r="G270"/>
  <c r="H270"/>
  <c r="J270" s="1"/>
  <c r="G271"/>
  <c r="H271"/>
  <c r="J271" s="1"/>
  <c r="G273"/>
  <c r="H273"/>
  <c r="J273" s="1"/>
  <c r="I273"/>
  <c r="G274"/>
  <c r="H274"/>
  <c r="J274" s="1"/>
  <c r="G276"/>
  <c r="H276"/>
  <c r="J276" s="1"/>
  <c r="G277"/>
  <c r="H277"/>
  <c r="J277" s="1"/>
  <c r="I277"/>
  <c r="G279"/>
  <c r="H279"/>
  <c r="J279" s="1"/>
  <c r="G280"/>
  <c r="H280"/>
  <c r="J280" s="1"/>
  <c r="G285"/>
  <c r="H285"/>
  <c r="J285" s="1"/>
  <c r="I285"/>
  <c r="G289"/>
  <c r="H289"/>
  <c r="J289" s="1"/>
  <c r="I289"/>
  <c r="G293"/>
  <c r="H293"/>
  <c r="J293" s="1"/>
  <c r="I293"/>
  <c r="G295"/>
  <c r="H295"/>
  <c r="J295" s="1"/>
  <c r="G297"/>
  <c r="H297"/>
  <c r="J297" s="1"/>
  <c r="I297"/>
  <c r="G299"/>
  <c r="H299"/>
  <c r="J299" s="1"/>
  <c r="G300"/>
  <c r="H300"/>
  <c r="J300" s="1"/>
  <c r="G301"/>
  <c r="H301"/>
  <c r="J301" s="1"/>
  <c r="I301"/>
  <c r="G303"/>
  <c r="H303"/>
  <c r="J303" s="1"/>
  <c r="G305"/>
  <c r="H305"/>
  <c r="J305" s="1"/>
  <c r="I305"/>
  <c r="G307"/>
  <c r="H307"/>
  <c r="J307" s="1"/>
  <c r="G309"/>
  <c r="H309"/>
  <c r="J309" s="1"/>
  <c r="I309"/>
  <c r="G311"/>
  <c r="H311"/>
  <c r="J311" s="1"/>
  <c r="G312"/>
  <c r="H312"/>
  <c r="J312" s="1"/>
  <c r="G313"/>
  <c r="H313"/>
  <c r="J313" s="1"/>
  <c r="I313"/>
  <c r="G315"/>
  <c r="H315"/>
  <c r="J315" s="1"/>
  <c r="G318"/>
  <c r="H318"/>
  <c r="J318" s="1"/>
  <c r="G319"/>
  <c r="H319"/>
  <c r="J319" s="1"/>
  <c r="G321"/>
  <c r="H321"/>
  <c r="J321" s="1"/>
  <c r="I321"/>
  <c r="G323"/>
  <c r="H323"/>
  <c r="J323" s="1"/>
  <c r="G324"/>
  <c r="H324"/>
  <c r="J324" s="1"/>
  <c r="G325"/>
  <c r="H325"/>
  <c r="J325" s="1"/>
  <c r="I325"/>
  <c r="G327"/>
  <c r="H327"/>
  <c r="J327" s="1"/>
  <c r="G329"/>
  <c r="H329"/>
  <c r="J329" s="1"/>
  <c r="I329"/>
  <c r="G331"/>
  <c r="H331"/>
  <c r="J331" s="1"/>
  <c r="G333"/>
  <c r="H333"/>
  <c r="J333" s="1"/>
  <c r="I333"/>
  <c r="G334"/>
  <c r="H334"/>
  <c r="J334" s="1"/>
  <c r="G339"/>
  <c r="H339"/>
  <c r="J339" s="1"/>
  <c r="G340"/>
  <c r="H340"/>
  <c r="J340" s="1"/>
  <c r="G341"/>
  <c r="H341"/>
  <c r="J341" s="1"/>
  <c r="I341"/>
  <c r="G342"/>
  <c r="H342"/>
  <c r="J342" s="1"/>
  <c r="G343"/>
  <c r="H343"/>
  <c r="J343" s="1"/>
  <c r="G345"/>
  <c r="H345"/>
  <c r="J345" s="1"/>
  <c r="I345"/>
  <c r="G346"/>
  <c r="H346"/>
  <c r="J346" s="1"/>
  <c r="G347"/>
  <c r="H347"/>
  <c r="J347" s="1"/>
  <c r="G348"/>
  <c r="H348"/>
  <c r="J348" s="1"/>
  <c r="G349"/>
  <c r="H349"/>
  <c r="J349" s="1"/>
  <c r="I349"/>
  <c r="G350"/>
  <c r="H350"/>
  <c r="J350" s="1"/>
  <c r="G351"/>
  <c r="H351"/>
  <c r="J351" s="1"/>
  <c r="G352"/>
  <c r="H352"/>
  <c r="J352" s="1"/>
  <c r="G354"/>
  <c r="H354"/>
  <c r="J354" s="1"/>
  <c r="G355"/>
  <c r="H355"/>
  <c r="J355" s="1"/>
  <c r="G356"/>
  <c r="H356"/>
  <c r="J356" s="1"/>
  <c r="G357"/>
  <c r="H357"/>
  <c r="J357" s="1"/>
  <c r="I357"/>
  <c r="G358"/>
  <c r="H358"/>
  <c r="J358" s="1"/>
  <c r="G359"/>
  <c r="H359"/>
  <c r="J359" s="1"/>
  <c r="G360"/>
  <c r="H360"/>
  <c r="J360" s="1"/>
  <c r="G361"/>
  <c r="H361"/>
  <c r="J361" s="1"/>
  <c r="I361"/>
  <c r="G363"/>
  <c r="H363"/>
  <c r="J363" s="1"/>
  <c r="G364"/>
  <c r="H364"/>
  <c r="J364" s="1"/>
  <c r="G365"/>
  <c r="H365"/>
  <c r="J365" s="1"/>
  <c r="I365"/>
  <c r="G366"/>
  <c r="H366"/>
  <c r="J366" s="1"/>
  <c r="G367"/>
  <c r="H367"/>
  <c r="J367" s="1"/>
  <c r="G368"/>
  <c r="H368"/>
  <c r="J368" s="1"/>
  <c r="G369"/>
  <c r="H369"/>
  <c r="J369" s="1"/>
  <c r="I369"/>
  <c r="G370"/>
  <c r="H370"/>
  <c r="J370" s="1"/>
  <c r="G372"/>
  <c r="H372"/>
  <c r="J372" s="1"/>
  <c r="G373"/>
  <c r="H373"/>
  <c r="J373" s="1"/>
  <c r="I373"/>
  <c r="G374"/>
  <c r="H374"/>
  <c r="J374" s="1"/>
  <c r="G375"/>
  <c r="H375"/>
  <c r="J375" s="1"/>
  <c r="G376"/>
  <c r="H376"/>
  <c r="J376" s="1"/>
  <c r="G378"/>
  <c r="H378"/>
  <c r="J378" s="1"/>
  <c r="G379"/>
  <c r="H379"/>
  <c r="J379" s="1"/>
  <c r="G380"/>
  <c r="H380"/>
  <c r="J380" s="1"/>
  <c r="G381"/>
  <c r="H381"/>
  <c r="J381" s="1"/>
  <c r="I381"/>
  <c r="G382"/>
  <c r="H382"/>
  <c r="J382" s="1"/>
  <c r="G384"/>
  <c r="H384"/>
  <c r="J384" s="1"/>
  <c r="G385"/>
  <c r="H385"/>
  <c r="J385" s="1"/>
  <c r="I385"/>
  <c r="G386"/>
  <c r="H386"/>
  <c r="J386" s="1"/>
  <c r="H5" i="156"/>
  <c r="H4" a="1"/>
  <c r="G1" i="14"/>
  <c r="E139" i="156"/>
  <c r="E133"/>
  <c r="E124"/>
  <c r="E110"/>
  <c r="C147"/>
  <c r="C387" a="1"/>
  <c r="C387" s="1"/>
  <c r="C386" a="1"/>
  <c r="C386" s="1"/>
  <c r="C25" s="1"/>
  <c r="C385" a="1"/>
  <c r="C385" s="1"/>
  <c r="C384" a="1"/>
  <c r="C384" s="1"/>
  <c r="C383" a="1"/>
  <c r="C383" s="1"/>
  <c r="C382" a="1"/>
  <c r="C382" s="1"/>
  <c r="C381" a="1"/>
  <c r="C381" s="1"/>
  <c r="C380" a="1"/>
  <c r="C380" s="1"/>
  <c r="C379" a="1"/>
  <c r="C379" s="1"/>
  <c r="C378" a="1"/>
  <c r="C378" s="1"/>
  <c r="C377" a="1"/>
  <c r="C377" s="1"/>
  <c r="C376" a="1"/>
  <c r="C376" s="1"/>
  <c r="C375" a="1"/>
  <c r="C375" s="1"/>
  <c r="C374" a="1"/>
  <c r="C374" s="1"/>
  <c r="C373" a="1"/>
  <c r="C373" s="1"/>
  <c r="C372" a="1"/>
  <c r="C372" s="1"/>
  <c r="C148" s="1"/>
  <c r="C371" a="1"/>
  <c r="C371" s="1"/>
  <c r="C370" a="1"/>
  <c r="C370" s="1"/>
  <c r="C369" a="1"/>
  <c r="C369" s="1"/>
  <c r="E148" s="1"/>
  <c r="C368" a="1"/>
  <c r="C368" s="1"/>
  <c r="C367" a="1"/>
  <c r="C367" s="1"/>
  <c r="E147" s="1"/>
  <c r="C366" a="1"/>
  <c r="C366" s="1"/>
  <c r="C365" a="1"/>
  <c r="C365" s="1"/>
  <c r="C364" a="1"/>
  <c r="C364" s="1"/>
  <c r="C363" a="1"/>
  <c r="C363" s="1"/>
  <c r="C146" s="1"/>
  <c r="C362" a="1"/>
  <c r="C362" s="1"/>
  <c r="C361" a="1"/>
  <c r="C361" s="1"/>
  <c r="C145" s="1"/>
  <c r="C360"/>
  <c r="E146" s="1"/>
  <c r="C360" a="1"/>
  <c r="C359" a="1"/>
  <c r="C359" s="1"/>
  <c r="C358" a="1"/>
  <c r="C358" s="1"/>
  <c r="E145" s="1"/>
  <c r="C357" a="1"/>
  <c r="C357" s="1"/>
  <c r="C356" a="1"/>
  <c r="C356" s="1"/>
  <c r="C355" a="1"/>
  <c r="C355" s="1"/>
  <c r="C354" a="1"/>
  <c r="C354" s="1"/>
  <c r="C144" s="1"/>
  <c r="C353" a="1"/>
  <c r="C353" s="1"/>
  <c r="C352" a="1"/>
  <c r="C352" s="1"/>
  <c r="C143" s="1"/>
  <c r="C351" a="1"/>
  <c r="C351" s="1"/>
  <c r="E144" s="1"/>
  <c r="C350" a="1"/>
  <c r="C350" s="1"/>
  <c r="C349" a="1"/>
  <c r="C349" s="1"/>
  <c r="E143" s="1"/>
  <c r="C348" a="1"/>
  <c r="C348" s="1"/>
  <c r="C347" a="1"/>
  <c r="C347" s="1"/>
  <c r="C346" a="1"/>
  <c r="C346" s="1"/>
  <c r="C345" a="1"/>
  <c r="C345" s="1"/>
  <c r="C142" s="1"/>
  <c r="C344" a="1"/>
  <c r="C344" s="1"/>
  <c r="C343" a="1"/>
  <c r="C343" s="1"/>
  <c r="C141" s="1"/>
  <c r="C342" a="1"/>
  <c r="C342" s="1"/>
  <c r="E142" s="1"/>
  <c r="C341" a="1"/>
  <c r="C341" s="1"/>
  <c r="C340" a="1"/>
  <c r="C340" s="1"/>
  <c r="E141" s="1"/>
  <c r="C339" a="1"/>
  <c r="C339" s="1"/>
  <c r="C338" a="1"/>
  <c r="C338" s="1"/>
  <c r="C74" s="1"/>
  <c r="C337" a="1"/>
  <c r="C337" s="1"/>
  <c r="C73" s="1"/>
  <c r="C336"/>
  <c r="C71" s="1"/>
  <c r="C336" a="1"/>
  <c r="C335" a="1"/>
  <c r="C335" s="1"/>
  <c r="C334" a="1"/>
  <c r="C334" s="1"/>
  <c r="C333" a="1"/>
  <c r="C333" s="1"/>
  <c r="C69" s="1"/>
  <c r="C332" a="1"/>
  <c r="C332" s="1"/>
  <c r="C331" a="1"/>
  <c r="C331" s="1"/>
  <c r="C330" a="1"/>
  <c r="C330" s="1"/>
  <c r="C139" s="1"/>
  <c r="C329" a="1"/>
  <c r="C329" s="1"/>
  <c r="E67" s="1"/>
  <c r="C328" a="1"/>
  <c r="C328" s="1"/>
  <c r="C67" s="1"/>
  <c r="C327" a="1"/>
  <c r="C327" s="1"/>
  <c r="C326" a="1"/>
  <c r="C326" s="1"/>
  <c r="C325" a="1"/>
  <c r="C325" s="1"/>
  <c r="C324" a="1"/>
  <c r="C324" s="1"/>
  <c r="C323" a="1"/>
  <c r="C323" s="1"/>
  <c r="C322" a="1"/>
  <c r="C322" s="1"/>
  <c r="C321" a="1"/>
  <c r="C321" s="1"/>
  <c r="C320" a="1"/>
  <c r="C320" s="1"/>
  <c r="C319" a="1"/>
  <c r="C319" s="1"/>
  <c r="C318" a="1"/>
  <c r="C318" s="1"/>
  <c r="C137" s="1"/>
  <c r="C317" a="1"/>
  <c r="C317" s="1"/>
  <c r="E63" s="1"/>
  <c r="C316" a="1"/>
  <c r="C316" s="1"/>
  <c r="C138" s="1"/>
  <c r="C315" a="1"/>
  <c r="C315" s="1"/>
  <c r="C314" a="1"/>
  <c r="C314" s="1"/>
  <c r="C313" a="1"/>
  <c r="C313" s="1"/>
  <c r="C312" a="1"/>
  <c r="C312" s="1"/>
  <c r="C311" a="1"/>
  <c r="C311" s="1"/>
  <c r="C310" a="1"/>
  <c r="C310" s="1"/>
  <c r="C309" a="1"/>
  <c r="C309" s="1"/>
  <c r="E137" s="1"/>
  <c r="C308" a="1"/>
  <c r="C308" s="1"/>
  <c r="C307" a="1"/>
  <c r="C307" s="1"/>
  <c r="C306" a="1"/>
  <c r="C306" s="1"/>
  <c r="C135" s="1"/>
  <c r="C305" a="1"/>
  <c r="C305" s="1"/>
  <c r="E59" s="1"/>
  <c r="C304" a="1"/>
  <c r="C304" s="1"/>
  <c r="C59" s="1"/>
  <c r="C303" a="1"/>
  <c r="C303" s="1"/>
  <c r="E69" s="1"/>
  <c r="C302" a="1"/>
  <c r="C302" s="1"/>
  <c r="C301" a="1"/>
  <c r="C301" s="1"/>
  <c r="C300" a="1"/>
  <c r="C300" s="1"/>
  <c r="C299" a="1"/>
  <c r="C299" s="1"/>
  <c r="C298" a="1"/>
  <c r="C298" s="1"/>
  <c r="C297" a="1"/>
  <c r="C297" s="1"/>
  <c r="E135" s="1"/>
  <c r="C296" a="1"/>
  <c r="C296" s="1"/>
  <c r="E115" s="1"/>
  <c r="C295" a="1"/>
  <c r="C295" s="1"/>
  <c r="E28" s="1"/>
  <c r="C294" a="1"/>
  <c r="C294" s="1"/>
  <c r="E113" s="1"/>
  <c r="C293" a="1"/>
  <c r="C293" s="1"/>
  <c r="C292" a="1"/>
  <c r="C292" s="1"/>
  <c r="C77" s="1"/>
  <c r="C291" a="1"/>
  <c r="C291" s="1"/>
  <c r="C290" a="1"/>
  <c r="C290" s="1"/>
  <c r="C289" a="1"/>
  <c r="C289" s="1"/>
  <c r="C288" a="1"/>
  <c r="C288" s="1"/>
  <c r="C287" a="1"/>
  <c r="C287" s="1"/>
  <c r="E31" s="1"/>
  <c r="C286" a="1"/>
  <c r="C286" s="1"/>
  <c r="C285" a="1"/>
  <c r="C285" s="1"/>
  <c r="C284" a="1"/>
  <c r="C284" s="1"/>
  <c r="C283" a="1"/>
  <c r="C283" s="1"/>
  <c r="C282" a="1"/>
  <c r="C282" s="1"/>
  <c r="E131" s="1"/>
  <c r="C281" a="1"/>
  <c r="C281" s="1"/>
  <c r="E134" s="1"/>
  <c r="C280" a="1"/>
  <c r="C280" s="1"/>
  <c r="C279" a="1"/>
  <c r="C279" s="1"/>
  <c r="E132" s="1"/>
  <c r="C278" a="1"/>
  <c r="C278" s="1"/>
  <c r="E129" s="1"/>
  <c r="C277" a="1"/>
  <c r="C277" s="1"/>
  <c r="C276" a="1"/>
  <c r="C276" s="1"/>
  <c r="E127" s="1"/>
  <c r="C275" a="1"/>
  <c r="C275" s="1"/>
  <c r="E130" s="1"/>
  <c r="C274" a="1"/>
  <c r="C274" s="1"/>
  <c r="C273" a="1"/>
  <c r="C273" s="1"/>
  <c r="E128" s="1"/>
  <c r="C272"/>
  <c r="E125" s="1"/>
  <c r="C272" a="1"/>
  <c r="C271" a="1"/>
  <c r="C271" s="1"/>
  <c r="C270" a="1"/>
  <c r="C270" s="1"/>
  <c r="E123" s="1"/>
  <c r="C269" a="1"/>
  <c r="C269" s="1"/>
  <c r="E126" s="1"/>
  <c r="C268" a="1"/>
  <c r="C268" s="1"/>
  <c r="C267" a="1"/>
  <c r="C267" s="1"/>
  <c r="C266" a="1"/>
  <c r="C266" s="1"/>
  <c r="E121" s="1"/>
  <c r="C265" a="1"/>
  <c r="C265" s="1"/>
  <c r="C264"/>
  <c r="E119" s="1"/>
  <c r="C264" a="1"/>
  <c r="C263" a="1"/>
  <c r="C263" s="1"/>
  <c r="E122" s="1"/>
  <c r="C262" a="1"/>
  <c r="C262" s="1"/>
  <c r="C261" a="1"/>
  <c r="C261" s="1"/>
  <c r="E120" s="1"/>
  <c r="C260" a="1"/>
  <c r="C260" s="1"/>
  <c r="C259" a="1"/>
  <c r="C259" s="1"/>
  <c r="C258" a="1"/>
  <c r="C258" s="1"/>
  <c r="C257" a="1"/>
  <c r="C257" s="1"/>
  <c r="C256" a="1"/>
  <c r="C256" s="1"/>
  <c r="C255" a="1"/>
  <c r="C255" s="1"/>
  <c r="C254" a="1"/>
  <c r="C254" s="1"/>
  <c r="C253" a="1"/>
  <c r="C253" s="1"/>
  <c r="C252" a="1"/>
  <c r="C252" s="1"/>
  <c r="C251" a="1"/>
  <c r="C251" s="1"/>
  <c r="C250" a="1"/>
  <c r="C250" s="1"/>
  <c r="C249" a="1"/>
  <c r="C249" s="1"/>
  <c r="C248" a="1"/>
  <c r="C248" s="1"/>
  <c r="C247" a="1"/>
  <c r="C247" s="1"/>
  <c r="C246" a="1"/>
  <c r="C246" s="1"/>
  <c r="C245" a="1"/>
  <c r="C245" s="1"/>
  <c r="C244" a="1"/>
  <c r="C244" s="1"/>
  <c r="E71" s="1"/>
  <c r="C243" a="1"/>
  <c r="C243" s="1"/>
  <c r="E43" s="1"/>
  <c r="C242" a="1"/>
  <c r="C242" s="1"/>
  <c r="C118" s="1"/>
  <c r="C241" a="1"/>
  <c r="C241" s="1"/>
  <c r="C240" a="1"/>
  <c r="C240" s="1"/>
  <c r="C117" s="1"/>
  <c r="C239" a="1"/>
  <c r="C239" s="1"/>
  <c r="C238" a="1"/>
  <c r="C238" s="1"/>
  <c r="C237" a="1"/>
  <c r="C237" s="1"/>
  <c r="C236" a="1"/>
  <c r="C236" s="1"/>
  <c r="E118" s="1"/>
  <c r="C235" a="1"/>
  <c r="C235" s="1"/>
  <c r="C234" a="1"/>
  <c r="C234" s="1"/>
  <c r="E117" s="1"/>
  <c r="C233" a="1"/>
  <c r="C233" s="1"/>
  <c r="C232" a="1"/>
  <c r="C232" s="1"/>
  <c r="E37" s="1"/>
  <c r="C231" a="1"/>
  <c r="C231" s="1"/>
  <c r="C230" a="1"/>
  <c r="C230" s="1"/>
  <c r="C72" s="1"/>
  <c r="C229" a="1"/>
  <c r="C229" s="1"/>
  <c r="C228" a="1"/>
  <c r="C228" s="1"/>
  <c r="C227" a="1"/>
  <c r="C227" s="1"/>
  <c r="E91" s="1"/>
  <c r="C226" a="1"/>
  <c r="C226" s="1"/>
  <c r="C225" a="1"/>
  <c r="C225" s="1"/>
  <c r="C224" a="1"/>
  <c r="C224" s="1"/>
  <c r="E44" s="1"/>
  <c r="C223" a="1"/>
  <c r="C223" s="1"/>
  <c r="C33" s="1"/>
  <c r="C222" a="1"/>
  <c r="C222" s="1"/>
  <c r="C221" a="1"/>
  <c r="C221" s="1"/>
  <c r="C220" a="1"/>
  <c r="C220" s="1"/>
  <c r="C219" a="1"/>
  <c r="C219" s="1"/>
  <c r="C218" a="1"/>
  <c r="C218" s="1"/>
  <c r="C217" a="1"/>
  <c r="C217" s="1"/>
  <c r="E35" s="1"/>
  <c r="C216" a="1"/>
  <c r="C216" s="1"/>
  <c r="C215" a="1"/>
  <c r="C215" s="1"/>
  <c r="C214" a="1"/>
  <c r="C214" s="1"/>
  <c r="C213" a="1"/>
  <c r="C213" s="1"/>
  <c r="C113" s="1"/>
  <c r="C212" a="1"/>
  <c r="C212" s="1"/>
  <c r="C115" s="1"/>
  <c r="C211" a="1"/>
  <c r="C211" s="1"/>
  <c r="E62" s="1"/>
  <c r="C210" a="1"/>
  <c r="C210" s="1"/>
  <c r="C112" s="1"/>
  <c r="C209" a="1"/>
  <c r="C209" s="1"/>
  <c r="C114" s="1"/>
  <c r="C208"/>
  <c r="C208" a="1"/>
  <c r="C207" a="1"/>
  <c r="C207" s="1"/>
  <c r="C111" s="1"/>
  <c r="C206" a="1"/>
  <c r="C206" s="1"/>
  <c r="E101" s="1"/>
  <c r="C205" a="1"/>
  <c r="C205" s="1"/>
  <c r="C204" a="1"/>
  <c r="C204" s="1"/>
  <c r="E100" s="1"/>
  <c r="C203" a="1"/>
  <c r="C203" s="1"/>
  <c r="C102" s="1"/>
  <c r="C202" a="1"/>
  <c r="C202" s="1"/>
  <c r="C201" a="1"/>
  <c r="C201" s="1"/>
  <c r="C100" s="1"/>
  <c r="C200"/>
  <c r="C101" s="1"/>
  <c r="C200" a="1"/>
  <c r="C199" a="1"/>
  <c r="C199" s="1"/>
  <c r="C198" a="1"/>
  <c r="C198" s="1"/>
  <c r="C99" s="1"/>
  <c r="C197" a="1"/>
  <c r="C197" s="1"/>
  <c r="C106" s="1"/>
  <c r="C196" a="1"/>
  <c r="C196" s="1"/>
  <c r="E19" s="1"/>
  <c r="C195" a="1"/>
  <c r="C195" s="1"/>
  <c r="C107" s="1"/>
  <c r="C194" a="1"/>
  <c r="C194" s="1"/>
  <c r="C193" a="1"/>
  <c r="C193" s="1"/>
  <c r="C192" a="1"/>
  <c r="C192" s="1"/>
  <c r="E109" s="1"/>
  <c r="C191" a="1"/>
  <c r="C191" s="1"/>
  <c r="E108" s="1"/>
  <c r="C190" a="1"/>
  <c r="C190" s="1"/>
  <c r="C189" a="1"/>
  <c r="C189" s="1"/>
  <c r="E107" s="1"/>
  <c r="C188" a="1"/>
  <c r="C188" s="1"/>
  <c r="E106" s="1"/>
  <c r="C187" a="1"/>
  <c r="C187" s="1"/>
  <c r="C186" a="1"/>
  <c r="C186" s="1"/>
  <c r="E105" s="1"/>
  <c r="C185" a="1"/>
  <c r="C185" s="1"/>
  <c r="E104" s="1"/>
  <c r="C184" a="1"/>
  <c r="C184" s="1"/>
  <c r="C183" a="1"/>
  <c r="C183" s="1"/>
  <c r="E103" s="1"/>
  <c r="C182" a="1"/>
  <c r="C182" s="1"/>
  <c r="C11" s="1"/>
  <c r="C181" a="1"/>
  <c r="C181" s="1"/>
  <c r="C180" a="1"/>
  <c r="C180" s="1"/>
  <c r="E9" s="1"/>
  <c r="C179" a="1"/>
  <c r="C179" s="1"/>
  <c r="C96" s="1"/>
  <c r="C178" a="1"/>
  <c r="C178" s="1"/>
  <c r="C133" s="1"/>
  <c r="C177" a="1"/>
  <c r="C177" s="1"/>
  <c r="E55" s="1"/>
  <c r="C176" a="1"/>
  <c r="C176" s="1"/>
  <c r="C132" s="1"/>
  <c r="C175" a="1"/>
  <c r="C175" s="1"/>
  <c r="C130" s="1"/>
  <c r="C174" a="1"/>
  <c r="C174" s="1"/>
  <c r="E52" s="1"/>
  <c r="C173" a="1"/>
  <c r="C173" s="1"/>
  <c r="E97" s="1"/>
  <c r="C172" a="1"/>
  <c r="C172" s="1"/>
  <c r="C171" a="1"/>
  <c r="C171" s="1"/>
  <c r="C170" a="1"/>
  <c r="C170" s="1"/>
  <c r="C169" a="1"/>
  <c r="C169" s="1"/>
  <c r="C168" a="1"/>
  <c r="C168" s="1"/>
  <c r="C167" a="1"/>
  <c r="C167" s="1"/>
  <c r="C98" s="1"/>
  <c r="C166" a="1"/>
  <c r="C166" s="1"/>
  <c r="E5" s="1"/>
  <c r="C165" a="1"/>
  <c r="C165" s="1"/>
  <c r="C93" s="1"/>
  <c r="C164" a="1"/>
  <c r="C164" s="1"/>
  <c r="C125" s="1"/>
  <c r="C163" a="1"/>
  <c r="C163" s="1"/>
  <c r="E49" s="1"/>
  <c r="C162" a="1"/>
  <c r="C162" s="1"/>
  <c r="C124" s="1"/>
  <c r="C161" a="1"/>
  <c r="C161" s="1"/>
  <c r="C121" s="1"/>
  <c r="C160" a="1"/>
  <c r="C160" s="1"/>
  <c r="E46" s="1"/>
  <c r="C159" a="1"/>
  <c r="C159" s="1"/>
  <c r="E94" s="1"/>
  <c r="C158" a="1"/>
  <c r="C158" s="1"/>
  <c r="C157" a="1"/>
  <c r="C157" s="1"/>
  <c r="C156" a="1"/>
  <c r="C156" s="1"/>
  <c r="C155" a="1"/>
  <c r="C155" s="1"/>
  <c r="C154" a="1"/>
  <c r="C154" s="1"/>
  <c r="C153" a="1"/>
  <c r="C153" s="1"/>
  <c r="C94" s="1"/>
  <c r="C152"/>
  <c r="C152" a="1"/>
  <c r="C151" a="1"/>
  <c r="C151" s="1"/>
  <c r="C151" i="155" a="1"/>
  <c r="C151" s="1"/>
  <c r="C152" a="1"/>
  <c r="C152" s="1"/>
  <c r="C153" a="1"/>
  <c r="C153" s="1"/>
  <c r="C154" a="1"/>
  <c r="C154" s="1"/>
  <c r="C155" a="1"/>
  <c r="C155" s="1"/>
  <c r="C156" a="1"/>
  <c r="C156" s="1"/>
  <c r="C157" a="1"/>
  <c r="C157" s="1"/>
  <c r="C158" a="1"/>
  <c r="C158" s="1"/>
  <c r="C159" a="1"/>
  <c r="C159" s="1"/>
  <c r="C160" a="1"/>
  <c r="C160" s="1"/>
  <c r="C161" a="1"/>
  <c r="C161" s="1"/>
  <c r="C162" a="1"/>
  <c r="C162" s="1"/>
  <c r="C163" a="1"/>
  <c r="C163" s="1"/>
  <c r="C164" a="1"/>
  <c r="C164" s="1"/>
  <c r="C165" a="1"/>
  <c r="C165" s="1"/>
  <c r="C166" a="1"/>
  <c r="C166" s="1"/>
  <c r="C167" a="1"/>
  <c r="C167" s="1"/>
  <c r="C168" a="1"/>
  <c r="C168" s="1"/>
  <c r="C169" a="1"/>
  <c r="C169" s="1"/>
  <c r="C170" a="1"/>
  <c r="C170" s="1"/>
  <c r="C171" a="1"/>
  <c r="C171" s="1"/>
  <c r="C172" a="1"/>
  <c r="C172" s="1"/>
  <c r="C173" a="1"/>
  <c r="C173" s="1"/>
  <c r="C174" a="1"/>
  <c r="C174" s="1"/>
  <c r="C175" a="1"/>
  <c r="C175" s="1"/>
  <c r="C176" a="1"/>
  <c r="C176" s="1"/>
  <c r="C177" a="1"/>
  <c r="C177" s="1"/>
  <c r="C178" a="1"/>
  <c r="C178" s="1"/>
  <c r="C179" a="1"/>
  <c r="C179" s="1"/>
  <c r="C180" a="1"/>
  <c r="C180" s="1"/>
  <c r="C181" a="1"/>
  <c r="C181" s="1"/>
  <c r="C182" a="1"/>
  <c r="C182" s="1"/>
  <c r="C183" a="1"/>
  <c r="C183" s="1"/>
  <c r="C184" a="1"/>
  <c r="C184" s="1"/>
  <c r="C185" a="1"/>
  <c r="C185" s="1"/>
  <c r="C186" a="1"/>
  <c r="C186" s="1"/>
  <c r="C187" a="1"/>
  <c r="C187" s="1"/>
  <c r="C188" a="1"/>
  <c r="C188" s="1"/>
  <c r="C189" a="1"/>
  <c r="C189" s="1"/>
  <c r="C190" a="1"/>
  <c r="C190" s="1"/>
  <c r="C191" a="1"/>
  <c r="C191" s="1"/>
  <c r="C192" a="1"/>
  <c r="C192" s="1"/>
  <c r="C193" a="1"/>
  <c r="C193" s="1"/>
  <c r="C194" a="1"/>
  <c r="C194" s="1"/>
  <c r="C195" a="1"/>
  <c r="C195" s="1"/>
  <c r="C196" a="1"/>
  <c r="C196" s="1"/>
  <c r="C197" a="1"/>
  <c r="C197" s="1"/>
  <c r="C198" a="1"/>
  <c r="C198" s="1"/>
  <c r="C199" a="1"/>
  <c r="C199" s="1"/>
  <c r="C200" a="1"/>
  <c r="C200" s="1"/>
  <c r="C201" a="1"/>
  <c r="C201" s="1"/>
  <c r="C202" a="1"/>
  <c r="C202" s="1"/>
  <c r="C203" a="1"/>
  <c r="C203" s="1"/>
  <c r="C204" a="1"/>
  <c r="C204" s="1"/>
  <c r="C205" a="1"/>
  <c r="C205" s="1"/>
  <c r="C206" a="1"/>
  <c r="C206" s="1"/>
  <c r="C207" a="1"/>
  <c r="C207" s="1"/>
  <c r="C208" a="1"/>
  <c r="C208" s="1"/>
  <c r="C209" a="1"/>
  <c r="C209" s="1"/>
  <c r="C210" a="1"/>
  <c r="C210" s="1"/>
  <c r="C211" a="1"/>
  <c r="C211" s="1"/>
  <c r="C212" a="1"/>
  <c r="C212" s="1"/>
  <c r="C213" a="1"/>
  <c r="C213" s="1"/>
  <c r="C214" a="1"/>
  <c r="C214" s="1"/>
  <c r="C215" a="1"/>
  <c r="C215" s="1"/>
  <c r="C216" a="1"/>
  <c r="C216" s="1"/>
  <c r="C217" a="1"/>
  <c r="C217" s="1"/>
  <c r="C218" a="1"/>
  <c r="C218" s="1"/>
  <c r="C219" a="1"/>
  <c r="C219" s="1"/>
  <c r="C220" a="1"/>
  <c r="C220" s="1"/>
  <c r="C221" a="1"/>
  <c r="C221" s="1"/>
  <c r="C222" a="1"/>
  <c r="C222" s="1"/>
  <c r="C223" a="1"/>
  <c r="C223" s="1"/>
  <c r="C224" a="1"/>
  <c r="C224" s="1"/>
  <c r="C225" a="1"/>
  <c r="C225" s="1"/>
  <c r="C226" a="1"/>
  <c r="C226" s="1"/>
  <c r="C227" a="1"/>
  <c r="C227" s="1"/>
  <c r="C228" a="1"/>
  <c r="C228" s="1"/>
  <c r="C229" a="1"/>
  <c r="C229" s="1"/>
  <c r="C230" a="1"/>
  <c r="C230" s="1"/>
  <c r="C231" a="1"/>
  <c r="C231" s="1"/>
  <c r="C232" a="1"/>
  <c r="C232" s="1"/>
  <c r="C233" a="1"/>
  <c r="C233" s="1"/>
  <c r="C234" a="1"/>
  <c r="C234" s="1"/>
  <c r="C235" a="1"/>
  <c r="C235" s="1"/>
  <c r="C236" a="1"/>
  <c r="C236" s="1"/>
  <c r="C237" a="1"/>
  <c r="C237" s="1"/>
  <c r="C238" a="1"/>
  <c r="C238" s="1"/>
  <c r="C239" a="1"/>
  <c r="C239" s="1"/>
  <c r="C240" a="1"/>
  <c r="C240" s="1"/>
  <c r="C241" a="1"/>
  <c r="C241" s="1"/>
  <c r="C242" a="1"/>
  <c r="C242" s="1"/>
  <c r="C243" a="1"/>
  <c r="C243" s="1"/>
  <c r="C244" a="1"/>
  <c r="C244" s="1"/>
  <c r="C245" a="1"/>
  <c r="C245" s="1"/>
  <c r="C246" a="1"/>
  <c r="C246" s="1"/>
  <c r="C247" a="1"/>
  <c r="C247" s="1"/>
  <c r="C248" a="1"/>
  <c r="C248" s="1"/>
  <c r="C249" a="1"/>
  <c r="C249" s="1"/>
  <c r="C250" a="1"/>
  <c r="C250" s="1"/>
  <c r="C251" a="1"/>
  <c r="C251" s="1"/>
  <c r="C252" a="1"/>
  <c r="C252" s="1"/>
  <c r="C253" a="1"/>
  <c r="C253" s="1"/>
  <c r="C254" a="1"/>
  <c r="C254" s="1"/>
  <c r="C255" a="1"/>
  <c r="C255" s="1"/>
  <c r="C256" a="1"/>
  <c r="C256" s="1"/>
  <c r="C257" a="1"/>
  <c r="C257" s="1"/>
  <c r="C258" a="1"/>
  <c r="C258" s="1"/>
  <c r="C259" a="1"/>
  <c r="C259" s="1"/>
  <c r="C260" a="1"/>
  <c r="C260" s="1"/>
  <c r="C261" a="1"/>
  <c r="C261" s="1"/>
  <c r="C262" a="1"/>
  <c r="C262" s="1"/>
  <c r="C263" a="1"/>
  <c r="C263" s="1"/>
  <c r="C264" a="1"/>
  <c r="C264" s="1"/>
  <c r="C265" a="1"/>
  <c r="C265" s="1"/>
  <c r="C266" a="1"/>
  <c r="C266" s="1"/>
  <c r="C267" a="1"/>
  <c r="C267" s="1"/>
  <c r="C268" a="1"/>
  <c r="C268" s="1"/>
  <c r="C269" a="1"/>
  <c r="C269" s="1"/>
  <c r="C270" a="1"/>
  <c r="C270" s="1"/>
  <c r="C271" a="1"/>
  <c r="C271" s="1"/>
  <c r="C272" a="1"/>
  <c r="C272" s="1"/>
  <c r="C273" a="1"/>
  <c r="C273" s="1"/>
  <c r="C274" a="1"/>
  <c r="C274" s="1"/>
  <c r="C275" a="1"/>
  <c r="C275" s="1"/>
  <c r="C276" a="1"/>
  <c r="C276" s="1"/>
  <c r="C277" a="1"/>
  <c r="C277" s="1"/>
  <c r="C278" a="1"/>
  <c r="C278" s="1"/>
  <c r="C279" a="1"/>
  <c r="C279" s="1"/>
  <c r="C280" a="1"/>
  <c r="C280" s="1"/>
  <c r="C281" a="1"/>
  <c r="C281" s="1"/>
  <c r="C282" a="1"/>
  <c r="C282" s="1"/>
  <c r="C283" a="1"/>
  <c r="C283" s="1"/>
  <c r="C284" a="1"/>
  <c r="C284" s="1"/>
  <c r="C285" a="1"/>
  <c r="C285" s="1"/>
  <c r="C286" a="1"/>
  <c r="C286" s="1"/>
  <c r="C287" a="1"/>
  <c r="C287" s="1"/>
  <c r="C288" a="1"/>
  <c r="C288" s="1"/>
  <c r="C289" a="1"/>
  <c r="C289" s="1"/>
  <c r="C290" a="1"/>
  <c r="C290" s="1"/>
  <c r="C291" a="1"/>
  <c r="C291" s="1"/>
  <c r="C292" a="1"/>
  <c r="C292" s="1"/>
  <c r="C293" a="1"/>
  <c r="C293" s="1"/>
  <c r="C294" a="1"/>
  <c r="C294" s="1"/>
  <c r="C295" a="1"/>
  <c r="C295" s="1"/>
  <c r="C296" a="1"/>
  <c r="C296" s="1"/>
  <c r="C297" a="1"/>
  <c r="C297" s="1"/>
  <c r="C298" a="1"/>
  <c r="C298" s="1"/>
  <c r="C299" a="1"/>
  <c r="C299" s="1"/>
  <c r="C300" a="1"/>
  <c r="C300" s="1"/>
  <c r="C301" a="1"/>
  <c r="C301" s="1"/>
  <c r="C302" a="1"/>
  <c r="C302" s="1"/>
  <c r="C303" a="1"/>
  <c r="C303" s="1"/>
  <c r="C304" a="1"/>
  <c r="C304" s="1"/>
  <c r="C305" a="1"/>
  <c r="C305" s="1"/>
  <c r="C306" a="1"/>
  <c r="C306" s="1"/>
  <c r="C307" a="1"/>
  <c r="C307" s="1"/>
  <c r="C308" a="1"/>
  <c r="C308" s="1"/>
  <c r="C309" a="1"/>
  <c r="C309" s="1"/>
  <c r="C310" a="1"/>
  <c r="C310" s="1"/>
  <c r="C311" a="1"/>
  <c r="C311" s="1"/>
  <c r="C312" a="1"/>
  <c r="C312" s="1"/>
  <c r="C313" a="1"/>
  <c r="C313" s="1"/>
  <c r="C314" a="1"/>
  <c r="C314" s="1"/>
  <c r="C315" a="1"/>
  <c r="C315" s="1"/>
  <c r="C316" a="1"/>
  <c r="C316" s="1"/>
  <c r="C317" a="1"/>
  <c r="C317" s="1"/>
  <c r="C318" a="1"/>
  <c r="C318" s="1"/>
  <c r="C319" a="1"/>
  <c r="C319" s="1"/>
  <c r="C320" a="1"/>
  <c r="C320" s="1"/>
  <c r="C321" a="1"/>
  <c r="C321" s="1"/>
  <c r="C322" a="1"/>
  <c r="C322" s="1"/>
  <c r="C323" a="1"/>
  <c r="C323" s="1"/>
  <c r="C324" a="1"/>
  <c r="C324" s="1"/>
  <c r="C325" a="1"/>
  <c r="C325" s="1"/>
  <c r="C326" a="1"/>
  <c r="C326" s="1"/>
  <c r="C327" a="1"/>
  <c r="C327" s="1"/>
  <c r="C328" a="1"/>
  <c r="C328" s="1"/>
  <c r="C329" a="1"/>
  <c r="C329" s="1"/>
  <c r="C330" a="1"/>
  <c r="C330" s="1"/>
  <c r="C331" a="1"/>
  <c r="C331" s="1"/>
  <c r="C332" a="1"/>
  <c r="C332" s="1"/>
  <c r="C333" a="1"/>
  <c r="C333" s="1"/>
  <c r="C334" a="1"/>
  <c r="C334" s="1"/>
  <c r="C335" a="1"/>
  <c r="C335" s="1"/>
  <c r="C336" a="1"/>
  <c r="C336" s="1"/>
  <c r="C337" a="1"/>
  <c r="C337" s="1"/>
  <c r="C338" a="1"/>
  <c r="C338" s="1"/>
  <c r="C339" a="1"/>
  <c r="C339" s="1"/>
  <c r="C340" a="1"/>
  <c r="C340" s="1"/>
  <c r="C341" a="1"/>
  <c r="C341" s="1"/>
  <c r="C342" a="1"/>
  <c r="C342" s="1"/>
  <c r="C343" a="1"/>
  <c r="C343" s="1"/>
  <c r="C344" a="1"/>
  <c r="C344" s="1"/>
  <c r="C345" a="1"/>
  <c r="C345" s="1"/>
  <c r="C346" a="1"/>
  <c r="C346" s="1"/>
  <c r="C347" a="1"/>
  <c r="C347" s="1"/>
  <c r="C348" a="1"/>
  <c r="C348" s="1"/>
  <c r="C349" a="1"/>
  <c r="C349" s="1"/>
  <c r="C350" a="1"/>
  <c r="C350" s="1"/>
  <c r="C351" a="1"/>
  <c r="C351" s="1"/>
  <c r="C352" a="1"/>
  <c r="C352" s="1"/>
  <c r="C353" a="1"/>
  <c r="C353" s="1"/>
  <c r="C354" a="1"/>
  <c r="C354" s="1"/>
  <c r="C355" a="1"/>
  <c r="C355" s="1"/>
  <c r="C356" a="1"/>
  <c r="C356" s="1"/>
  <c r="C357" a="1"/>
  <c r="C357" s="1"/>
  <c r="C358" a="1"/>
  <c r="C358" s="1"/>
  <c r="C359" a="1"/>
  <c r="C359" s="1"/>
  <c r="C360" a="1"/>
  <c r="C360" s="1"/>
  <c r="C361" a="1"/>
  <c r="C361" s="1"/>
  <c r="C362" a="1"/>
  <c r="C362" s="1"/>
  <c r="C363" a="1"/>
  <c r="C363" s="1"/>
  <c r="C364" a="1"/>
  <c r="C364" s="1"/>
  <c r="C365" a="1"/>
  <c r="C365" s="1"/>
  <c r="C366" a="1"/>
  <c r="C366" s="1"/>
  <c r="C367" a="1"/>
  <c r="C367" s="1"/>
  <c r="C368" a="1"/>
  <c r="C368" s="1"/>
  <c r="C369" a="1"/>
  <c r="C369" s="1"/>
  <c r="C370" a="1"/>
  <c r="C370" s="1"/>
  <c r="C371" a="1"/>
  <c r="C371" s="1"/>
  <c r="C372" a="1"/>
  <c r="C372" s="1"/>
  <c r="C373" a="1"/>
  <c r="C373" s="1"/>
  <c r="C374" a="1"/>
  <c r="C374" s="1"/>
  <c r="C375" a="1"/>
  <c r="C375" s="1"/>
  <c r="C376" a="1"/>
  <c r="C376" s="1"/>
  <c r="C377" a="1"/>
  <c r="C377" s="1"/>
  <c r="C378" a="1"/>
  <c r="C378" s="1"/>
  <c r="C379" a="1"/>
  <c r="C379" s="1"/>
  <c r="C380" a="1"/>
  <c r="C380" s="1"/>
  <c r="C381" a="1"/>
  <c r="C381" s="1"/>
  <c r="C382" a="1"/>
  <c r="C382" s="1"/>
  <c r="C383" a="1"/>
  <c r="C383" s="1"/>
  <c r="C384" a="1"/>
  <c r="C384" s="1"/>
  <c r="C385" a="1"/>
  <c r="C385" s="1"/>
  <c r="C386" a="1"/>
  <c r="C386" s="1"/>
  <c r="C150" a="1"/>
  <c r="C150" s="1"/>
  <c r="G150"/>
  <c r="H150"/>
  <c r="J150" s="1"/>
  <c r="H9"/>
  <c r="I9"/>
  <c r="H10"/>
  <c r="I10"/>
  <c r="H11"/>
  <c r="I11"/>
  <c r="H12"/>
  <c r="I12"/>
  <c r="H13"/>
  <c r="I13"/>
  <c r="H14"/>
  <c r="I14"/>
  <c r="H15"/>
  <c r="I15"/>
  <c r="H16"/>
  <c r="I16"/>
  <c r="H17"/>
  <c r="I17"/>
  <c r="H18"/>
  <c r="I18"/>
  <c r="H19"/>
  <c r="I19"/>
  <c r="H20"/>
  <c r="I20"/>
  <c r="H21"/>
  <c r="I21"/>
  <c r="H22"/>
  <c r="I22"/>
  <c r="H23"/>
  <c r="I23"/>
  <c r="H24"/>
  <c r="I24"/>
  <c r="H25"/>
  <c r="I25"/>
  <c r="H26"/>
  <c r="I26"/>
  <c r="H27"/>
  <c r="I27"/>
  <c r="H28"/>
  <c r="I28"/>
  <c r="H29"/>
  <c r="I29"/>
  <c r="H30"/>
  <c r="I30"/>
  <c r="H31"/>
  <c r="I31"/>
  <c r="H32"/>
  <c r="I32"/>
  <c r="H33"/>
  <c r="I33"/>
  <c r="H34"/>
  <c r="I34"/>
  <c r="H35"/>
  <c r="I35"/>
  <c r="H36"/>
  <c r="I36"/>
  <c r="H37"/>
  <c r="I37"/>
  <c r="H38"/>
  <c r="I38"/>
  <c r="H39"/>
  <c r="I39"/>
  <c r="H40"/>
  <c r="I40"/>
  <c r="H41"/>
  <c r="I41"/>
  <c r="H42"/>
  <c r="I42"/>
  <c r="H43"/>
  <c r="I43"/>
  <c r="H44"/>
  <c r="I44"/>
  <c r="H45"/>
  <c r="I45"/>
  <c r="H46"/>
  <c r="I46"/>
  <c r="H47"/>
  <c r="I47"/>
  <c r="H48"/>
  <c r="I48"/>
  <c r="H49"/>
  <c r="I49"/>
  <c r="H50"/>
  <c r="I50"/>
  <c r="H51"/>
  <c r="I51"/>
  <c r="H52"/>
  <c r="I52"/>
  <c r="H53"/>
  <c r="I53"/>
  <c r="H54"/>
  <c r="I54"/>
  <c r="H55"/>
  <c r="I55"/>
  <c r="H56"/>
  <c r="I56"/>
  <c r="H57"/>
  <c r="I57"/>
  <c r="H58"/>
  <c r="I58"/>
  <c r="H59"/>
  <c r="I59"/>
  <c r="H60"/>
  <c r="I60"/>
  <c r="H61"/>
  <c r="I61"/>
  <c r="H62"/>
  <c r="I62"/>
  <c r="H63"/>
  <c r="I63"/>
  <c r="H64"/>
  <c r="I64"/>
  <c r="H65"/>
  <c r="I65"/>
  <c r="H66"/>
  <c r="I66"/>
  <c r="H67"/>
  <c r="I67"/>
  <c r="H68"/>
  <c r="I68"/>
  <c r="H69"/>
  <c r="I69"/>
  <c r="H70"/>
  <c r="I70"/>
  <c r="H71"/>
  <c r="I71"/>
  <c r="H72"/>
  <c r="I72"/>
  <c r="H73"/>
  <c r="I73"/>
  <c r="H74"/>
  <c r="I74"/>
  <c r="H75"/>
  <c r="I75"/>
  <c r="H76"/>
  <c r="I76"/>
  <c r="H77"/>
  <c r="I77"/>
  <c r="H78"/>
  <c r="I78"/>
  <c r="H79"/>
  <c r="I79"/>
  <c r="H80"/>
  <c r="I80"/>
  <c r="H81"/>
  <c r="I81"/>
  <c r="H82"/>
  <c r="I82"/>
  <c r="H83"/>
  <c r="I83"/>
  <c r="H84"/>
  <c r="I84"/>
  <c r="H85"/>
  <c r="I85"/>
  <c r="H86"/>
  <c r="I86"/>
  <c r="H87"/>
  <c r="I87"/>
  <c r="H88"/>
  <c r="I88"/>
  <c r="H89"/>
  <c r="I89"/>
  <c r="H90"/>
  <c r="I90"/>
  <c r="H91"/>
  <c r="I91"/>
  <c r="H93"/>
  <c r="I93"/>
  <c r="H94"/>
  <c r="I94"/>
  <c r="H95"/>
  <c r="I95"/>
  <c r="H96"/>
  <c r="I96"/>
  <c r="H97"/>
  <c r="I97"/>
  <c r="H98"/>
  <c r="I98"/>
  <c r="H99"/>
  <c r="I99"/>
  <c r="H100"/>
  <c r="I100"/>
  <c r="H101"/>
  <c r="I101"/>
  <c r="H102"/>
  <c r="I102"/>
  <c r="H103"/>
  <c r="I103"/>
  <c r="H104"/>
  <c r="I104"/>
  <c r="H105"/>
  <c r="I105"/>
  <c r="H106"/>
  <c r="I106"/>
  <c r="H107"/>
  <c r="I107"/>
  <c r="H108"/>
  <c r="I108"/>
  <c r="H109"/>
  <c r="I109"/>
  <c r="H110"/>
  <c r="I110"/>
  <c r="H111"/>
  <c r="I111"/>
  <c r="H112"/>
  <c r="I112"/>
  <c r="H113"/>
  <c r="I113"/>
  <c r="H114"/>
  <c r="I114"/>
  <c r="H115"/>
  <c r="I115"/>
  <c r="H116"/>
  <c r="I116"/>
  <c r="H117"/>
  <c r="I117"/>
  <c r="H118"/>
  <c r="I118"/>
  <c r="H119"/>
  <c r="I119"/>
  <c r="H120"/>
  <c r="I120"/>
  <c r="H121"/>
  <c r="I121"/>
  <c r="H122"/>
  <c r="I122"/>
  <c r="H123"/>
  <c r="I123"/>
  <c r="H124"/>
  <c r="I124"/>
  <c r="H125"/>
  <c r="I125"/>
  <c r="H126"/>
  <c r="I126"/>
  <c r="H127"/>
  <c r="I127"/>
  <c r="H128"/>
  <c r="I128"/>
  <c r="H129"/>
  <c r="I129"/>
  <c r="H130"/>
  <c r="I130"/>
  <c r="H131"/>
  <c r="I131"/>
  <c r="H132"/>
  <c r="I132"/>
  <c r="H133"/>
  <c r="I133"/>
  <c r="H134"/>
  <c r="I134"/>
  <c r="H135"/>
  <c r="I135"/>
  <c r="H136"/>
  <c r="I136"/>
  <c r="H137"/>
  <c r="I137"/>
  <c r="H138"/>
  <c r="I138"/>
  <c r="H139"/>
  <c r="I139"/>
  <c r="H140"/>
  <c r="I140"/>
  <c r="H141"/>
  <c r="I141"/>
  <c r="H142"/>
  <c r="I142"/>
  <c r="H143"/>
  <c r="I143"/>
  <c r="H144"/>
  <c r="I144"/>
  <c r="H145"/>
  <c r="I145"/>
  <c r="H146"/>
  <c r="I146"/>
  <c r="H147"/>
  <c r="I147"/>
  <c r="H148"/>
  <c r="I148"/>
  <c r="H3"/>
  <c r="H4"/>
  <c r="H5"/>
  <c r="H6"/>
  <c r="H7"/>
  <c r="H8"/>
  <c r="H2"/>
  <c r="I3"/>
  <c r="I4"/>
  <c r="I5"/>
  <c r="I6"/>
  <c r="I7"/>
  <c r="I8"/>
  <c r="I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2"/>
  <c r="G7" i="14"/>
  <c r="H6" i="156"/>
  <c r="G3" i="14" l="1"/>
  <c r="C80" i="156"/>
  <c r="C66"/>
  <c r="E58"/>
  <c r="E78"/>
  <c r="C58"/>
  <c r="C35"/>
  <c r="F35" s="1"/>
  <c r="E116"/>
  <c r="C108"/>
  <c r="C105"/>
  <c r="F105" s="1"/>
  <c r="C15"/>
  <c r="E13"/>
  <c r="E96"/>
  <c r="C122"/>
  <c r="C120"/>
  <c r="F120" s="1"/>
  <c r="I384" i="155"/>
  <c r="I380"/>
  <c r="I376"/>
  <c r="I372"/>
  <c r="I368"/>
  <c r="I364"/>
  <c r="I360"/>
  <c r="I356"/>
  <c r="I352"/>
  <c r="I348"/>
  <c r="I340"/>
  <c r="I324"/>
  <c r="I312"/>
  <c r="I300"/>
  <c r="I280"/>
  <c r="I276"/>
  <c r="I268"/>
  <c r="I264"/>
  <c r="I260"/>
  <c r="I256"/>
  <c r="I252"/>
  <c r="I248"/>
  <c r="I244"/>
  <c r="J169"/>
  <c r="I169"/>
  <c r="J167"/>
  <c r="I167"/>
  <c r="J157"/>
  <c r="I157"/>
  <c r="J155"/>
  <c r="I155"/>
  <c r="J153"/>
  <c r="I153"/>
  <c r="J170"/>
  <c r="I170"/>
  <c r="J164"/>
  <c r="I164"/>
  <c r="J156"/>
  <c r="I156"/>
  <c r="I240"/>
  <c r="I236"/>
  <c r="I228"/>
  <c r="I224"/>
  <c r="I220"/>
  <c r="I216"/>
  <c r="I200"/>
  <c r="I196"/>
  <c r="I192"/>
  <c r="I184"/>
  <c r="I379"/>
  <c r="I375"/>
  <c r="I367"/>
  <c r="I363"/>
  <c r="I359"/>
  <c r="I355"/>
  <c r="I351"/>
  <c r="I347"/>
  <c r="I343"/>
  <c r="I339"/>
  <c r="I331"/>
  <c r="I327"/>
  <c r="I323"/>
  <c r="I319"/>
  <c r="I315"/>
  <c r="I311"/>
  <c r="I307"/>
  <c r="I303"/>
  <c r="I299"/>
  <c r="I295"/>
  <c r="I279"/>
  <c r="I271"/>
  <c r="I267"/>
  <c r="I263"/>
  <c r="I259"/>
  <c r="I255"/>
  <c r="I251"/>
  <c r="I247"/>
  <c r="I243"/>
  <c r="I239"/>
  <c r="I235"/>
  <c r="I227"/>
  <c r="I215"/>
  <c r="I187"/>
  <c r="I183"/>
  <c r="I171"/>
  <c r="I386"/>
  <c r="I382"/>
  <c r="I378"/>
  <c r="I374"/>
  <c r="I370"/>
  <c r="I366"/>
  <c r="I358"/>
  <c r="I354"/>
  <c r="I350"/>
  <c r="I346"/>
  <c r="I342"/>
  <c r="I334"/>
  <c r="I318"/>
  <c r="I274"/>
  <c r="I270"/>
  <c r="I262"/>
  <c r="I258"/>
  <c r="I254"/>
  <c r="I250"/>
  <c r="I246"/>
  <c r="I242"/>
  <c r="I238"/>
  <c r="I234"/>
  <c r="I218"/>
  <c r="I206"/>
  <c r="I198"/>
  <c r="I194"/>
  <c r="I190"/>
  <c r="I186"/>
  <c r="I178"/>
  <c r="I150"/>
  <c r="E70" i="156"/>
  <c r="F69"/>
  <c r="C140"/>
  <c r="E75"/>
  <c r="F137"/>
  <c r="C57"/>
  <c r="E39"/>
  <c r="C36"/>
  <c r="E38"/>
  <c r="E33"/>
  <c r="F33" s="1"/>
  <c r="E92"/>
  <c r="C39"/>
  <c r="F115"/>
  <c r="E111"/>
  <c r="F111" s="1"/>
  <c r="E29"/>
  <c r="C89"/>
  <c r="C104"/>
  <c r="F104" s="1"/>
  <c r="C109"/>
  <c r="F109" s="1"/>
  <c r="E87"/>
  <c r="E86"/>
  <c r="E80"/>
  <c r="F122"/>
  <c r="C53"/>
  <c r="E99"/>
  <c r="F99" s="1"/>
  <c r="E11"/>
  <c r="F11" s="1"/>
  <c r="E56"/>
  <c r="C134"/>
  <c r="C131"/>
  <c r="C127"/>
  <c r="F127" s="1"/>
  <c r="C97"/>
  <c r="F97" s="1"/>
  <c r="C126"/>
  <c r="C5"/>
  <c r="F5" s="1"/>
  <c r="E3"/>
  <c r="C13"/>
  <c r="F13" s="1"/>
  <c r="E4"/>
  <c r="C119"/>
  <c r="F119" s="1"/>
  <c r="F94"/>
  <c r="C123"/>
  <c r="E95"/>
  <c r="E50"/>
  <c r="H3"/>
  <c r="H2"/>
  <c r="F148"/>
  <c r="E90"/>
  <c r="F147"/>
  <c r="C88"/>
  <c r="F146"/>
  <c r="C87"/>
  <c r="E85"/>
  <c r="C86"/>
  <c r="F144"/>
  <c r="F143"/>
  <c r="C82"/>
  <c r="F142"/>
  <c r="C78"/>
  <c r="C76"/>
  <c r="C75"/>
  <c r="E77"/>
  <c r="F77" s="1"/>
  <c r="F71"/>
  <c r="E72"/>
  <c r="F72" s="1"/>
  <c r="E68"/>
  <c r="F67"/>
  <c r="E66"/>
  <c r="F66" s="1"/>
  <c r="E73"/>
  <c r="F73" s="1"/>
  <c r="C65"/>
  <c r="F139"/>
  <c r="C68"/>
  <c r="E140"/>
  <c r="C63"/>
  <c r="F63" s="1"/>
  <c r="C62"/>
  <c r="F62" s="1"/>
  <c r="E74"/>
  <c r="F74" s="1"/>
  <c r="C64"/>
  <c r="C61"/>
  <c r="E138"/>
  <c r="F138" s="1"/>
  <c r="E60"/>
  <c r="F59"/>
  <c r="C136"/>
  <c r="E76"/>
  <c r="F135"/>
  <c r="C60"/>
  <c r="E136"/>
  <c r="F136" s="1"/>
  <c r="C70"/>
  <c r="C92"/>
  <c r="C43"/>
  <c r="F43" s="1"/>
  <c r="F118"/>
  <c r="E40"/>
  <c r="F117"/>
  <c r="C42"/>
  <c r="C40"/>
  <c r="C41"/>
  <c r="E36"/>
  <c r="E34"/>
  <c r="C34"/>
  <c r="C44"/>
  <c r="F44" s="1"/>
  <c r="E32"/>
  <c r="C91"/>
  <c r="F91" s="1"/>
  <c r="C37"/>
  <c r="F37" s="1"/>
  <c r="C38"/>
  <c r="E30"/>
  <c r="E114"/>
  <c r="F114" s="1"/>
  <c r="C116"/>
  <c r="F116" s="1"/>
  <c r="E112"/>
  <c r="F112" s="1"/>
  <c r="C30"/>
  <c r="E27"/>
  <c r="F113"/>
  <c r="E65"/>
  <c r="E61"/>
  <c r="E64"/>
  <c r="F64" s="1"/>
  <c r="C29"/>
  <c r="F29" s="1"/>
  <c r="C27"/>
  <c r="E57"/>
  <c r="C28"/>
  <c r="F28" s="1"/>
  <c r="C90"/>
  <c r="C81"/>
  <c r="E42"/>
  <c r="F141"/>
  <c r="C79"/>
  <c r="F145"/>
  <c r="C85"/>
  <c r="E26"/>
  <c r="C84"/>
  <c r="E25"/>
  <c r="F25" s="1"/>
  <c r="C83"/>
  <c r="E24"/>
  <c r="C24"/>
  <c r="C26"/>
  <c r="E41"/>
  <c r="F131"/>
  <c r="F123"/>
  <c r="C49"/>
  <c r="F49" s="1"/>
  <c r="E23"/>
  <c r="C46"/>
  <c r="F46" s="1"/>
  <c r="C45"/>
  <c r="C47"/>
  <c r="E22"/>
  <c r="E21"/>
  <c r="C51"/>
  <c r="C52"/>
  <c r="F52" s="1"/>
  <c r="C110"/>
  <c r="F110" s="1"/>
  <c r="F108"/>
  <c r="E84"/>
  <c r="F106"/>
  <c r="E81"/>
  <c r="C103"/>
  <c r="E18"/>
  <c r="C23"/>
  <c r="C22"/>
  <c r="E20"/>
  <c r="C21"/>
  <c r="E88"/>
  <c r="E89"/>
  <c r="F89" s="1"/>
  <c r="F107"/>
  <c r="E82"/>
  <c r="E83"/>
  <c r="C18"/>
  <c r="F103"/>
  <c r="E79"/>
  <c r="C20"/>
  <c r="F20" s="1"/>
  <c r="C19"/>
  <c r="F19" s="1"/>
  <c r="F130"/>
  <c r="F134"/>
  <c r="C50"/>
  <c r="F126"/>
  <c r="F124"/>
  <c r="C48"/>
  <c r="E17"/>
  <c r="F132"/>
  <c r="C56"/>
  <c r="C55"/>
  <c r="F55" s="1"/>
  <c r="C54"/>
  <c r="E15"/>
  <c r="C32"/>
  <c r="E16"/>
  <c r="C31"/>
  <c r="F31" s="1"/>
  <c r="E102"/>
  <c r="F102" s="1"/>
  <c r="E14"/>
  <c r="E12"/>
  <c r="F100"/>
  <c r="C17"/>
  <c r="C16"/>
  <c r="F133"/>
  <c r="C129"/>
  <c r="F129" s="1"/>
  <c r="C9"/>
  <c r="F9" s="1"/>
  <c r="E8"/>
  <c r="E7"/>
  <c r="E10"/>
  <c r="E98"/>
  <c r="F98" s="1"/>
  <c r="C10"/>
  <c r="E54"/>
  <c r="E51"/>
  <c r="C128"/>
  <c r="F128" s="1"/>
  <c r="E53"/>
  <c r="C7"/>
  <c r="F96"/>
  <c r="C8"/>
  <c r="F8" s="1"/>
  <c r="C14"/>
  <c r="F101"/>
  <c r="E6"/>
  <c r="E47"/>
  <c r="F121"/>
  <c r="F125"/>
  <c r="C12"/>
  <c r="E45"/>
  <c r="C4"/>
  <c r="F4" s="1"/>
  <c r="E48"/>
  <c r="C95"/>
  <c r="C3"/>
  <c r="E93"/>
  <c r="F93" s="1"/>
  <c r="C6"/>
  <c r="F6" i="14"/>
  <c r="F5" a="1"/>
  <c r="F5" s="1"/>
  <c r="F4"/>
  <c r="F2"/>
  <c r="F1"/>
  <c r="C17" i="152"/>
  <c r="C16" a="1"/>
  <c r="Q15" a="1"/>
  <c r="Q15" s="1"/>
  <c r="Q14" a="1"/>
  <c r="Q14" s="1"/>
  <c r="Q13" a="1"/>
  <c r="Q13" s="1"/>
  <c r="Q12" a="1"/>
  <c r="Q12" s="1"/>
  <c r="Q11" a="1"/>
  <c r="Q11" s="1"/>
  <c r="Q10" a="1"/>
  <c r="Q10" s="1"/>
  <c r="Q9" a="1"/>
  <c r="Q9" s="1"/>
  <c r="Q8" a="1"/>
  <c r="Q8" s="1"/>
  <c r="Q7" a="1"/>
  <c r="Q7" s="1"/>
  <c r="Q6" a="1"/>
  <c r="Q6" s="1"/>
  <c r="Q5" a="1"/>
  <c r="Q5" s="1"/>
  <c r="Q4" a="1"/>
  <c r="Q4" s="1"/>
  <c r="F7" i="14"/>
  <c r="C18" i="152"/>
  <c r="M32"/>
  <c r="F80" i="156" l="1"/>
  <c r="F70"/>
  <c r="F140"/>
  <c r="F58"/>
  <c r="F78"/>
  <c r="F42"/>
  <c r="F45"/>
  <c r="F51"/>
  <c r="F90"/>
  <c r="F86"/>
  <c r="F16"/>
  <c r="F12"/>
  <c r="F15"/>
  <c r="F47"/>
  <c r="F92"/>
  <c r="F81"/>
  <c r="F76"/>
  <c r="F75"/>
  <c r="F57"/>
  <c r="F39"/>
  <c r="F36"/>
  <c r="F38"/>
  <c r="F30"/>
  <c r="F53"/>
  <c r="F87"/>
  <c r="F56"/>
  <c r="F95"/>
  <c r="F48"/>
  <c r="F50"/>
  <c r="F3"/>
  <c r="H4"/>
  <c r="F88"/>
  <c r="F85"/>
  <c r="F84"/>
  <c r="F83"/>
  <c r="F82"/>
  <c r="F68"/>
  <c r="F65"/>
  <c r="F61"/>
  <c r="F60"/>
  <c r="F40"/>
  <c r="F41"/>
  <c r="F34"/>
  <c r="F32"/>
  <c r="F27"/>
  <c r="F79"/>
  <c r="F26"/>
  <c r="F24"/>
  <c r="F54"/>
  <c r="F23"/>
  <c r="F22"/>
  <c r="F21"/>
  <c r="F18"/>
  <c r="F17"/>
  <c r="F14"/>
  <c r="F10"/>
  <c r="F7"/>
  <c r="F6"/>
  <c r="F3" i="14"/>
  <c r="C14" i="152"/>
  <c r="K15" a="1"/>
  <c r="K15" s="1"/>
  <c r="H15" s="1"/>
  <c r="K14" a="1"/>
  <c r="K14" s="1"/>
  <c r="H14" s="1"/>
  <c r="K13"/>
  <c r="H13" s="1"/>
  <c r="K13" a="1"/>
  <c r="K12" a="1"/>
  <c r="K12" s="1"/>
  <c r="H12" s="1"/>
  <c r="C10" s="1"/>
  <c r="K11" a="1"/>
  <c r="K11" s="1"/>
  <c r="H11" s="1"/>
  <c r="K10" a="1"/>
  <c r="K10" s="1"/>
  <c r="H10" s="1"/>
  <c r="K9" a="1"/>
  <c r="K9" s="1"/>
  <c r="H9" s="1"/>
  <c r="C5" s="1"/>
  <c r="K8" a="1"/>
  <c r="K8" s="1"/>
  <c r="H8" s="1"/>
  <c r="K7" a="1"/>
  <c r="K7" s="1"/>
  <c r="H7" s="1"/>
  <c r="K6" a="1"/>
  <c r="K6" s="1"/>
  <c r="K5" a="1"/>
  <c r="K5" s="1"/>
  <c r="H5" s="1"/>
  <c r="K4" a="1"/>
  <c r="K4" s="1"/>
  <c r="H4" s="1"/>
  <c r="E6" i="14"/>
  <c r="E5" a="1"/>
  <c r="E4"/>
  <c r="E2"/>
  <c r="E1"/>
  <c r="O5" i="150"/>
  <c r="O4" a="1"/>
  <c r="O3"/>
  <c r="C3"/>
  <c r="I10" a="1"/>
  <c r="I10" s="1"/>
  <c r="I8" a="1"/>
  <c r="I8" s="1"/>
  <c r="E8"/>
  <c r="C8"/>
  <c r="F8" s="1"/>
  <c r="I7" a="1"/>
  <c r="I7" s="1"/>
  <c r="E7"/>
  <c r="C7"/>
  <c r="F7" s="1"/>
  <c r="I6" a="1"/>
  <c r="I6" s="1"/>
  <c r="E6"/>
  <c r="C6"/>
  <c r="F6" s="1"/>
  <c r="I5"/>
  <c r="I5" a="1"/>
  <c r="E5"/>
  <c r="C5"/>
  <c r="F5" s="1"/>
  <c r="I4"/>
  <c r="I4" a="1"/>
  <c r="E4"/>
  <c r="C4"/>
  <c r="F4" s="1"/>
  <c r="I3" a="1"/>
  <c r="I3" s="1"/>
  <c r="E3"/>
  <c r="A9" i="14"/>
  <c r="A8" a="1"/>
  <c r="A8" s="1"/>
  <c r="A7" a="1"/>
  <c r="A7"/>
  <c r="A6" a="1"/>
  <c r="A6"/>
  <c r="A5" a="1"/>
  <c r="A5"/>
  <c r="A2"/>
  <c r="C7"/>
  <c r="C6" a="1"/>
  <c r="C6" s="1"/>
  <c r="C5" a="1"/>
  <c r="C4"/>
  <c r="C2"/>
  <c r="C5" s="1"/>
  <c r="B6"/>
  <c r="B5" a="1"/>
  <c r="B4"/>
  <c r="B2"/>
  <c r="D6"/>
  <c r="D5" a="1"/>
  <c r="D4"/>
  <c r="D2"/>
  <c r="C17" i="146"/>
  <c r="D1" i="14"/>
  <c r="I4" i="146" a="1"/>
  <c r="I4" s="1"/>
  <c r="O6" i="150"/>
  <c r="G8" i="114"/>
  <c r="C18" i="146"/>
  <c r="B28" i="79"/>
  <c r="C9" i="14"/>
  <c r="A10"/>
  <c r="B7"/>
  <c r="D7"/>
  <c r="K45" i="146"/>
  <c r="E7" i="14"/>
  <c r="C8"/>
  <c r="E5" i="152" l="1"/>
  <c r="F5" s="1"/>
  <c r="C9"/>
  <c r="H6"/>
  <c r="E8" s="1"/>
  <c r="C15"/>
  <c r="C6"/>
  <c r="E4"/>
  <c r="E10"/>
  <c r="E6"/>
  <c r="C7"/>
  <c r="F7" s="1"/>
  <c r="E7"/>
  <c r="C8"/>
  <c r="E9"/>
  <c r="O4" i="150"/>
  <c r="E3" i="14"/>
  <c r="O2" i="150"/>
  <c r="F3"/>
  <c r="A3" i="14"/>
  <c r="C3"/>
  <c r="B5"/>
  <c r="B3"/>
  <c r="D5"/>
  <c r="D3"/>
  <c r="C14" i="146"/>
  <c r="I15" a="1"/>
  <c r="I15" s="1"/>
  <c r="I14"/>
  <c r="I14" a="1"/>
  <c r="I13" a="1"/>
  <c r="I13" s="1"/>
  <c r="I12" a="1"/>
  <c r="I12" s="1"/>
  <c r="I11"/>
  <c r="I11" a="1"/>
  <c r="I10" a="1"/>
  <c r="I10" s="1"/>
  <c r="I9" a="1"/>
  <c r="I9" s="1"/>
  <c r="I8"/>
  <c r="I8" a="1"/>
  <c r="I7" a="1"/>
  <c r="I7" s="1"/>
  <c r="I6" a="1"/>
  <c r="I6" s="1"/>
  <c r="I5" a="1"/>
  <c r="I5" s="1"/>
  <c r="K317" i="114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316"/>
  <c r="N21" i="1"/>
  <c r="N20" a="1"/>
  <c r="G7" i="114"/>
  <c r="G6" a="1"/>
  <c r="G5" a="1"/>
  <c r="G4" a="1"/>
  <c r="A63" i="80"/>
  <c r="B63"/>
  <c r="C63"/>
  <c r="D63"/>
  <c r="E63"/>
  <c r="F63"/>
  <c r="G63"/>
  <c r="H63"/>
  <c r="I63"/>
  <c r="J63"/>
  <c r="K63"/>
  <c r="L63"/>
  <c r="M63"/>
  <c r="N63"/>
  <c r="O63"/>
  <c r="P63"/>
  <c r="Q63"/>
  <c r="R63"/>
  <c r="S63"/>
  <c r="T63"/>
  <c r="U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AR63"/>
  <c r="AS63"/>
  <c r="AT63"/>
  <c r="AU63"/>
  <c r="AV63"/>
  <c r="AW63"/>
  <c r="AX63"/>
  <c r="AY63"/>
  <c r="AZ63"/>
  <c r="BA63"/>
  <c r="BB63"/>
  <c r="BC63"/>
  <c r="BD63"/>
  <c r="BE63"/>
  <c r="BF63"/>
  <c r="BG63"/>
  <c r="BH63"/>
  <c r="BI63"/>
  <c r="BJ63"/>
  <c r="BK63"/>
  <c r="BL63"/>
  <c r="BM63"/>
  <c r="BN63"/>
  <c r="BO63"/>
  <c r="BP63"/>
  <c r="BQ63"/>
  <c r="BR63"/>
  <c r="BS63"/>
  <c r="BT63"/>
  <c r="BU63"/>
  <c r="BV63"/>
  <c r="BW63"/>
  <c r="BX63"/>
  <c r="BY63"/>
  <c r="BZ63"/>
  <c r="CA63"/>
  <c r="CB63"/>
  <c r="CC63"/>
  <c r="CD63"/>
  <c r="CE63"/>
  <c r="CF63"/>
  <c r="CG63"/>
  <c r="CH63"/>
  <c r="CI63"/>
  <c r="CJ63"/>
  <c r="CK63"/>
  <c r="CL63"/>
  <c r="CM63"/>
  <c r="CN63"/>
  <c r="CO63"/>
  <c r="CP63"/>
  <c r="CQ63"/>
  <c r="CR63"/>
  <c r="CS63"/>
  <c r="CT63"/>
  <c r="CU63"/>
  <c r="CV63"/>
  <c r="A62"/>
  <c r="B62"/>
  <c r="D62"/>
  <c r="E62"/>
  <c r="F62"/>
  <c r="G62"/>
  <c r="H62"/>
  <c r="I62"/>
  <c r="J62"/>
  <c r="K62"/>
  <c r="L62"/>
  <c r="M62"/>
  <c r="N62"/>
  <c r="O62"/>
  <c r="P62"/>
  <c r="Q62"/>
  <c r="R62"/>
  <c r="S62"/>
  <c r="T62"/>
  <c r="U62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AR62"/>
  <c r="AS62"/>
  <c r="AT62"/>
  <c r="AU62"/>
  <c r="AV62"/>
  <c r="AW62"/>
  <c r="AX62"/>
  <c r="AY62"/>
  <c r="AZ62"/>
  <c r="BA62"/>
  <c r="BB62"/>
  <c r="BC62"/>
  <c r="BD62"/>
  <c r="BE62"/>
  <c r="BF62"/>
  <c r="BG62"/>
  <c r="BH62"/>
  <c r="BI62"/>
  <c r="BJ62"/>
  <c r="BK62"/>
  <c r="BL62"/>
  <c r="BM62"/>
  <c r="BN62"/>
  <c r="BO62"/>
  <c r="BP62"/>
  <c r="BQ62"/>
  <c r="BR62"/>
  <c r="BS62"/>
  <c r="BT62"/>
  <c r="BU62"/>
  <c r="BV62"/>
  <c r="BW62"/>
  <c r="BX62"/>
  <c r="BY62"/>
  <c r="BZ62"/>
  <c r="CA62"/>
  <c r="CB62"/>
  <c r="CC62"/>
  <c r="CD62"/>
  <c r="CE62"/>
  <c r="CF62"/>
  <c r="CG62"/>
  <c r="CH62"/>
  <c r="CI62"/>
  <c r="CJ62"/>
  <c r="CK62"/>
  <c r="CL62"/>
  <c r="CM62"/>
  <c r="CN62"/>
  <c r="CO62"/>
  <c r="CP62"/>
  <c r="CQ62"/>
  <c r="CR62"/>
  <c r="CS62"/>
  <c r="CT62"/>
  <c r="CU62"/>
  <c r="CV62"/>
  <c r="CW62"/>
  <c r="CX62"/>
  <c r="CY62"/>
  <c r="CZ62"/>
  <c r="DA62"/>
  <c r="DB62"/>
  <c r="DC62"/>
  <c r="DD62"/>
  <c r="DE62"/>
  <c r="DF62"/>
  <c r="DG62"/>
  <c r="DH62"/>
  <c r="DI62"/>
  <c r="DJ62"/>
  <c r="DK62"/>
  <c r="DL62"/>
  <c r="DM62"/>
  <c r="DN62"/>
  <c r="DO62"/>
  <c r="DP62"/>
  <c r="DQ62"/>
  <c r="DR62"/>
  <c r="DT62"/>
  <c r="DU62"/>
  <c r="DV62"/>
  <c r="DW62"/>
  <c r="DX62"/>
  <c r="DY62"/>
  <c r="DZ62"/>
  <c r="EA62"/>
  <c r="EB62"/>
  <c r="EC62"/>
  <c r="ED62"/>
  <c r="EE62"/>
  <c r="EF62"/>
  <c r="EG62"/>
  <c r="EH62"/>
  <c r="EI62"/>
  <c r="EJ62"/>
  <c r="EK62"/>
  <c r="EL62"/>
  <c r="EM62"/>
  <c r="EN62"/>
  <c r="EO62"/>
  <c r="EP62"/>
  <c r="EQ62"/>
  <c r="ER62"/>
  <c r="ES62"/>
  <c r="ET62"/>
  <c r="EU62"/>
  <c r="EV62"/>
  <c r="EW62"/>
  <c r="EX62"/>
  <c r="EY62"/>
  <c r="EZ62"/>
  <c r="FA62"/>
  <c r="FB62"/>
  <c r="FC62"/>
  <c r="FD62"/>
  <c r="FE62"/>
  <c r="FF62"/>
  <c r="FG62"/>
  <c r="FH62"/>
  <c r="FI62"/>
  <c r="FJ62"/>
  <c r="FK62"/>
  <c r="FL62"/>
  <c r="FM62"/>
  <c r="FN62"/>
  <c r="FO62"/>
  <c r="FP62"/>
  <c r="FQ62"/>
  <c r="FR62"/>
  <c r="FS62"/>
  <c r="FT62"/>
  <c r="FU62"/>
  <c r="FV62"/>
  <c r="FW62"/>
  <c r="FX62"/>
  <c r="FY62"/>
  <c r="FZ62"/>
  <c r="GA62"/>
  <c r="GB62"/>
  <c r="GC62"/>
  <c r="GD62"/>
  <c r="GE62"/>
  <c r="GF62"/>
  <c r="GG62"/>
  <c r="GH62"/>
  <c r="GI62"/>
  <c r="GJ62"/>
  <c r="GK62"/>
  <c r="GL62"/>
  <c r="GM62"/>
  <c r="GN62"/>
  <c r="GO62"/>
  <c r="GP62"/>
  <c r="GQ62"/>
  <c r="GR62"/>
  <c r="GS62"/>
  <c r="GT62"/>
  <c r="GU62"/>
  <c r="GV62"/>
  <c r="GW62"/>
  <c r="GX62"/>
  <c r="GY62"/>
  <c r="GZ62"/>
  <c r="HA62"/>
  <c r="HB62"/>
  <c r="HC62"/>
  <c r="HD62"/>
  <c r="HE62"/>
  <c r="HF62"/>
  <c r="HG62"/>
  <c r="HH62"/>
  <c r="HI62"/>
  <c r="HJ62"/>
  <c r="HK62"/>
  <c r="HL62"/>
  <c r="HM62"/>
  <c r="HN62"/>
  <c r="HO62"/>
  <c r="HP62"/>
  <c r="HQ62"/>
  <c r="HR62"/>
  <c r="HS62"/>
  <c r="HT62"/>
  <c r="HU62"/>
  <c r="HV62"/>
  <c r="HW62"/>
  <c r="HX62"/>
  <c r="HY62"/>
  <c r="HZ62"/>
  <c r="IA62"/>
  <c r="IB62"/>
  <c r="IC62"/>
  <c r="ID62"/>
  <c r="IE62"/>
  <c r="IF62"/>
  <c r="IG62"/>
  <c r="IH62"/>
  <c r="II62"/>
  <c r="IJ62"/>
  <c r="IK62"/>
  <c r="IL62"/>
  <c r="IM62"/>
  <c r="IN62"/>
  <c r="IO62"/>
  <c r="IP62"/>
  <c r="IQ62"/>
  <c r="IR62"/>
  <c r="IS62"/>
  <c r="IT62"/>
  <c r="IU62"/>
  <c r="IV62"/>
  <c r="A61"/>
  <c r="B61"/>
  <c r="D61"/>
  <c r="E61"/>
  <c r="F61"/>
  <c r="G61"/>
  <c r="H61"/>
  <c r="I61"/>
  <c r="J61"/>
  <c r="K61"/>
  <c r="L61"/>
  <c r="M61"/>
  <c r="N61"/>
  <c r="O61"/>
  <c r="P61"/>
  <c r="Q61"/>
  <c r="R61"/>
  <c r="S61"/>
  <c r="T61"/>
  <c r="U61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AR61"/>
  <c r="AS61"/>
  <c r="AT61"/>
  <c r="AU61"/>
  <c r="AV61"/>
  <c r="AW61"/>
  <c r="AX61"/>
  <c r="AY61"/>
  <c r="AZ61"/>
  <c r="BA61"/>
  <c r="BB61"/>
  <c r="BC61"/>
  <c r="BD61"/>
  <c r="BE61"/>
  <c r="BF61"/>
  <c r="BG61"/>
  <c r="BH61"/>
  <c r="BI61"/>
  <c r="BJ61"/>
  <c r="BK61"/>
  <c r="BL61"/>
  <c r="BM61"/>
  <c r="BN61"/>
  <c r="BO61"/>
  <c r="BP61"/>
  <c r="BQ61"/>
  <c r="BR61"/>
  <c r="BS61"/>
  <c r="BT61"/>
  <c r="BU61"/>
  <c r="BV61"/>
  <c r="BW61"/>
  <c r="BX61"/>
  <c r="BY61"/>
  <c r="BZ61"/>
  <c r="CA61"/>
  <c r="CB61"/>
  <c r="CC61"/>
  <c r="CD61"/>
  <c r="CE61"/>
  <c r="CF61"/>
  <c r="CG61"/>
  <c r="CH61"/>
  <c r="CI61"/>
  <c r="CJ61"/>
  <c r="CK61"/>
  <c r="CL61"/>
  <c r="CM61"/>
  <c r="CN61"/>
  <c r="CO61"/>
  <c r="CP61"/>
  <c r="CQ61"/>
  <c r="CR61"/>
  <c r="CS61"/>
  <c r="CT61"/>
  <c r="CU61"/>
  <c r="CV61"/>
  <c r="CW61"/>
  <c r="CX61"/>
  <c r="CY61"/>
  <c r="CZ61"/>
  <c r="DA61"/>
  <c r="DB61"/>
  <c r="DC61"/>
  <c r="DD61"/>
  <c r="DE61"/>
  <c r="DF61"/>
  <c r="DG61"/>
  <c r="DH61"/>
  <c r="DI61"/>
  <c r="DJ61"/>
  <c r="DK61"/>
  <c r="DL61"/>
  <c r="DM61"/>
  <c r="DN61"/>
  <c r="DO61"/>
  <c r="DP61"/>
  <c r="DQ61"/>
  <c r="DR61"/>
  <c r="DS61"/>
  <c r="DT61"/>
  <c r="DU61"/>
  <c r="DV61"/>
  <c r="DW61"/>
  <c r="DX61"/>
  <c r="DY61"/>
  <c r="DZ61"/>
  <c r="EA61"/>
  <c r="EB61"/>
  <c r="EC61"/>
  <c r="ED61"/>
  <c r="EE61"/>
  <c r="EF61"/>
  <c r="EG61"/>
  <c r="EH61"/>
  <c r="EI61"/>
  <c r="EJ61"/>
  <c r="EK61"/>
  <c r="EL61"/>
  <c r="EM61"/>
  <c r="EN61"/>
  <c r="EO61"/>
  <c r="EP61"/>
  <c r="EQ61"/>
  <c r="ER61"/>
  <c r="ES61"/>
  <c r="ET61"/>
  <c r="EU61"/>
  <c r="EV61"/>
  <c r="EW61"/>
  <c r="EX61"/>
  <c r="EY61"/>
  <c r="EZ61"/>
  <c r="FA61"/>
  <c r="FB61"/>
  <c r="FC61"/>
  <c r="FD61"/>
  <c r="FE61"/>
  <c r="FF61"/>
  <c r="FG61"/>
  <c r="FH61"/>
  <c r="FI61"/>
  <c r="FJ61"/>
  <c r="FK61"/>
  <c r="FL61"/>
  <c r="FM61"/>
  <c r="FN61"/>
  <c r="FO61"/>
  <c r="FP61"/>
  <c r="FQ61"/>
  <c r="FR61"/>
  <c r="FS61"/>
  <c r="FT61"/>
  <c r="FU61"/>
  <c r="FV61"/>
  <c r="FW61"/>
  <c r="FX61"/>
  <c r="FY61"/>
  <c r="FZ61"/>
  <c r="GA61"/>
  <c r="GB61"/>
  <c r="GC61"/>
  <c r="GD61"/>
  <c r="GE61"/>
  <c r="GF61"/>
  <c r="GG61"/>
  <c r="GH61"/>
  <c r="GI61"/>
  <c r="GJ61"/>
  <c r="GK61"/>
  <c r="GL61"/>
  <c r="GM61"/>
  <c r="GN61"/>
  <c r="GO61"/>
  <c r="GP61"/>
  <c r="GQ61"/>
  <c r="GR61"/>
  <c r="GS61"/>
  <c r="GT61"/>
  <c r="GU61"/>
  <c r="GV61"/>
  <c r="GW61"/>
  <c r="GX61"/>
  <c r="GY61"/>
  <c r="GZ61"/>
  <c r="HA61"/>
  <c r="HB61"/>
  <c r="HC61"/>
  <c r="HD61"/>
  <c r="HE61"/>
  <c r="HF61"/>
  <c r="HG61"/>
  <c r="HH61"/>
  <c r="HI61"/>
  <c r="HJ61"/>
  <c r="HK61"/>
  <c r="HL61"/>
  <c r="HM61"/>
  <c r="HN61"/>
  <c r="HO61"/>
  <c r="HP61"/>
  <c r="HQ61"/>
  <c r="HR61"/>
  <c r="HS61"/>
  <c r="HT61"/>
  <c r="HU61"/>
  <c r="HV61"/>
  <c r="HW61"/>
  <c r="HX61"/>
  <c r="HY61"/>
  <c r="HZ61"/>
  <c r="IA61"/>
  <c r="IB61"/>
  <c r="IC61"/>
  <c r="ID61"/>
  <c r="IE61"/>
  <c r="IF61"/>
  <c r="IG61"/>
  <c r="IH61"/>
  <c r="II61"/>
  <c r="IJ61"/>
  <c r="IK61"/>
  <c r="IL61"/>
  <c r="IM61"/>
  <c r="IN61"/>
  <c r="IO61"/>
  <c r="IP61"/>
  <c r="IQ61"/>
  <c r="IR61"/>
  <c r="IS61"/>
  <c r="IT61"/>
  <c r="IU61"/>
  <c r="IV61"/>
  <c r="A60"/>
  <c r="B60"/>
  <c r="D60"/>
  <c r="E60"/>
  <c r="F60"/>
  <c r="G60"/>
  <c r="H60"/>
  <c r="I60"/>
  <c r="J60"/>
  <c r="K60"/>
  <c r="L60"/>
  <c r="M60"/>
  <c r="N60"/>
  <c r="O60"/>
  <c r="P60"/>
  <c r="Q60"/>
  <c r="R60"/>
  <c r="S60"/>
  <c r="T60"/>
  <c r="U60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AR60"/>
  <c r="AS60"/>
  <c r="AT60"/>
  <c r="AU60"/>
  <c r="AV60"/>
  <c r="AW60"/>
  <c r="AX60"/>
  <c r="AY60"/>
  <c r="AZ60"/>
  <c r="BA60"/>
  <c r="BB60"/>
  <c r="BC60"/>
  <c r="BD60"/>
  <c r="BE60"/>
  <c r="BF60"/>
  <c r="BG60"/>
  <c r="BH60"/>
  <c r="BI60"/>
  <c r="BJ60"/>
  <c r="BK60"/>
  <c r="BL60"/>
  <c r="BM60"/>
  <c r="BN60"/>
  <c r="BO60"/>
  <c r="BP60"/>
  <c r="BQ60"/>
  <c r="BR60"/>
  <c r="BS60"/>
  <c r="BT60"/>
  <c r="BU60"/>
  <c r="BV60"/>
  <c r="BW60"/>
  <c r="BX60"/>
  <c r="BY60"/>
  <c r="BZ60"/>
  <c r="CA60"/>
  <c r="CB60"/>
  <c r="CC60"/>
  <c r="CD60"/>
  <c r="CE60"/>
  <c r="CF60"/>
  <c r="CG60"/>
  <c r="CH60"/>
  <c r="CI60"/>
  <c r="CJ60"/>
  <c r="CK60"/>
  <c r="CL60"/>
  <c r="CM60"/>
  <c r="CN60"/>
  <c r="CO60"/>
  <c r="CP60"/>
  <c r="CQ60"/>
  <c r="CR60"/>
  <c r="CS60"/>
  <c r="CT60"/>
  <c r="CU60"/>
  <c r="CV60"/>
  <c r="CW60"/>
  <c r="CX60"/>
  <c r="CY60"/>
  <c r="CZ60"/>
  <c r="DA60"/>
  <c r="DB60"/>
  <c r="DC60"/>
  <c r="DD60"/>
  <c r="DE60"/>
  <c r="DF60"/>
  <c r="DG60"/>
  <c r="DH60"/>
  <c r="DI60"/>
  <c r="DJ60"/>
  <c r="DK60"/>
  <c r="DL60"/>
  <c r="DM60"/>
  <c r="DN60"/>
  <c r="DO60"/>
  <c r="DP60"/>
  <c r="DQ60"/>
  <c r="DR60"/>
  <c r="DS60"/>
  <c r="DT60"/>
  <c r="DU60"/>
  <c r="DV60"/>
  <c r="DW60"/>
  <c r="DX60"/>
  <c r="DY60"/>
  <c r="DZ60"/>
  <c r="EA60"/>
  <c r="EB60"/>
  <c r="EC60"/>
  <c r="ED60"/>
  <c r="EE60"/>
  <c r="EF60"/>
  <c r="EG60"/>
  <c r="EH60"/>
  <c r="EI60"/>
  <c r="EJ60"/>
  <c r="EK60"/>
  <c r="EL60"/>
  <c r="EM60"/>
  <c r="EN60"/>
  <c r="EO60"/>
  <c r="EP60"/>
  <c r="EQ60"/>
  <c r="ER60"/>
  <c r="ES60"/>
  <c r="ET60"/>
  <c r="EU60"/>
  <c r="EV60"/>
  <c r="EW60"/>
  <c r="EX60"/>
  <c r="EY60"/>
  <c r="EZ60"/>
  <c r="FA60"/>
  <c r="FB60"/>
  <c r="FC60"/>
  <c r="FD60"/>
  <c r="FE60"/>
  <c r="FF60"/>
  <c r="FG60"/>
  <c r="FH60"/>
  <c r="FI60"/>
  <c r="FJ60"/>
  <c r="FK60"/>
  <c r="FL60"/>
  <c r="FM60"/>
  <c r="FN60"/>
  <c r="FO60"/>
  <c r="FP60"/>
  <c r="FQ60"/>
  <c r="FR60"/>
  <c r="FS60"/>
  <c r="FT60"/>
  <c r="FU60"/>
  <c r="FV60"/>
  <c r="FW60"/>
  <c r="FX60"/>
  <c r="FY60"/>
  <c r="FZ60"/>
  <c r="GA60"/>
  <c r="GB60"/>
  <c r="GC60"/>
  <c r="GD60"/>
  <c r="GE60"/>
  <c r="GF60"/>
  <c r="GG60"/>
  <c r="GH60"/>
  <c r="GI60"/>
  <c r="GJ60"/>
  <c r="GK60"/>
  <c r="GL60"/>
  <c r="GM60"/>
  <c r="GN60"/>
  <c r="GO60"/>
  <c r="GP60"/>
  <c r="GQ60"/>
  <c r="GR60"/>
  <c r="GS60"/>
  <c r="GT60"/>
  <c r="GU60"/>
  <c r="GV60"/>
  <c r="GW60"/>
  <c r="GX60"/>
  <c r="GY60"/>
  <c r="GZ60"/>
  <c r="HA60"/>
  <c r="HB60"/>
  <c r="HC60"/>
  <c r="HD60"/>
  <c r="HE60"/>
  <c r="HF60"/>
  <c r="HG60"/>
  <c r="HH60"/>
  <c r="HI60"/>
  <c r="HJ60"/>
  <c r="HK60"/>
  <c r="HL60"/>
  <c r="HM60"/>
  <c r="HN60"/>
  <c r="HO60"/>
  <c r="HP60"/>
  <c r="HQ60"/>
  <c r="HR60"/>
  <c r="HS60"/>
  <c r="HT60"/>
  <c r="HU60"/>
  <c r="HV60"/>
  <c r="HW60"/>
  <c r="HX60"/>
  <c r="HY60"/>
  <c r="HZ60"/>
  <c r="IA60"/>
  <c r="IB60"/>
  <c r="IC60"/>
  <c r="ID60"/>
  <c r="IE60"/>
  <c r="IF60"/>
  <c r="IG60"/>
  <c r="IH60"/>
  <c r="II60"/>
  <c r="IJ60"/>
  <c r="IK60"/>
  <c r="IL60"/>
  <c r="IM60"/>
  <c r="IN60"/>
  <c r="IO60"/>
  <c r="IP60"/>
  <c r="IQ60"/>
  <c r="IR60"/>
  <c r="IS60"/>
  <c r="IT60"/>
  <c r="IU60"/>
  <c r="IV60"/>
  <c r="A59"/>
  <c r="B59"/>
  <c r="D59"/>
  <c r="E59"/>
  <c r="F59"/>
  <c r="G59"/>
  <c r="H59"/>
  <c r="I59"/>
  <c r="J59"/>
  <c r="K59"/>
  <c r="L59"/>
  <c r="M59"/>
  <c r="N59"/>
  <c r="O59"/>
  <c r="P59"/>
  <c r="Q59"/>
  <c r="R59"/>
  <c r="S59"/>
  <c r="T59"/>
  <c r="U59"/>
  <c r="V59"/>
  <c r="W59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AR59"/>
  <c r="AS59"/>
  <c r="AT59"/>
  <c r="AU59"/>
  <c r="AV59"/>
  <c r="AW59"/>
  <c r="AX59"/>
  <c r="AY59"/>
  <c r="AZ59"/>
  <c r="BA59"/>
  <c r="BB59"/>
  <c r="BC59"/>
  <c r="BD59"/>
  <c r="BE59"/>
  <c r="BF59"/>
  <c r="BG59"/>
  <c r="BH59"/>
  <c r="BI59"/>
  <c r="BJ59"/>
  <c r="BK59"/>
  <c r="BL59"/>
  <c r="BM59"/>
  <c r="BN59"/>
  <c r="BO59"/>
  <c r="BP59"/>
  <c r="BQ59"/>
  <c r="BR59"/>
  <c r="BS59"/>
  <c r="BT59"/>
  <c r="BU59"/>
  <c r="BV59"/>
  <c r="BW59"/>
  <c r="BX59"/>
  <c r="BY59"/>
  <c r="BZ59"/>
  <c r="CA59"/>
  <c r="CB59"/>
  <c r="CC59"/>
  <c r="CD59"/>
  <c r="CE59"/>
  <c r="CF59"/>
  <c r="CG59"/>
  <c r="CH59"/>
  <c r="CI59"/>
  <c r="CJ59"/>
  <c r="CK59"/>
  <c r="CL59"/>
  <c r="CM59"/>
  <c r="CN59"/>
  <c r="CO59"/>
  <c r="CP59"/>
  <c r="CQ59"/>
  <c r="CR59"/>
  <c r="CS59"/>
  <c r="CT59"/>
  <c r="CU59"/>
  <c r="CV59"/>
  <c r="CW59"/>
  <c r="CX59"/>
  <c r="CY59"/>
  <c r="CZ59"/>
  <c r="DA59"/>
  <c r="DB59"/>
  <c r="DC59"/>
  <c r="DD59"/>
  <c r="DE59"/>
  <c r="DF59"/>
  <c r="DG59"/>
  <c r="DH59"/>
  <c r="DI59"/>
  <c r="DJ59"/>
  <c r="DK59"/>
  <c r="DL59"/>
  <c r="DM59"/>
  <c r="DN59"/>
  <c r="DO59"/>
  <c r="DP59"/>
  <c r="DQ59"/>
  <c r="DR59"/>
  <c r="DS59"/>
  <c r="DT59"/>
  <c r="DU59"/>
  <c r="DV59"/>
  <c r="DW59"/>
  <c r="DX59"/>
  <c r="DY59"/>
  <c r="DZ59"/>
  <c r="EA59"/>
  <c r="EB59"/>
  <c r="EC59"/>
  <c r="ED59"/>
  <c r="EE59"/>
  <c r="EF59"/>
  <c r="EG59"/>
  <c r="EH59"/>
  <c r="EI59"/>
  <c r="EJ59"/>
  <c r="EK59"/>
  <c r="EL59"/>
  <c r="EM59"/>
  <c r="EN59"/>
  <c r="EO59"/>
  <c r="EP59"/>
  <c r="EQ59"/>
  <c r="ER59"/>
  <c r="ES59"/>
  <c r="ET59"/>
  <c r="EU59"/>
  <c r="EV59"/>
  <c r="EW59"/>
  <c r="EX59"/>
  <c r="EY59"/>
  <c r="EZ59"/>
  <c r="FA59"/>
  <c r="FB59"/>
  <c r="FC59"/>
  <c r="FD59"/>
  <c r="FE59"/>
  <c r="FF59"/>
  <c r="FG59"/>
  <c r="FH59"/>
  <c r="FI59"/>
  <c r="FJ59"/>
  <c r="FK59"/>
  <c r="FL59"/>
  <c r="FM59"/>
  <c r="FN59"/>
  <c r="FO59"/>
  <c r="FP59"/>
  <c r="FQ59"/>
  <c r="FR59"/>
  <c r="FS59"/>
  <c r="FT59"/>
  <c r="FU59"/>
  <c r="FV59"/>
  <c r="FW59"/>
  <c r="FX59"/>
  <c r="FY59"/>
  <c r="FZ59"/>
  <c r="GA59"/>
  <c r="GB59"/>
  <c r="GC59"/>
  <c r="GD59"/>
  <c r="GE59"/>
  <c r="GF59"/>
  <c r="GG59"/>
  <c r="GH59"/>
  <c r="GI59"/>
  <c r="GJ59"/>
  <c r="GK59"/>
  <c r="GL59"/>
  <c r="GM59"/>
  <c r="GN59"/>
  <c r="GO59"/>
  <c r="GP59"/>
  <c r="GQ59"/>
  <c r="GR59"/>
  <c r="GS59"/>
  <c r="GT59"/>
  <c r="GU59"/>
  <c r="GV59"/>
  <c r="GW59"/>
  <c r="GX59"/>
  <c r="GY59"/>
  <c r="GZ59"/>
  <c r="HA59"/>
  <c r="HB59"/>
  <c r="HC59"/>
  <c r="HD59"/>
  <c r="HE59"/>
  <c r="HF59"/>
  <c r="HG59"/>
  <c r="HH59"/>
  <c r="HI59"/>
  <c r="HJ59"/>
  <c r="HK59"/>
  <c r="HL59"/>
  <c r="HM59"/>
  <c r="HN59"/>
  <c r="HO59"/>
  <c r="HP59"/>
  <c r="HQ59"/>
  <c r="HR59"/>
  <c r="HS59"/>
  <c r="HT59"/>
  <c r="HU59"/>
  <c r="HV59"/>
  <c r="HW59"/>
  <c r="HX59"/>
  <c r="HY59"/>
  <c r="HZ59"/>
  <c r="IA59"/>
  <c r="IB59"/>
  <c r="IC59"/>
  <c r="ID59"/>
  <c r="IE59"/>
  <c r="IF59"/>
  <c r="IG59"/>
  <c r="IH59"/>
  <c r="II59"/>
  <c r="IJ59"/>
  <c r="IK59"/>
  <c r="IL59"/>
  <c r="IM59"/>
  <c r="IN59"/>
  <c r="IO59"/>
  <c r="IP59"/>
  <c r="IQ59"/>
  <c r="IR59"/>
  <c r="IS59"/>
  <c r="IT59"/>
  <c r="IU59"/>
  <c r="IV59"/>
  <c r="A58"/>
  <c r="B58"/>
  <c r="D58"/>
  <c r="E58"/>
  <c r="F58"/>
  <c r="G58"/>
  <c r="H58"/>
  <c r="I58"/>
  <c r="J58"/>
  <c r="K58"/>
  <c r="L58"/>
  <c r="M58"/>
  <c r="N58"/>
  <c r="O58"/>
  <c r="P58"/>
  <c r="Q58"/>
  <c r="R58"/>
  <c r="S58"/>
  <c r="T58"/>
  <c r="U58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AR58"/>
  <c r="AS58"/>
  <c r="AT58"/>
  <c r="AU58"/>
  <c r="AV58"/>
  <c r="AW58"/>
  <c r="AX58"/>
  <c r="AY58"/>
  <c r="AZ58"/>
  <c r="BA58"/>
  <c r="BB58"/>
  <c r="BC58"/>
  <c r="BD58"/>
  <c r="BE58"/>
  <c r="BF58"/>
  <c r="BG58"/>
  <c r="BH58"/>
  <c r="BI58"/>
  <c r="BJ58"/>
  <c r="BK58"/>
  <c r="BL58"/>
  <c r="BM58"/>
  <c r="BN58"/>
  <c r="BO58"/>
  <c r="BP58"/>
  <c r="BQ58"/>
  <c r="BR58"/>
  <c r="BS58"/>
  <c r="BT58"/>
  <c r="BU58"/>
  <c r="BV58"/>
  <c r="BW58"/>
  <c r="BX58"/>
  <c r="BY58"/>
  <c r="BZ58"/>
  <c r="CA58"/>
  <c r="CB58"/>
  <c r="CC58"/>
  <c r="CD58"/>
  <c r="CE58"/>
  <c r="CF58"/>
  <c r="CG58"/>
  <c r="CH58"/>
  <c r="CI58"/>
  <c r="CJ58"/>
  <c r="CK58"/>
  <c r="CL58"/>
  <c r="CM58"/>
  <c r="CN58"/>
  <c r="CO58"/>
  <c r="CP58"/>
  <c r="CQ58"/>
  <c r="CR58"/>
  <c r="CS58"/>
  <c r="CT58"/>
  <c r="CU58"/>
  <c r="CV58"/>
  <c r="CW58"/>
  <c r="CX58"/>
  <c r="CY58"/>
  <c r="CZ58"/>
  <c r="DA58"/>
  <c r="DB58"/>
  <c r="DC58"/>
  <c r="DD58"/>
  <c r="DE58"/>
  <c r="DF58"/>
  <c r="DG58"/>
  <c r="DH58"/>
  <c r="DI58"/>
  <c r="DJ58"/>
  <c r="DK58"/>
  <c r="DL58"/>
  <c r="DM58"/>
  <c r="DN58"/>
  <c r="DO58"/>
  <c r="DP58"/>
  <c r="DQ58"/>
  <c r="DR58"/>
  <c r="DS58"/>
  <c r="DT58"/>
  <c r="DU58"/>
  <c r="DV58"/>
  <c r="DW58"/>
  <c r="DX58"/>
  <c r="DY58"/>
  <c r="DZ58"/>
  <c r="EA58"/>
  <c r="EB58"/>
  <c r="EC58"/>
  <c r="ED58"/>
  <c r="EE58"/>
  <c r="EF58"/>
  <c r="EG58"/>
  <c r="EH58"/>
  <c r="EI58"/>
  <c r="EJ58"/>
  <c r="EK58"/>
  <c r="EL58"/>
  <c r="EM58"/>
  <c r="EN58"/>
  <c r="EO58"/>
  <c r="EP58"/>
  <c r="EQ58"/>
  <c r="ER58"/>
  <c r="ES58"/>
  <c r="ET58"/>
  <c r="EU58"/>
  <c r="EV58"/>
  <c r="EW58"/>
  <c r="EX58"/>
  <c r="EY58"/>
  <c r="EZ58"/>
  <c r="FA58"/>
  <c r="FB58"/>
  <c r="FC58"/>
  <c r="FD58"/>
  <c r="FE58"/>
  <c r="FF58"/>
  <c r="FG58"/>
  <c r="FH58"/>
  <c r="FI58"/>
  <c r="FJ58"/>
  <c r="FK58"/>
  <c r="FL58"/>
  <c r="FM58"/>
  <c r="FN58"/>
  <c r="FO58"/>
  <c r="FP58"/>
  <c r="FQ58"/>
  <c r="FR58"/>
  <c r="FS58"/>
  <c r="FT58"/>
  <c r="FU58"/>
  <c r="FV58"/>
  <c r="FW58"/>
  <c r="FX58"/>
  <c r="FY58"/>
  <c r="FZ58"/>
  <c r="GA58"/>
  <c r="GB58"/>
  <c r="GC58"/>
  <c r="GD58"/>
  <c r="GE58"/>
  <c r="GF58"/>
  <c r="GG58"/>
  <c r="GH58"/>
  <c r="GI58"/>
  <c r="GJ58"/>
  <c r="GK58"/>
  <c r="GL58"/>
  <c r="GM58"/>
  <c r="GN58"/>
  <c r="GO58"/>
  <c r="GP58"/>
  <c r="GQ58"/>
  <c r="GR58"/>
  <c r="GS58"/>
  <c r="GT58"/>
  <c r="GU58"/>
  <c r="GV58"/>
  <c r="GW58"/>
  <c r="GX58"/>
  <c r="GY58"/>
  <c r="GZ58"/>
  <c r="HA58"/>
  <c r="HB58"/>
  <c r="HC58"/>
  <c r="HD58"/>
  <c r="HE58"/>
  <c r="HF58"/>
  <c r="HG58"/>
  <c r="HH58"/>
  <c r="HI58"/>
  <c r="HJ58"/>
  <c r="HK58"/>
  <c r="HL58"/>
  <c r="HM58"/>
  <c r="HN58"/>
  <c r="HO58"/>
  <c r="HP58"/>
  <c r="HQ58"/>
  <c r="HR58"/>
  <c r="HS58"/>
  <c r="HT58"/>
  <c r="HU58"/>
  <c r="HV58"/>
  <c r="HW58"/>
  <c r="HX58"/>
  <c r="HY58"/>
  <c r="HZ58"/>
  <c r="IA58"/>
  <c r="IB58"/>
  <c r="IC58"/>
  <c r="ID58"/>
  <c r="IE58"/>
  <c r="IF58"/>
  <c r="IG58"/>
  <c r="IH58"/>
  <c r="II58"/>
  <c r="IJ58"/>
  <c r="IK58"/>
  <c r="IL58"/>
  <c r="IM58"/>
  <c r="IN58"/>
  <c r="IO58"/>
  <c r="IP58"/>
  <c r="IQ58"/>
  <c r="IR58"/>
  <c r="IS58"/>
  <c r="IT58"/>
  <c r="IU58"/>
  <c r="IV58"/>
  <c r="A57"/>
  <c r="B57"/>
  <c r="D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AR57"/>
  <c r="AS57"/>
  <c r="AT57"/>
  <c r="AU57"/>
  <c r="AV57"/>
  <c r="AW57"/>
  <c r="AX57"/>
  <c r="AY57"/>
  <c r="AZ57"/>
  <c r="BA57"/>
  <c r="BB57"/>
  <c r="BC57"/>
  <c r="BD57"/>
  <c r="BE57"/>
  <c r="BF57"/>
  <c r="BG57"/>
  <c r="BH57"/>
  <c r="BI57"/>
  <c r="BJ57"/>
  <c r="BK57"/>
  <c r="BL57"/>
  <c r="BM57"/>
  <c r="BN57"/>
  <c r="BO57"/>
  <c r="BP57"/>
  <c r="BQ57"/>
  <c r="BR57"/>
  <c r="BS57"/>
  <c r="BT57"/>
  <c r="BU57"/>
  <c r="BV57"/>
  <c r="BW57"/>
  <c r="BX57"/>
  <c r="BY57"/>
  <c r="BZ57"/>
  <c r="CA57"/>
  <c r="CB57"/>
  <c r="CC57"/>
  <c r="CD57"/>
  <c r="CE57"/>
  <c r="CF57"/>
  <c r="CG57"/>
  <c r="CH57"/>
  <c r="CI57"/>
  <c r="CJ57"/>
  <c r="CK57"/>
  <c r="CL57"/>
  <c r="CM57"/>
  <c r="CN57"/>
  <c r="CO57"/>
  <c r="CP57"/>
  <c r="CQ57"/>
  <c r="CR57"/>
  <c r="CS57"/>
  <c r="CT57"/>
  <c r="CU57"/>
  <c r="CV57"/>
  <c r="CW57"/>
  <c r="CX57"/>
  <c r="CY57"/>
  <c r="CZ57"/>
  <c r="DA57"/>
  <c r="DB57"/>
  <c r="DC57"/>
  <c r="DD57"/>
  <c r="DE57"/>
  <c r="DF57"/>
  <c r="DG57"/>
  <c r="DH57"/>
  <c r="DI57"/>
  <c r="DJ57"/>
  <c r="DK57"/>
  <c r="DL57"/>
  <c r="DM57"/>
  <c r="DN57"/>
  <c r="DO57"/>
  <c r="DP57"/>
  <c r="DQ57"/>
  <c r="DR57"/>
  <c r="DS57"/>
  <c r="DT57"/>
  <c r="DU57"/>
  <c r="DV57"/>
  <c r="DW57"/>
  <c r="DX57"/>
  <c r="DY57"/>
  <c r="DZ57"/>
  <c r="EA57"/>
  <c r="EB57"/>
  <c r="EC57"/>
  <c r="ED57"/>
  <c r="EE57"/>
  <c r="EF57"/>
  <c r="EG57"/>
  <c r="EH57"/>
  <c r="EI57"/>
  <c r="EJ57"/>
  <c r="EK57"/>
  <c r="EL57"/>
  <c r="EM57"/>
  <c r="EN57"/>
  <c r="EO57"/>
  <c r="EP57"/>
  <c r="EQ57"/>
  <c r="ER57"/>
  <c r="ES57"/>
  <c r="ET57"/>
  <c r="EU57"/>
  <c r="EV57"/>
  <c r="EW57"/>
  <c r="EX57"/>
  <c r="EY57"/>
  <c r="EZ57"/>
  <c r="FA57"/>
  <c r="FB57"/>
  <c r="FC57"/>
  <c r="FD57"/>
  <c r="FE57"/>
  <c r="FF57"/>
  <c r="FG57"/>
  <c r="FH57"/>
  <c r="FI57"/>
  <c r="FJ57"/>
  <c r="FK57"/>
  <c r="FL57"/>
  <c r="FM57"/>
  <c r="FN57"/>
  <c r="FO57"/>
  <c r="FP57"/>
  <c r="FQ57"/>
  <c r="FR57"/>
  <c r="FS57"/>
  <c r="FT57"/>
  <c r="FU57"/>
  <c r="FV57"/>
  <c r="FW57"/>
  <c r="FX57"/>
  <c r="FY57"/>
  <c r="FZ57"/>
  <c r="GA57"/>
  <c r="GB57"/>
  <c r="GC57"/>
  <c r="GD57"/>
  <c r="GE57"/>
  <c r="GF57"/>
  <c r="GG57"/>
  <c r="GH57"/>
  <c r="GI57"/>
  <c r="GJ57"/>
  <c r="GK57"/>
  <c r="GL57"/>
  <c r="GM57"/>
  <c r="GN57"/>
  <c r="GO57"/>
  <c r="GP57"/>
  <c r="GQ57"/>
  <c r="GR57"/>
  <c r="GS57"/>
  <c r="GT57"/>
  <c r="GU57"/>
  <c r="GV57"/>
  <c r="GW57"/>
  <c r="GX57"/>
  <c r="GY57"/>
  <c r="GZ57"/>
  <c r="HA57"/>
  <c r="HB57"/>
  <c r="HC57"/>
  <c r="HD57"/>
  <c r="HE57"/>
  <c r="HF57"/>
  <c r="HG57"/>
  <c r="HH57"/>
  <c r="HI57"/>
  <c r="HJ57"/>
  <c r="HK57"/>
  <c r="HL57"/>
  <c r="HM57"/>
  <c r="HN57"/>
  <c r="HO57"/>
  <c r="HP57"/>
  <c r="HQ57"/>
  <c r="HR57"/>
  <c r="HS57"/>
  <c r="HT57"/>
  <c r="HU57"/>
  <c r="HV57"/>
  <c r="HW57"/>
  <c r="HX57"/>
  <c r="HY57"/>
  <c r="HZ57"/>
  <c r="IA57"/>
  <c r="IB57"/>
  <c r="IC57"/>
  <c r="ID57"/>
  <c r="IE57"/>
  <c r="IF57"/>
  <c r="IG57"/>
  <c r="IH57"/>
  <c r="II57"/>
  <c r="IJ57"/>
  <c r="IK57"/>
  <c r="IL57"/>
  <c r="IM57"/>
  <c r="IN57"/>
  <c r="IO57"/>
  <c r="IP57"/>
  <c r="IQ57"/>
  <c r="IR57"/>
  <c r="IS57"/>
  <c r="IT57"/>
  <c r="IU57"/>
  <c r="IV57"/>
  <c r="A56"/>
  <c r="B56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AR56"/>
  <c r="AS56"/>
  <c r="AT56"/>
  <c r="AU56"/>
  <c r="AV56"/>
  <c r="AW56"/>
  <c r="AX56"/>
  <c r="AY56"/>
  <c r="AZ56"/>
  <c r="BA56"/>
  <c r="BB56"/>
  <c r="BC56"/>
  <c r="BD56"/>
  <c r="BE56"/>
  <c r="BF56"/>
  <c r="BG56"/>
  <c r="BH56"/>
  <c r="BI56"/>
  <c r="BJ56"/>
  <c r="BK56"/>
  <c r="BL56"/>
  <c r="BM56"/>
  <c r="BN56"/>
  <c r="BO56"/>
  <c r="BP56"/>
  <c r="BQ56"/>
  <c r="BR56"/>
  <c r="BS56"/>
  <c r="BT56"/>
  <c r="BU56"/>
  <c r="BV56"/>
  <c r="BW56"/>
  <c r="BX56"/>
  <c r="BY56"/>
  <c r="BZ56"/>
  <c r="CA56"/>
  <c r="CB56"/>
  <c r="CC56"/>
  <c r="CD56"/>
  <c r="CE56"/>
  <c r="CF56"/>
  <c r="CG56"/>
  <c r="CH56"/>
  <c r="CI56"/>
  <c r="CJ56"/>
  <c r="CK56"/>
  <c r="CL56"/>
  <c r="CM56"/>
  <c r="CN56"/>
  <c r="CO56"/>
  <c r="CP56"/>
  <c r="CQ56"/>
  <c r="CR56"/>
  <c r="CS56"/>
  <c r="CT56"/>
  <c r="CU56"/>
  <c r="CV56"/>
  <c r="CW56"/>
  <c r="CX56"/>
  <c r="CY56"/>
  <c r="CZ56"/>
  <c r="DA56"/>
  <c r="DB56"/>
  <c r="DC56"/>
  <c r="DD56"/>
  <c r="DE56"/>
  <c r="DF56"/>
  <c r="DG56"/>
  <c r="DH56"/>
  <c r="DI56"/>
  <c r="DJ56"/>
  <c r="DK56"/>
  <c r="DL56"/>
  <c r="DM56"/>
  <c r="DN56"/>
  <c r="DO56"/>
  <c r="DP56"/>
  <c r="DQ56"/>
  <c r="DR56"/>
  <c r="DS56"/>
  <c r="DT56"/>
  <c r="DU56"/>
  <c r="DV56"/>
  <c r="DW56"/>
  <c r="DX56"/>
  <c r="DY56"/>
  <c r="DZ56"/>
  <c r="EA56"/>
  <c r="EB56"/>
  <c r="EC56"/>
  <c r="ED56"/>
  <c r="EE56"/>
  <c r="EF56"/>
  <c r="EG56"/>
  <c r="EH56"/>
  <c r="EI56"/>
  <c r="EJ56"/>
  <c r="EK56"/>
  <c r="EL56"/>
  <c r="EM56"/>
  <c r="EN56"/>
  <c r="EO56"/>
  <c r="EP56"/>
  <c r="EQ56"/>
  <c r="ER56"/>
  <c r="ES56"/>
  <c r="ET56"/>
  <c r="EU56"/>
  <c r="EV56"/>
  <c r="EW56"/>
  <c r="EX56"/>
  <c r="EY56"/>
  <c r="EZ56"/>
  <c r="FA56"/>
  <c r="FB56"/>
  <c r="FC56"/>
  <c r="FD56"/>
  <c r="FE56"/>
  <c r="FF56"/>
  <c r="FG56"/>
  <c r="FH56"/>
  <c r="FI56"/>
  <c r="FJ56"/>
  <c r="FK56"/>
  <c r="FL56"/>
  <c r="FM56"/>
  <c r="FN56"/>
  <c r="FO56"/>
  <c r="FP56"/>
  <c r="FQ56"/>
  <c r="FR56"/>
  <c r="FS56"/>
  <c r="FT56"/>
  <c r="FU56"/>
  <c r="FV56"/>
  <c r="FW56"/>
  <c r="FX56"/>
  <c r="FY56"/>
  <c r="FZ56"/>
  <c r="GA56"/>
  <c r="GB56"/>
  <c r="GC56"/>
  <c r="GD56"/>
  <c r="GE56"/>
  <c r="GF56"/>
  <c r="GG56"/>
  <c r="GH56"/>
  <c r="GI56"/>
  <c r="GJ56"/>
  <c r="GK56"/>
  <c r="GL56"/>
  <c r="GM56"/>
  <c r="GN56"/>
  <c r="GO56"/>
  <c r="GP56"/>
  <c r="GQ56"/>
  <c r="GR56"/>
  <c r="GS56"/>
  <c r="GT56"/>
  <c r="GU56"/>
  <c r="GV56"/>
  <c r="GW56"/>
  <c r="GX56"/>
  <c r="GY56"/>
  <c r="GZ56"/>
  <c r="HA56"/>
  <c r="HB56"/>
  <c r="HC56"/>
  <c r="HD56"/>
  <c r="HE56"/>
  <c r="HF56"/>
  <c r="HG56"/>
  <c r="HH56"/>
  <c r="HI56"/>
  <c r="HJ56"/>
  <c r="HK56"/>
  <c r="HL56"/>
  <c r="HM56"/>
  <c r="HN56"/>
  <c r="HO56"/>
  <c r="HP56"/>
  <c r="HQ56"/>
  <c r="HR56"/>
  <c r="HS56"/>
  <c r="HT56"/>
  <c r="HU56"/>
  <c r="HV56"/>
  <c r="HW56"/>
  <c r="HX56"/>
  <c r="HY56"/>
  <c r="HZ56"/>
  <c r="IA56"/>
  <c r="IB56"/>
  <c r="IC56"/>
  <c r="ID56"/>
  <c r="IE56"/>
  <c r="IF56"/>
  <c r="IG56"/>
  <c r="IH56"/>
  <c r="II56"/>
  <c r="IJ56"/>
  <c r="IK56"/>
  <c r="IL56"/>
  <c r="IM56"/>
  <c r="IN56"/>
  <c r="IO56"/>
  <c r="IP56"/>
  <c r="IQ56"/>
  <c r="IR56"/>
  <c r="IS56"/>
  <c r="IT56"/>
  <c r="IU56"/>
  <c r="IV56"/>
  <c r="A55"/>
  <c r="B55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AR55"/>
  <c r="AS55"/>
  <c r="AT55"/>
  <c r="AU55"/>
  <c r="AV55"/>
  <c r="AW55"/>
  <c r="AX55"/>
  <c r="AY55"/>
  <c r="AZ55"/>
  <c r="BA55"/>
  <c r="BB55"/>
  <c r="BC55"/>
  <c r="BD55"/>
  <c r="BE55"/>
  <c r="BF55"/>
  <c r="BG55"/>
  <c r="BH55"/>
  <c r="BI55"/>
  <c r="BJ55"/>
  <c r="BK55"/>
  <c r="BL55"/>
  <c r="BM55"/>
  <c r="BN55"/>
  <c r="BO55"/>
  <c r="BP55"/>
  <c r="BQ55"/>
  <c r="BR55"/>
  <c r="BS55"/>
  <c r="BT55"/>
  <c r="BU55"/>
  <c r="BV55"/>
  <c r="BW55"/>
  <c r="BX55"/>
  <c r="BY55"/>
  <c r="BZ55"/>
  <c r="CA55"/>
  <c r="CB55"/>
  <c r="CC55"/>
  <c r="CD55"/>
  <c r="CE55"/>
  <c r="CF55"/>
  <c r="CG55"/>
  <c r="CH55"/>
  <c r="CI55"/>
  <c r="CJ55"/>
  <c r="CK55"/>
  <c r="CL55"/>
  <c r="CM55"/>
  <c r="CN55"/>
  <c r="CO55"/>
  <c r="CP55"/>
  <c r="CQ55"/>
  <c r="CR55"/>
  <c r="CS55"/>
  <c r="CT55"/>
  <c r="CU55"/>
  <c r="CV55"/>
  <c r="CW55"/>
  <c r="CX55"/>
  <c r="CY55"/>
  <c r="CZ55"/>
  <c r="DA55"/>
  <c r="DB55"/>
  <c r="DC55"/>
  <c r="DD55"/>
  <c r="DE55"/>
  <c r="DF55"/>
  <c r="DG55"/>
  <c r="DH55"/>
  <c r="DI55"/>
  <c r="DJ55"/>
  <c r="DK55"/>
  <c r="DL55"/>
  <c r="DM55"/>
  <c r="DN55"/>
  <c r="DO55"/>
  <c r="DP55"/>
  <c r="DQ55"/>
  <c r="DR55"/>
  <c r="DS55"/>
  <c r="DT55"/>
  <c r="DU55"/>
  <c r="DV55"/>
  <c r="DW55"/>
  <c r="DX55"/>
  <c r="DY55"/>
  <c r="DZ55"/>
  <c r="EA55"/>
  <c r="EB55"/>
  <c r="EC55"/>
  <c r="ED55"/>
  <c r="EE55"/>
  <c r="EF55"/>
  <c r="EG55"/>
  <c r="EH55"/>
  <c r="EI55"/>
  <c r="EJ55"/>
  <c r="EK55"/>
  <c r="EL55"/>
  <c r="EM55"/>
  <c r="EN55"/>
  <c r="EO55"/>
  <c r="EP55"/>
  <c r="EQ55"/>
  <c r="ER55"/>
  <c r="ES55"/>
  <c r="ET55"/>
  <c r="EU55"/>
  <c r="EV55"/>
  <c r="EW55"/>
  <c r="EX55"/>
  <c r="EY55"/>
  <c r="EZ55"/>
  <c r="FA55"/>
  <c r="FB55"/>
  <c r="FC55"/>
  <c r="FD55"/>
  <c r="FE55"/>
  <c r="FF55"/>
  <c r="FG55"/>
  <c r="FH55"/>
  <c r="FI55"/>
  <c r="FJ55"/>
  <c r="FK55"/>
  <c r="FL55"/>
  <c r="FM55"/>
  <c r="FN55"/>
  <c r="FO55"/>
  <c r="FP55"/>
  <c r="FQ55"/>
  <c r="FR55"/>
  <c r="FS55"/>
  <c r="FT55"/>
  <c r="FU55"/>
  <c r="FV55"/>
  <c r="FW55"/>
  <c r="FX55"/>
  <c r="FY55"/>
  <c r="FZ55"/>
  <c r="GA55"/>
  <c r="GB55"/>
  <c r="GC55"/>
  <c r="GD55"/>
  <c r="GE55"/>
  <c r="GF55"/>
  <c r="GG55"/>
  <c r="GH55"/>
  <c r="GI55"/>
  <c r="GJ55"/>
  <c r="GK55"/>
  <c r="GL55"/>
  <c r="GM55"/>
  <c r="GN55"/>
  <c r="GO55"/>
  <c r="GP55"/>
  <c r="GQ55"/>
  <c r="GR55"/>
  <c r="GS55"/>
  <c r="GT55"/>
  <c r="GU55"/>
  <c r="GV55"/>
  <c r="GW55"/>
  <c r="GX55"/>
  <c r="GY55"/>
  <c r="GZ55"/>
  <c r="HA55"/>
  <c r="HB55"/>
  <c r="HC55"/>
  <c r="HD55"/>
  <c r="HE55"/>
  <c r="HF55"/>
  <c r="HG55"/>
  <c r="HH55"/>
  <c r="HI55"/>
  <c r="HJ55"/>
  <c r="HK55"/>
  <c r="HL55"/>
  <c r="HM55"/>
  <c r="HN55"/>
  <c r="HO55"/>
  <c r="HP55"/>
  <c r="HQ55"/>
  <c r="HR55"/>
  <c r="HS55"/>
  <c r="HT55"/>
  <c r="HU55"/>
  <c r="HV55"/>
  <c r="HW55"/>
  <c r="HX55"/>
  <c r="HY55"/>
  <c r="HZ55"/>
  <c r="IA55"/>
  <c r="IB55"/>
  <c r="IC55"/>
  <c r="ID55"/>
  <c r="IE55"/>
  <c r="IF55"/>
  <c r="IG55"/>
  <c r="IH55"/>
  <c r="II55"/>
  <c r="IJ55"/>
  <c r="IK55"/>
  <c r="IL55"/>
  <c r="IM55"/>
  <c r="IN55"/>
  <c r="IO55"/>
  <c r="IP55"/>
  <c r="IQ55"/>
  <c r="IR55"/>
  <c r="IS55"/>
  <c r="IT55"/>
  <c r="IU55"/>
  <c r="IV55"/>
  <c r="A54"/>
  <c r="B54"/>
  <c r="D54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AR54"/>
  <c r="AS54"/>
  <c r="AT54"/>
  <c r="AU54"/>
  <c r="AV54"/>
  <c r="AW54"/>
  <c r="AX54"/>
  <c r="AY54"/>
  <c r="AZ54"/>
  <c r="BA54"/>
  <c r="BB54"/>
  <c r="BC54"/>
  <c r="BD54"/>
  <c r="BE54"/>
  <c r="BF54"/>
  <c r="BG54"/>
  <c r="BH54"/>
  <c r="BI54"/>
  <c r="BJ54"/>
  <c r="BK54"/>
  <c r="BL54"/>
  <c r="BM54"/>
  <c r="BN54"/>
  <c r="BO54"/>
  <c r="BP54"/>
  <c r="BQ54"/>
  <c r="BR54"/>
  <c r="BS54"/>
  <c r="BT54"/>
  <c r="BU54"/>
  <c r="BV54"/>
  <c r="BW54"/>
  <c r="BX54"/>
  <c r="BY54"/>
  <c r="BZ54"/>
  <c r="CA54"/>
  <c r="CB54"/>
  <c r="CC54"/>
  <c r="CD54"/>
  <c r="CE54"/>
  <c r="CF54"/>
  <c r="CG54"/>
  <c r="CH54"/>
  <c r="CI54"/>
  <c r="CJ54"/>
  <c r="CK54"/>
  <c r="CL54"/>
  <c r="CM54"/>
  <c r="CN54"/>
  <c r="CO54"/>
  <c r="CP54"/>
  <c r="CQ54"/>
  <c r="CR54"/>
  <c r="CS54"/>
  <c r="CT54"/>
  <c r="CU54"/>
  <c r="CV54"/>
  <c r="CW54"/>
  <c r="CX54"/>
  <c r="CY54"/>
  <c r="CZ54"/>
  <c r="DA54"/>
  <c r="DB54"/>
  <c r="DC54"/>
  <c r="DD54"/>
  <c r="DE54"/>
  <c r="DF54"/>
  <c r="DG54"/>
  <c r="DH54"/>
  <c r="DI54"/>
  <c r="DJ54"/>
  <c r="DK54"/>
  <c r="DL54"/>
  <c r="DM54"/>
  <c r="DN54"/>
  <c r="DO54"/>
  <c r="DP54"/>
  <c r="DQ54"/>
  <c r="DR54"/>
  <c r="DS54"/>
  <c r="DT54"/>
  <c r="DU54"/>
  <c r="DV54"/>
  <c r="DW54"/>
  <c r="DX54"/>
  <c r="DY54"/>
  <c r="DZ54"/>
  <c r="EA54"/>
  <c r="EB54"/>
  <c r="EC54"/>
  <c r="ED54"/>
  <c r="EE54"/>
  <c r="EF54"/>
  <c r="EG54"/>
  <c r="EH54"/>
  <c r="EI54"/>
  <c r="EJ54"/>
  <c r="EK54"/>
  <c r="EL54"/>
  <c r="EM54"/>
  <c r="EN54"/>
  <c r="EO54"/>
  <c r="EP54"/>
  <c r="EQ54"/>
  <c r="ER54"/>
  <c r="ES54"/>
  <c r="ET54"/>
  <c r="EU54"/>
  <c r="EV54"/>
  <c r="EW54"/>
  <c r="EX54"/>
  <c r="EY54"/>
  <c r="EZ54"/>
  <c r="FA54"/>
  <c r="FB54"/>
  <c r="FC54"/>
  <c r="FD54"/>
  <c r="FE54"/>
  <c r="FF54"/>
  <c r="FG54"/>
  <c r="FH54"/>
  <c r="FI54"/>
  <c r="FJ54"/>
  <c r="FK54"/>
  <c r="FL54"/>
  <c r="FM54"/>
  <c r="FN54"/>
  <c r="FO54"/>
  <c r="FP54"/>
  <c r="FQ54"/>
  <c r="FR54"/>
  <c r="FS54"/>
  <c r="FT54"/>
  <c r="FU54"/>
  <c r="FV54"/>
  <c r="FW54"/>
  <c r="FX54"/>
  <c r="FY54"/>
  <c r="FZ54"/>
  <c r="GA54"/>
  <c r="GB54"/>
  <c r="GC54"/>
  <c r="GD54"/>
  <c r="GE54"/>
  <c r="GF54"/>
  <c r="GG54"/>
  <c r="GH54"/>
  <c r="GI54"/>
  <c r="GJ54"/>
  <c r="GK54"/>
  <c r="GL54"/>
  <c r="GM54"/>
  <c r="GN54"/>
  <c r="GO54"/>
  <c r="GP54"/>
  <c r="GQ54"/>
  <c r="GR54"/>
  <c r="GS54"/>
  <c r="GT54"/>
  <c r="GU54"/>
  <c r="GV54"/>
  <c r="GW54"/>
  <c r="GX54"/>
  <c r="GY54"/>
  <c r="GZ54"/>
  <c r="HA54"/>
  <c r="HB54"/>
  <c r="HC54"/>
  <c r="HD54"/>
  <c r="HE54"/>
  <c r="HF54"/>
  <c r="HG54"/>
  <c r="HH54"/>
  <c r="HI54"/>
  <c r="HJ54"/>
  <c r="HK54"/>
  <c r="HL54"/>
  <c r="HM54"/>
  <c r="HN54"/>
  <c r="HO54"/>
  <c r="HP54"/>
  <c r="HQ54"/>
  <c r="HR54"/>
  <c r="HS54"/>
  <c r="HT54"/>
  <c r="HU54"/>
  <c r="HV54"/>
  <c r="HW54"/>
  <c r="HX54"/>
  <c r="HY54"/>
  <c r="HZ54"/>
  <c r="IA54"/>
  <c r="IB54"/>
  <c r="IC54"/>
  <c r="ID54"/>
  <c r="IE54"/>
  <c r="IF54"/>
  <c r="IG54"/>
  <c r="IH54"/>
  <c r="II54"/>
  <c r="IJ54"/>
  <c r="IK54"/>
  <c r="IL54"/>
  <c r="IM54"/>
  <c r="IN54"/>
  <c r="IO54"/>
  <c r="IP54"/>
  <c r="IQ54"/>
  <c r="IR54"/>
  <c r="IS54"/>
  <c r="IT54"/>
  <c r="IU54"/>
  <c r="IV54"/>
  <c r="A53"/>
  <c r="B53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AR53"/>
  <c r="AS53"/>
  <c r="AT53"/>
  <c r="AU53"/>
  <c r="AV53"/>
  <c r="AW53"/>
  <c r="AX53"/>
  <c r="AY53"/>
  <c r="AZ53"/>
  <c r="BA53"/>
  <c r="BB53"/>
  <c r="BC53"/>
  <c r="BD53"/>
  <c r="BE53"/>
  <c r="BF53"/>
  <c r="BG53"/>
  <c r="BH53"/>
  <c r="BI53"/>
  <c r="BJ53"/>
  <c r="BK53"/>
  <c r="BL53"/>
  <c r="BM53"/>
  <c r="BN53"/>
  <c r="BO53"/>
  <c r="BP53"/>
  <c r="BQ53"/>
  <c r="BR53"/>
  <c r="BS53"/>
  <c r="BT53"/>
  <c r="BU53"/>
  <c r="BV53"/>
  <c r="BW53"/>
  <c r="BX53"/>
  <c r="BY53"/>
  <c r="BZ53"/>
  <c r="CA53"/>
  <c r="CB53"/>
  <c r="CC53"/>
  <c r="CD53"/>
  <c r="CE53"/>
  <c r="CF53"/>
  <c r="CG53"/>
  <c r="CH53"/>
  <c r="CI53"/>
  <c r="CJ53"/>
  <c r="CK53"/>
  <c r="CL53"/>
  <c r="CM53"/>
  <c r="CN53"/>
  <c r="CO53"/>
  <c r="CP53"/>
  <c r="CQ53"/>
  <c r="CR53"/>
  <c r="CS53"/>
  <c r="CT53"/>
  <c r="CU53"/>
  <c r="CV53"/>
  <c r="CW53"/>
  <c r="CX53"/>
  <c r="CY53"/>
  <c r="CZ53"/>
  <c r="DA53"/>
  <c r="DB53"/>
  <c r="DC53"/>
  <c r="DD53"/>
  <c r="DE53"/>
  <c r="DF53"/>
  <c r="DG53"/>
  <c r="DH53"/>
  <c r="DI53"/>
  <c r="DJ53"/>
  <c r="DK53"/>
  <c r="DL53"/>
  <c r="DM53"/>
  <c r="DN53"/>
  <c r="DO53"/>
  <c r="DP53"/>
  <c r="DQ53"/>
  <c r="DR53"/>
  <c r="DS53"/>
  <c r="DT53"/>
  <c r="DU53"/>
  <c r="DV53"/>
  <c r="DW53"/>
  <c r="DX53"/>
  <c r="DY53"/>
  <c r="DZ53"/>
  <c r="EA53"/>
  <c r="EB53"/>
  <c r="EC53"/>
  <c r="ED53"/>
  <c r="EE53"/>
  <c r="EF53"/>
  <c r="EG53"/>
  <c r="EH53"/>
  <c r="EI53"/>
  <c r="EJ53"/>
  <c r="EK53"/>
  <c r="EL53"/>
  <c r="EM53"/>
  <c r="EN53"/>
  <c r="EO53"/>
  <c r="EP53"/>
  <c r="EQ53"/>
  <c r="ER53"/>
  <c r="ES53"/>
  <c r="ET53"/>
  <c r="EU53"/>
  <c r="EV53"/>
  <c r="EW53"/>
  <c r="EX53"/>
  <c r="EY53"/>
  <c r="EZ53"/>
  <c r="FA53"/>
  <c r="FB53"/>
  <c r="FC53"/>
  <c r="FD53"/>
  <c r="FE53"/>
  <c r="FF53"/>
  <c r="FG53"/>
  <c r="FH53"/>
  <c r="FI53"/>
  <c r="FJ53"/>
  <c r="FK53"/>
  <c r="FL53"/>
  <c r="FM53"/>
  <c r="FN53"/>
  <c r="FO53"/>
  <c r="FP53"/>
  <c r="FQ53"/>
  <c r="FR53"/>
  <c r="FS53"/>
  <c r="FT53"/>
  <c r="FU53"/>
  <c r="FV53"/>
  <c r="FW53"/>
  <c r="FX53"/>
  <c r="FY53"/>
  <c r="FZ53"/>
  <c r="GA53"/>
  <c r="GB53"/>
  <c r="GC53"/>
  <c r="GD53"/>
  <c r="GE53"/>
  <c r="GF53"/>
  <c r="GG53"/>
  <c r="GH53"/>
  <c r="GI53"/>
  <c r="GJ53"/>
  <c r="GK53"/>
  <c r="GL53"/>
  <c r="GM53"/>
  <c r="GN53"/>
  <c r="GO53"/>
  <c r="GP53"/>
  <c r="GQ53"/>
  <c r="GR53"/>
  <c r="GS53"/>
  <c r="GT53"/>
  <c r="GU53"/>
  <c r="GV53"/>
  <c r="GW53"/>
  <c r="GX53"/>
  <c r="GY53"/>
  <c r="GZ53"/>
  <c r="HA53"/>
  <c r="HB53"/>
  <c r="HC53"/>
  <c r="HD53"/>
  <c r="HE53"/>
  <c r="HF53"/>
  <c r="HG53"/>
  <c r="HH53"/>
  <c r="HI53"/>
  <c r="HJ53"/>
  <c r="HK53"/>
  <c r="HL53"/>
  <c r="HM53"/>
  <c r="HN53"/>
  <c r="HO53"/>
  <c r="HP53"/>
  <c r="HQ53"/>
  <c r="HR53"/>
  <c r="HS53"/>
  <c r="HT53"/>
  <c r="HU53"/>
  <c r="HV53"/>
  <c r="HW53"/>
  <c r="HX53"/>
  <c r="HY53"/>
  <c r="HZ53"/>
  <c r="IA53"/>
  <c r="IB53"/>
  <c r="IC53"/>
  <c r="ID53"/>
  <c r="IE53"/>
  <c r="IF53"/>
  <c r="IG53"/>
  <c r="IH53"/>
  <c r="II53"/>
  <c r="IJ53"/>
  <c r="IK53"/>
  <c r="IL53"/>
  <c r="IM53"/>
  <c r="IN53"/>
  <c r="IO53"/>
  <c r="IP53"/>
  <c r="IQ53"/>
  <c r="IR53"/>
  <c r="IS53"/>
  <c r="IT53"/>
  <c r="IU53"/>
  <c r="IV53"/>
  <c r="A52"/>
  <c r="B52"/>
  <c r="D52"/>
  <c r="E52"/>
  <c r="F52"/>
  <c r="G52"/>
  <c r="H52"/>
  <c r="I52"/>
  <c r="J52"/>
  <c r="K52"/>
  <c r="L52"/>
  <c r="M52"/>
  <c r="N52"/>
  <c r="O52"/>
  <c r="P52"/>
  <c r="Q52"/>
  <c r="R52"/>
  <c r="S52"/>
  <c r="T52"/>
  <c r="U52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AR52"/>
  <c r="AS52"/>
  <c r="AT52"/>
  <c r="AU52"/>
  <c r="AV52"/>
  <c r="AW52"/>
  <c r="AX52"/>
  <c r="AY52"/>
  <c r="AZ52"/>
  <c r="BA52"/>
  <c r="BB52"/>
  <c r="BC52"/>
  <c r="BD52"/>
  <c r="BE52"/>
  <c r="BF52"/>
  <c r="BG52"/>
  <c r="BH52"/>
  <c r="BI52"/>
  <c r="BJ52"/>
  <c r="BK52"/>
  <c r="BL52"/>
  <c r="BM52"/>
  <c r="BN52"/>
  <c r="BO52"/>
  <c r="BP52"/>
  <c r="BQ52"/>
  <c r="BR52"/>
  <c r="BS52"/>
  <c r="BT52"/>
  <c r="BU52"/>
  <c r="BV52"/>
  <c r="BW52"/>
  <c r="BX52"/>
  <c r="BY52"/>
  <c r="BZ52"/>
  <c r="CA52"/>
  <c r="CB52"/>
  <c r="CC52"/>
  <c r="CD52"/>
  <c r="CE52"/>
  <c r="CF52"/>
  <c r="CG52"/>
  <c r="CH52"/>
  <c r="CI52"/>
  <c r="CJ52"/>
  <c r="CK52"/>
  <c r="CL52"/>
  <c r="CM52"/>
  <c r="CN52"/>
  <c r="CO52"/>
  <c r="CP52"/>
  <c r="CQ52"/>
  <c r="CR52"/>
  <c r="CS52"/>
  <c r="CT52"/>
  <c r="CU52"/>
  <c r="CV52"/>
  <c r="CW52"/>
  <c r="CX52"/>
  <c r="CY52"/>
  <c r="CZ52"/>
  <c r="DA52"/>
  <c r="DB52"/>
  <c r="DC52"/>
  <c r="DD52"/>
  <c r="DE52"/>
  <c r="DF52"/>
  <c r="DG52"/>
  <c r="DH52"/>
  <c r="DI52"/>
  <c r="DJ52"/>
  <c r="DK52"/>
  <c r="DL52"/>
  <c r="DM52"/>
  <c r="DN52"/>
  <c r="DO52"/>
  <c r="DP52"/>
  <c r="DQ52"/>
  <c r="DR52"/>
  <c r="DS52"/>
  <c r="DT52"/>
  <c r="DU52"/>
  <c r="DV52"/>
  <c r="DW52"/>
  <c r="DX52"/>
  <c r="DY52"/>
  <c r="DZ52"/>
  <c r="EA52"/>
  <c r="EB52"/>
  <c r="EC52"/>
  <c r="ED52"/>
  <c r="EE52"/>
  <c r="EF52"/>
  <c r="EG52"/>
  <c r="EH52"/>
  <c r="EI52"/>
  <c r="EJ52"/>
  <c r="EK52"/>
  <c r="EL52"/>
  <c r="EM52"/>
  <c r="EN52"/>
  <c r="EO52"/>
  <c r="EP52"/>
  <c r="EQ52"/>
  <c r="ER52"/>
  <c r="ES52"/>
  <c r="ET52"/>
  <c r="EU52"/>
  <c r="EV52"/>
  <c r="EW52"/>
  <c r="EX52"/>
  <c r="EY52"/>
  <c r="EZ52"/>
  <c r="FA52"/>
  <c r="FB52"/>
  <c r="FC52"/>
  <c r="FD52"/>
  <c r="FE52"/>
  <c r="FF52"/>
  <c r="FG52"/>
  <c r="FH52"/>
  <c r="FI52"/>
  <c r="FJ52"/>
  <c r="FK52"/>
  <c r="FL52"/>
  <c r="FM52"/>
  <c r="FN52"/>
  <c r="FO52"/>
  <c r="FP52"/>
  <c r="FQ52"/>
  <c r="FR52"/>
  <c r="FS52"/>
  <c r="FT52"/>
  <c r="FU52"/>
  <c r="FV52"/>
  <c r="FW52"/>
  <c r="FX52"/>
  <c r="FY52"/>
  <c r="FZ52"/>
  <c r="GA52"/>
  <c r="GB52"/>
  <c r="GC52"/>
  <c r="GD52"/>
  <c r="GE52"/>
  <c r="GF52"/>
  <c r="GG52"/>
  <c r="GH52"/>
  <c r="GI52"/>
  <c r="GJ52"/>
  <c r="GK52"/>
  <c r="GL52"/>
  <c r="GM52"/>
  <c r="GN52"/>
  <c r="GO52"/>
  <c r="GP52"/>
  <c r="GQ52"/>
  <c r="GR52"/>
  <c r="GS52"/>
  <c r="GT52"/>
  <c r="GU52"/>
  <c r="GV52"/>
  <c r="GW52"/>
  <c r="GX52"/>
  <c r="GY52"/>
  <c r="GZ52"/>
  <c r="HA52"/>
  <c r="HB52"/>
  <c r="HC52"/>
  <c r="HD52"/>
  <c r="HE52"/>
  <c r="HF52"/>
  <c r="HG52"/>
  <c r="HH52"/>
  <c r="HI52"/>
  <c r="HJ52"/>
  <c r="HK52"/>
  <c r="HL52"/>
  <c r="HM52"/>
  <c r="HN52"/>
  <c r="HO52"/>
  <c r="HP52"/>
  <c r="HQ52"/>
  <c r="HR52"/>
  <c r="HS52"/>
  <c r="HT52"/>
  <c r="HU52"/>
  <c r="HV52"/>
  <c r="HW52"/>
  <c r="HX52"/>
  <c r="HY52"/>
  <c r="HZ52"/>
  <c r="IA52"/>
  <c r="IB52"/>
  <c r="IC52"/>
  <c r="ID52"/>
  <c r="IE52"/>
  <c r="IF52"/>
  <c r="IG52"/>
  <c r="IH52"/>
  <c r="II52"/>
  <c r="IJ52"/>
  <c r="IK52"/>
  <c r="IL52"/>
  <c r="IM52"/>
  <c r="IN52"/>
  <c r="IO52"/>
  <c r="IP52"/>
  <c r="IQ52"/>
  <c r="IR52"/>
  <c r="IS52"/>
  <c r="IT52"/>
  <c r="IU52"/>
  <c r="IV52"/>
  <c r="A51"/>
  <c r="B51"/>
  <c r="D51"/>
  <c r="E51"/>
  <c r="F51"/>
  <c r="G51"/>
  <c r="H51"/>
  <c r="I51"/>
  <c r="J51"/>
  <c r="K51"/>
  <c r="L51"/>
  <c r="M51"/>
  <c r="N51"/>
  <c r="O51"/>
  <c r="P51"/>
  <c r="Q51"/>
  <c r="R51"/>
  <c r="S51"/>
  <c r="T51"/>
  <c r="U51"/>
  <c r="V51"/>
  <c r="W51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AR51"/>
  <c r="AS51"/>
  <c r="AT51"/>
  <c r="AU51"/>
  <c r="AV51"/>
  <c r="AW51"/>
  <c r="AX51"/>
  <c r="AY51"/>
  <c r="AZ51"/>
  <c r="BA51"/>
  <c r="BB51"/>
  <c r="BC51"/>
  <c r="BD51"/>
  <c r="BE51"/>
  <c r="BF51"/>
  <c r="BG51"/>
  <c r="BH51"/>
  <c r="BI51"/>
  <c r="BJ51"/>
  <c r="BK51"/>
  <c r="BL51"/>
  <c r="BM51"/>
  <c r="BN51"/>
  <c r="BO51"/>
  <c r="BP51"/>
  <c r="BQ51"/>
  <c r="BR51"/>
  <c r="BS51"/>
  <c r="BT51"/>
  <c r="BU51"/>
  <c r="BV51"/>
  <c r="BW51"/>
  <c r="BX51"/>
  <c r="BY51"/>
  <c r="BZ51"/>
  <c r="CA51"/>
  <c r="CB51"/>
  <c r="CC51"/>
  <c r="CD51"/>
  <c r="CE51"/>
  <c r="CF51"/>
  <c r="CG51"/>
  <c r="CH51"/>
  <c r="CI51"/>
  <c r="CJ51"/>
  <c r="CK51"/>
  <c r="CL51"/>
  <c r="CM51"/>
  <c r="CN51"/>
  <c r="CO51"/>
  <c r="CP51"/>
  <c r="CQ51"/>
  <c r="CR51"/>
  <c r="CS51"/>
  <c r="CT51"/>
  <c r="CU51"/>
  <c r="CV51"/>
  <c r="CW51"/>
  <c r="CX51"/>
  <c r="CY51"/>
  <c r="CZ51"/>
  <c r="DA51"/>
  <c r="DB51"/>
  <c r="DC51"/>
  <c r="DD51"/>
  <c r="DE51"/>
  <c r="DF51"/>
  <c r="DG51"/>
  <c r="DH51"/>
  <c r="DI51"/>
  <c r="DJ51"/>
  <c r="DK51"/>
  <c r="DL51"/>
  <c r="DM51"/>
  <c r="DN51"/>
  <c r="DO51"/>
  <c r="DP51"/>
  <c r="DQ51"/>
  <c r="DR51"/>
  <c r="DS51"/>
  <c r="DT51"/>
  <c r="DU51"/>
  <c r="DV51"/>
  <c r="DW51"/>
  <c r="DX51"/>
  <c r="DY51"/>
  <c r="DZ51"/>
  <c r="EA51"/>
  <c r="EB51"/>
  <c r="EC51"/>
  <c r="ED51"/>
  <c r="EE51"/>
  <c r="EF51"/>
  <c r="EG51"/>
  <c r="EH51"/>
  <c r="EI51"/>
  <c r="EJ51"/>
  <c r="EK51"/>
  <c r="EL51"/>
  <c r="EM51"/>
  <c r="EN51"/>
  <c r="EO51"/>
  <c r="EP51"/>
  <c r="EQ51"/>
  <c r="ER51"/>
  <c r="ES51"/>
  <c r="ET51"/>
  <c r="EU51"/>
  <c r="EV51"/>
  <c r="EW51"/>
  <c r="EX51"/>
  <c r="EY51"/>
  <c r="EZ51"/>
  <c r="FA51"/>
  <c r="FB51"/>
  <c r="FC51"/>
  <c r="FD51"/>
  <c r="FE51"/>
  <c r="FF51"/>
  <c r="FG51"/>
  <c r="FH51"/>
  <c r="FI51"/>
  <c r="FJ51"/>
  <c r="FK51"/>
  <c r="FL51"/>
  <c r="FM51"/>
  <c r="FN51"/>
  <c r="FO51"/>
  <c r="FP51"/>
  <c r="FQ51"/>
  <c r="FR51"/>
  <c r="FS51"/>
  <c r="FT51"/>
  <c r="FU51"/>
  <c r="FV51"/>
  <c r="FW51"/>
  <c r="FX51"/>
  <c r="FY51"/>
  <c r="FZ51"/>
  <c r="GA51"/>
  <c r="GB51"/>
  <c r="GC51"/>
  <c r="GD51"/>
  <c r="GE51"/>
  <c r="GF51"/>
  <c r="GG51"/>
  <c r="GH51"/>
  <c r="GI51"/>
  <c r="GJ51"/>
  <c r="GK51"/>
  <c r="GL51"/>
  <c r="GM51"/>
  <c r="GN51"/>
  <c r="GO51"/>
  <c r="GP51"/>
  <c r="GQ51"/>
  <c r="GR51"/>
  <c r="GS51"/>
  <c r="GT51"/>
  <c r="GU51"/>
  <c r="GV51"/>
  <c r="GW51"/>
  <c r="GX51"/>
  <c r="GY51"/>
  <c r="GZ51"/>
  <c r="HA51"/>
  <c r="HB51"/>
  <c r="HC51"/>
  <c r="HD51"/>
  <c r="HE51"/>
  <c r="HF51"/>
  <c r="HG51"/>
  <c r="HH51"/>
  <c r="HI51"/>
  <c r="HJ51"/>
  <c r="HK51"/>
  <c r="HL51"/>
  <c r="HM51"/>
  <c r="HN51"/>
  <c r="HO51"/>
  <c r="HP51"/>
  <c r="HQ51"/>
  <c r="HR51"/>
  <c r="HS51"/>
  <c r="HT51"/>
  <c r="HU51"/>
  <c r="HV51"/>
  <c r="HW51"/>
  <c r="HX51"/>
  <c r="HY51"/>
  <c r="HZ51"/>
  <c r="IA51"/>
  <c r="IB51"/>
  <c r="IC51"/>
  <c r="ID51"/>
  <c r="IE51"/>
  <c r="IF51"/>
  <c r="IG51"/>
  <c r="IH51"/>
  <c r="II51"/>
  <c r="IJ51"/>
  <c r="IK51"/>
  <c r="IL51"/>
  <c r="IM51"/>
  <c r="IN51"/>
  <c r="IO51"/>
  <c r="IP51"/>
  <c r="IQ51"/>
  <c r="IR51"/>
  <c r="IS51"/>
  <c r="IT51"/>
  <c r="IU51"/>
  <c r="IV51"/>
  <c r="A50"/>
  <c r="B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AR50"/>
  <c r="AS50"/>
  <c r="AT50"/>
  <c r="AU50"/>
  <c r="AV50"/>
  <c r="AW50"/>
  <c r="AX50"/>
  <c r="AY50"/>
  <c r="AZ50"/>
  <c r="BA50"/>
  <c r="BB50"/>
  <c r="BC50"/>
  <c r="BD50"/>
  <c r="BE50"/>
  <c r="BF50"/>
  <c r="BG50"/>
  <c r="BH50"/>
  <c r="BI50"/>
  <c r="BJ50"/>
  <c r="BK50"/>
  <c r="BL50"/>
  <c r="BM50"/>
  <c r="BN50"/>
  <c r="BO50"/>
  <c r="BP50"/>
  <c r="BQ50"/>
  <c r="BR50"/>
  <c r="BS50"/>
  <c r="BT50"/>
  <c r="BU50"/>
  <c r="BV50"/>
  <c r="BW50"/>
  <c r="BX50"/>
  <c r="BY50"/>
  <c r="BZ50"/>
  <c r="CA50"/>
  <c r="CB50"/>
  <c r="CC50"/>
  <c r="CD50"/>
  <c r="CE50"/>
  <c r="CF50"/>
  <c r="CG50"/>
  <c r="CH50"/>
  <c r="CI50"/>
  <c r="CJ50"/>
  <c r="CK50"/>
  <c r="CL50"/>
  <c r="CM50"/>
  <c r="CN50"/>
  <c r="CO50"/>
  <c r="CP50"/>
  <c r="CQ50"/>
  <c r="CR50"/>
  <c r="CS50"/>
  <c r="CT50"/>
  <c r="CU50"/>
  <c r="CV50"/>
  <c r="CW50"/>
  <c r="CX50"/>
  <c r="CY50"/>
  <c r="CZ50"/>
  <c r="DA50"/>
  <c r="DB50"/>
  <c r="DC50"/>
  <c r="DD50"/>
  <c r="DE50"/>
  <c r="DF50"/>
  <c r="DG50"/>
  <c r="DH50"/>
  <c r="DI50"/>
  <c r="DJ50"/>
  <c r="DK50"/>
  <c r="DL50"/>
  <c r="DM50"/>
  <c r="DN50"/>
  <c r="DO50"/>
  <c r="DP50"/>
  <c r="DQ50"/>
  <c r="DR50"/>
  <c r="DS50"/>
  <c r="DT50"/>
  <c r="DU50"/>
  <c r="DV50"/>
  <c r="DW50"/>
  <c r="DX50"/>
  <c r="DY50"/>
  <c r="DZ50"/>
  <c r="EA50"/>
  <c r="EB50"/>
  <c r="EC50"/>
  <c r="ED50"/>
  <c r="EE50"/>
  <c r="EF50"/>
  <c r="EG50"/>
  <c r="EH50"/>
  <c r="EI50"/>
  <c r="EJ50"/>
  <c r="EK50"/>
  <c r="EL50"/>
  <c r="EM50"/>
  <c r="EN50"/>
  <c r="EO50"/>
  <c r="EP50"/>
  <c r="EQ50"/>
  <c r="ER50"/>
  <c r="ES50"/>
  <c r="ET50"/>
  <c r="EU50"/>
  <c r="EV50"/>
  <c r="EW50"/>
  <c r="EX50"/>
  <c r="EY50"/>
  <c r="EZ50"/>
  <c r="FA50"/>
  <c r="FB50"/>
  <c r="FC50"/>
  <c r="FD50"/>
  <c r="FE50"/>
  <c r="FF50"/>
  <c r="FG50"/>
  <c r="FH50"/>
  <c r="FI50"/>
  <c r="FJ50"/>
  <c r="FK50"/>
  <c r="FL50"/>
  <c r="FM50"/>
  <c r="FN50"/>
  <c r="FO50"/>
  <c r="FP50"/>
  <c r="FQ50"/>
  <c r="FR50"/>
  <c r="FS50"/>
  <c r="FT50"/>
  <c r="FU50"/>
  <c r="FV50"/>
  <c r="FW50"/>
  <c r="FX50"/>
  <c r="FY50"/>
  <c r="FZ50"/>
  <c r="GA50"/>
  <c r="GB50"/>
  <c r="GC50"/>
  <c r="GD50"/>
  <c r="GE50"/>
  <c r="GF50"/>
  <c r="GG50"/>
  <c r="GH50"/>
  <c r="GI50"/>
  <c r="GJ50"/>
  <c r="GK50"/>
  <c r="GL50"/>
  <c r="GM50"/>
  <c r="GN50"/>
  <c r="GO50"/>
  <c r="GP50"/>
  <c r="GQ50"/>
  <c r="GR50"/>
  <c r="GS50"/>
  <c r="GT50"/>
  <c r="GU50"/>
  <c r="GV50"/>
  <c r="GW50"/>
  <c r="GX50"/>
  <c r="GY50"/>
  <c r="GZ50"/>
  <c r="HA50"/>
  <c r="HB50"/>
  <c r="HC50"/>
  <c r="HD50"/>
  <c r="HE50"/>
  <c r="HF50"/>
  <c r="HG50"/>
  <c r="HH50"/>
  <c r="HI50"/>
  <c r="HJ50"/>
  <c r="HK50"/>
  <c r="HL50"/>
  <c r="HM50"/>
  <c r="HN50"/>
  <c r="HO50"/>
  <c r="HP50"/>
  <c r="HQ50"/>
  <c r="HR50"/>
  <c r="HS50"/>
  <c r="HT50"/>
  <c r="HU50"/>
  <c r="HV50"/>
  <c r="HW50"/>
  <c r="HX50"/>
  <c r="HY50"/>
  <c r="HZ50"/>
  <c r="IA50"/>
  <c r="IB50"/>
  <c r="IC50"/>
  <c r="ID50"/>
  <c r="IE50"/>
  <c r="IF50"/>
  <c r="IG50"/>
  <c r="IH50"/>
  <c r="II50"/>
  <c r="IJ50"/>
  <c r="IK50"/>
  <c r="IL50"/>
  <c r="IM50"/>
  <c r="IN50"/>
  <c r="IO50"/>
  <c r="IP50"/>
  <c r="IQ50"/>
  <c r="IR50"/>
  <c r="IS50"/>
  <c r="IT50"/>
  <c r="IU50"/>
  <c r="IV50"/>
  <c r="A49"/>
  <c r="B49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AR49"/>
  <c r="AS49"/>
  <c r="AT49"/>
  <c r="AU49"/>
  <c r="AV49"/>
  <c r="AW49"/>
  <c r="AX49"/>
  <c r="AY49"/>
  <c r="AZ49"/>
  <c r="BA49"/>
  <c r="BB49"/>
  <c r="BC49"/>
  <c r="BD49"/>
  <c r="BE49"/>
  <c r="BF49"/>
  <c r="BG49"/>
  <c r="BH49"/>
  <c r="BI49"/>
  <c r="BJ49"/>
  <c r="BK49"/>
  <c r="BL49"/>
  <c r="BM49"/>
  <c r="BN49"/>
  <c r="BO49"/>
  <c r="BP49"/>
  <c r="BQ49"/>
  <c r="BR49"/>
  <c r="BS49"/>
  <c r="BT49"/>
  <c r="BU49"/>
  <c r="BV49"/>
  <c r="BW49"/>
  <c r="BX49"/>
  <c r="BY49"/>
  <c r="BZ49"/>
  <c r="CA49"/>
  <c r="CB49"/>
  <c r="CC49"/>
  <c r="CD49"/>
  <c r="CE49"/>
  <c r="CF49"/>
  <c r="CG49"/>
  <c r="CH49"/>
  <c r="CI49"/>
  <c r="CJ49"/>
  <c r="CK49"/>
  <c r="CL49"/>
  <c r="CM49"/>
  <c r="CN49"/>
  <c r="CO49"/>
  <c r="CP49"/>
  <c r="CQ49"/>
  <c r="CR49"/>
  <c r="CS49"/>
  <c r="CT49"/>
  <c r="CU49"/>
  <c r="CV49"/>
  <c r="CW49"/>
  <c r="CX49"/>
  <c r="CY49"/>
  <c r="CZ49"/>
  <c r="DA49"/>
  <c r="DB49"/>
  <c r="DC49"/>
  <c r="DD49"/>
  <c r="DE49"/>
  <c r="DF49"/>
  <c r="DG49"/>
  <c r="DH49"/>
  <c r="DI49"/>
  <c r="DJ49"/>
  <c r="DK49"/>
  <c r="DL49"/>
  <c r="DM49"/>
  <c r="DN49"/>
  <c r="DO49"/>
  <c r="DP49"/>
  <c r="DQ49"/>
  <c r="DR49"/>
  <c r="DS49"/>
  <c r="DT49"/>
  <c r="DU49"/>
  <c r="DV49"/>
  <c r="DW49"/>
  <c r="DX49"/>
  <c r="DY49"/>
  <c r="DZ49"/>
  <c r="EA49"/>
  <c r="EB49"/>
  <c r="EC49"/>
  <c r="ED49"/>
  <c r="EE49"/>
  <c r="EF49"/>
  <c r="EG49"/>
  <c r="EH49"/>
  <c r="EI49"/>
  <c r="EJ49"/>
  <c r="EK49"/>
  <c r="EL49"/>
  <c r="EM49"/>
  <c r="EN49"/>
  <c r="EO49"/>
  <c r="EP49"/>
  <c r="EQ49"/>
  <c r="ER49"/>
  <c r="ES49"/>
  <c r="ET49"/>
  <c r="EU49"/>
  <c r="EV49"/>
  <c r="EW49"/>
  <c r="EX49"/>
  <c r="EY49"/>
  <c r="EZ49"/>
  <c r="FA49"/>
  <c r="FB49"/>
  <c r="FC49"/>
  <c r="FD49"/>
  <c r="FE49"/>
  <c r="FF49"/>
  <c r="FG49"/>
  <c r="FH49"/>
  <c r="FI49"/>
  <c r="FJ49"/>
  <c r="FK49"/>
  <c r="FL49"/>
  <c r="FM49"/>
  <c r="FN49"/>
  <c r="FO49"/>
  <c r="FP49"/>
  <c r="FQ49"/>
  <c r="FR49"/>
  <c r="FS49"/>
  <c r="FT49"/>
  <c r="FU49"/>
  <c r="FV49"/>
  <c r="FW49"/>
  <c r="FX49"/>
  <c r="FY49"/>
  <c r="FZ49"/>
  <c r="GA49"/>
  <c r="GB49"/>
  <c r="GC49"/>
  <c r="GD49"/>
  <c r="GE49"/>
  <c r="GF49"/>
  <c r="GG49"/>
  <c r="GH49"/>
  <c r="GI49"/>
  <c r="GJ49"/>
  <c r="GK49"/>
  <c r="GL49"/>
  <c r="GM49"/>
  <c r="GN49"/>
  <c r="GO49"/>
  <c r="GP49"/>
  <c r="GQ49"/>
  <c r="GR49"/>
  <c r="GS49"/>
  <c r="GT49"/>
  <c r="GU49"/>
  <c r="GV49"/>
  <c r="GW49"/>
  <c r="GX49"/>
  <c r="GY49"/>
  <c r="GZ49"/>
  <c r="HA49"/>
  <c r="HB49"/>
  <c r="HC49"/>
  <c r="HD49"/>
  <c r="HE49"/>
  <c r="HF49"/>
  <c r="HG49"/>
  <c r="HH49"/>
  <c r="HI49"/>
  <c r="HJ49"/>
  <c r="HK49"/>
  <c r="HL49"/>
  <c r="HM49"/>
  <c r="HN49"/>
  <c r="HO49"/>
  <c r="HP49"/>
  <c r="HQ49"/>
  <c r="HR49"/>
  <c r="HS49"/>
  <c r="HT49"/>
  <c r="HU49"/>
  <c r="HV49"/>
  <c r="HW49"/>
  <c r="HX49"/>
  <c r="HY49"/>
  <c r="HZ49"/>
  <c r="IA49"/>
  <c r="IB49"/>
  <c r="IC49"/>
  <c r="ID49"/>
  <c r="IE49"/>
  <c r="IF49"/>
  <c r="IG49"/>
  <c r="IH49"/>
  <c r="II49"/>
  <c r="IJ49"/>
  <c r="IK49"/>
  <c r="IL49"/>
  <c r="IM49"/>
  <c r="IN49"/>
  <c r="IO49"/>
  <c r="IP49"/>
  <c r="IQ49"/>
  <c r="IR49"/>
  <c r="IS49"/>
  <c r="IT49"/>
  <c r="IU49"/>
  <c r="IV49"/>
  <c r="A48"/>
  <c r="B48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AR48"/>
  <c r="AS48"/>
  <c r="AT48"/>
  <c r="AU48"/>
  <c r="AV48"/>
  <c r="AW48"/>
  <c r="AX48"/>
  <c r="AY48"/>
  <c r="AZ48"/>
  <c r="BA48"/>
  <c r="BB48"/>
  <c r="BC48"/>
  <c r="BD48"/>
  <c r="BE48"/>
  <c r="BF48"/>
  <c r="BG48"/>
  <c r="BH48"/>
  <c r="BI48"/>
  <c r="BJ48"/>
  <c r="BK48"/>
  <c r="BL48"/>
  <c r="BM48"/>
  <c r="BN48"/>
  <c r="BO48"/>
  <c r="BP48"/>
  <c r="BQ48"/>
  <c r="BR48"/>
  <c r="BS48"/>
  <c r="BT48"/>
  <c r="BU48"/>
  <c r="BV48"/>
  <c r="BW48"/>
  <c r="BX48"/>
  <c r="BY48"/>
  <c r="BZ48"/>
  <c r="CA48"/>
  <c r="CB48"/>
  <c r="CC48"/>
  <c r="CD48"/>
  <c r="CE48"/>
  <c r="CF48"/>
  <c r="CG48"/>
  <c r="CH48"/>
  <c r="CI48"/>
  <c r="CJ48"/>
  <c r="CK48"/>
  <c r="CL48"/>
  <c r="CM48"/>
  <c r="CN48"/>
  <c r="CO48"/>
  <c r="CP48"/>
  <c r="CQ48"/>
  <c r="CR48"/>
  <c r="CS48"/>
  <c r="CT48"/>
  <c r="CU48"/>
  <c r="CV48"/>
  <c r="CW48"/>
  <c r="CX48"/>
  <c r="CY48"/>
  <c r="CZ48"/>
  <c r="DA48"/>
  <c r="DB48"/>
  <c r="DC48"/>
  <c r="DD48"/>
  <c r="DE48"/>
  <c r="DF48"/>
  <c r="DG48"/>
  <c r="DH48"/>
  <c r="DI48"/>
  <c r="DJ48"/>
  <c r="DK48"/>
  <c r="DL48"/>
  <c r="DM48"/>
  <c r="DN48"/>
  <c r="DO48"/>
  <c r="DP48"/>
  <c r="DQ48"/>
  <c r="DR48"/>
  <c r="DS48"/>
  <c r="DT48"/>
  <c r="DU48"/>
  <c r="DV48"/>
  <c r="DW48"/>
  <c r="DX48"/>
  <c r="DY48"/>
  <c r="DZ48"/>
  <c r="EA48"/>
  <c r="EB48"/>
  <c r="EC48"/>
  <c r="ED48"/>
  <c r="EE48"/>
  <c r="EF48"/>
  <c r="EG48"/>
  <c r="EH48"/>
  <c r="EI48"/>
  <c r="EJ48"/>
  <c r="EK48"/>
  <c r="EL48"/>
  <c r="EM48"/>
  <c r="EN48"/>
  <c r="EO48"/>
  <c r="EP48"/>
  <c r="EQ48"/>
  <c r="ER48"/>
  <c r="ES48"/>
  <c r="ET48"/>
  <c r="EU48"/>
  <c r="EV48"/>
  <c r="EW48"/>
  <c r="EX48"/>
  <c r="EY48"/>
  <c r="EZ48"/>
  <c r="FA48"/>
  <c r="FB48"/>
  <c r="FC48"/>
  <c r="FD48"/>
  <c r="FE48"/>
  <c r="FF48"/>
  <c r="FG48"/>
  <c r="FH48"/>
  <c r="FI48"/>
  <c r="FJ48"/>
  <c r="FK48"/>
  <c r="FL48"/>
  <c r="FM48"/>
  <c r="FN48"/>
  <c r="FO48"/>
  <c r="FP48"/>
  <c r="FQ48"/>
  <c r="FR48"/>
  <c r="FS48"/>
  <c r="FT48"/>
  <c r="FU48"/>
  <c r="FV48"/>
  <c r="FW48"/>
  <c r="FX48"/>
  <c r="FY48"/>
  <c r="FZ48"/>
  <c r="GA48"/>
  <c r="GB48"/>
  <c r="GC48"/>
  <c r="GD48"/>
  <c r="GE48"/>
  <c r="GF48"/>
  <c r="GG48"/>
  <c r="GH48"/>
  <c r="GI48"/>
  <c r="GJ48"/>
  <c r="GK48"/>
  <c r="GL48"/>
  <c r="GM48"/>
  <c r="GN48"/>
  <c r="GO48"/>
  <c r="GP48"/>
  <c r="GQ48"/>
  <c r="GR48"/>
  <c r="GS48"/>
  <c r="GT48"/>
  <c r="GU48"/>
  <c r="GV48"/>
  <c r="GW48"/>
  <c r="GX48"/>
  <c r="GY48"/>
  <c r="GZ48"/>
  <c r="HA48"/>
  <c r="HB48"/>
  <c r="HC48"/>
  <c r="HD48"/>
  <c r="HE48"/>
  <c r="HF48"/>
  <c r="HG48"/>
  <c r="HH48"/>
  <c r="HI48"/>
  <c r="HJ48"/>
  <c r="HK48"/>
  <c r="HL48"/>
  <c r="HM48"/>
  <c r="HN48"/>
  <c r="HO48"/>
  <c r="HP48"/>
  <c r="HQ48"/>
  <c r="HR48"/>
  <c r="HS48"/>
  <c r="HT48"/>
  <c r="HU48"/>
  <c r="HV48"/>
  <c r="HW48"/>
  <c r="HX48"/>
  <c r="HY48"/>
  <c r="HZ48"/>
  <c r="IA48"/>
  <c r="IB48"/>
  <c r="IC48"/>
  <c r="ID48"/>
  <c r="IE48"/>
  <c r="IF48"/>
  <c r="IG48"/>
  <c r="IH48"/>
  <c r="II48"/>
  <c r="IJ48"/>
  <c r="IK48"/>
  <c r="IL48"/>
  <c r="IM48"/>
  <c r="IN48"/>
  <c r="IO48"/>
  <c r="IP48"/>
  <c r="IQ48"/>
  <c r="IR48"/>
  <c r="IS48"/>
  <c r="IT48"/>
  <c r="IU48"/>
  <c r="IV48"/>
  <c r="A47"/>
  <c r="B47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AR47"/>
  <c r="AS47"/>
  <c r="AT47"/>
  <c r="AU47"/>
  <c r="AV47"/>
  <c r="AW47"/>
  <c r="AX47"/>
  <c r="AY47"/>
  <c r="AZ47"/>
  <c r="BA47"/>
  <c r="BB47"/>
  <c r="BC47"/>
  <c r="BD47"/>
  <c r="BE47"/>
  <c r="BF47"/>
  <c r="BG47"/>
  <c r="BH47"/>
  <c r="BI47"/>
  <c r="BJ47"/>
  <c r="BK47"/>
  <c r="BL47"/>
  <c r="BM47"/>
  <c r="BN47"/>
  <c r="BO47"/>
  <c r="BP47"/>
  <c r="BQ47"/>
  <c r="BR47"/>
  <c r="BS47"/>
  <c r="BT47"/>
  <c r="BU47"/>
  <c r="BV47"/>
  <c r="BW47"/>
  <c r="BX47"/>
  <c r="BY47"/>
  <c r="BZ47"/>
  <c r="CA47"/>
  <c r="CB47"/>
  <c r="CC47"/>
  <c r="CD47"/>
  <c r="CE47"/>
  <c r="CF47"/>
  <c r="CG47"/>
  <c r="CH47"/>
  <c r="CI47"/>
  <c r="CJ47"/>
  <c r="CK47"/>
  <c r="CL47"/>
  <c r="CM47"/>
  <c r="CN47"/>
  <c r="CO47"/>
  <c r="CP47"/>
  <c r="CQ47"/>
  <c r="CR47"/>
  <c r="CS47"/>
  <c r="CT47"/>
  <c r="CU47"/>
  <c r="CV47"/>
  <c r="CW47"/>
  <c r="CX47"/>
  <c r="CY47"/>
  <c r="CZ47"/>
  <c r="DA47"/>
  <c r="DB47"/>
  <c r="DC47"/>
  <c r="DD47"/>
  <c r="DE47"/>
  <c r="DF47"/>
  <c r="DG47"/>
  <c r="DH47"/>
  <c r="DI47"/>
  <c r="DJ47"/>
  <c r="DK47"/>
  <c r="DL47"/>
  <c r="DM47"/>
  <c r="DN47"/>
  <c r="DO47"/>
  <c r="DP47"/>
  <c r="DQ47"/>
  <c r="DR47"/>
  <c r="DS47"/>
  <c r="DT47"/>
  <c r="DU47"/>
  <c r="DV47"/>
  <c r="DW47"/>
  <c r="DX47"/>
  <c r="DY47"/>
  <c r="DZ47"/>
  <c r="EA47"/>
  <c r="EB47"/>
  <c r="EC47"/>
  <c r="ED47"/>
  <c r="EE47"/>
  <c r="EF47"/>
  <c r="EG47"/>
  <c r="EH47"/>
  <c r="EI47"/>
  <c r="EJ47"/>
  <c r="EK47"/>
  <c r="EL47"/>
  <c r="EM47"/>
  <c r="EN47"/>
  <c r="EO47"/>
  <c r="EP47"/>
  <c r="EQ47"/>
  <c r="ER47"/>
  <c r="ES47"/>
  <c r="ET47"/>
  <c r="EU47"/>
  <c r="EV47"/>
  <c r="EW47"/>
  <c r="EX47"/>
  <c r="EY47"/>
  <c r="EZ47"/>
  <c r="FA47"/>
  <c r="FB47"/>
  <c r="FC47"/>
  <c r="FD47"/>
  <c r="FE47"/>
  <c r="FF47"/>
  <c r="FG47"/>
  <c r="FH47"/>
  <c r="FI47"/>
  <c r="FJ47"/>
  <c r="FK47"/>
  <c r="FL47"/>
  <c r="FM47"/>
  <c r="FN47"/>
  <c r="FO47"/>
  <c r="FP47"/>
  <c r="FQ47"/>
  <c r="FR47"/>
  <c r="FS47"/>
  <c r="FT47"/>
  <c r="FU47"/>
  <c r="FV47"/>
  <c r="FW47"/>
  <c r="FX47"/>
  <c r="FY47"/>
  <c r="FZ47"/>
  <c r="GA47"/>
  <c r="GB47"/>
  <c r="GC47"/>
  <c r="GD47"/>
  <c r="GE47"/>
  <c r="GF47"/>
  <c r="GG47"/>
  <c r="GH47"/>
  <c r="GI47"/>
  <c r="GJ47"/>
  <c r="GK47"/>
  <c r="GL47"/>
  <c r="GM47"/>
  <c r="GN47"/>
  <c r="GO47"/>
  <c r="GP47"/>
  <c r="GQ47"/>
  <c r="GR47"/>
  <c r="GS47"/>
  <c r="GT47"/>
  <c r="GU47"/>
  <c r="GV47"/>
  <c r="GW47"/>
  <c r="GX47"/>
  <c r="GY47"/>
  <c r="GZ47"/>
  <c r="HA47"/>
  <c r="HB47"/>
  <c r="HC47"/>
  <c r="HD47"/>
  <c r="HE47"/>
  <c r="HF47"/>
  <c r="HG47"/>
  <c r="HH47"/>
  <c r="HI47"/>
  <c r="HJ47"/>
  <c r="HK47"/>
  <c r="HL47"/>
  <c r="HM47"/>
  <c r="HN47"/>
  <c r="HO47"/>
  <c r="HP47"/>
  <c r="HQ47"/>
  <c r="HR47"/>
  <c r="HS47"/>
  <c r="HT47"/>
  <c r="HU47"/>
  <c r="HV47"/>
  <c r="HW47"/>
  <c r="HX47"/>
  <c r="HY47"/>
  <c r="HZ47"/>
  <c r="IA47"/>
  <c r="IB47"/>
  <c r="IC47"/>
  <c r="ID47"/>
  <c r="IE47"/>
  <c r="IF47"/>
  <c r="IG47"/>
  <c r="IH47"/>
  <c r="II47"/>
  <c r="IJ47"/>
  <c r="IK47"/>
  <c r="IL47"/>
  <c r="IM47"/>
  <c r="IN47"/>
  <c r="IO47"/>
  <c r="IP47"/>
  <c r="IQ47"/>
  <c r="IR47"/>
  <c r="IS47"/>
  <c r="IT47"/>
  <c r="IU47"/>
  <c r="IV47"/>
  <c r="A46"/>
  <c r="B46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AZ46"/>
  <c r="BA46"/>
  <c r="BB46"/>
  <c r="BC46"/>
  <c r="BD46"/>
  <c r="BE46"/>
  <c r="BF46"/>
  <c r="BG46"/>
  <c r="BH46"/>
  <c r="BI46"/>
  <c r="BJ46"/>
  <c r="BK46"/>
  <c r="BL46"/>
  <c r="BM46"/>
  <c r="BN46"/>
  <c r="BO46"/>
  <c r="BP46"/>
  <c r="BQ46"/>
  <c r="BR46"/>
  <c r="BS46"/>
  <c r="BT46"/>
  <c r="BU46"/>
  <c r="BV46"/>
  <c r="BW46"/>
  <c r="BX46"/>
  <c r="BY46"/>
  <c r="BZ46"/>
  <c r="CA46"/>
  <c r="CB46"/>
  <c r="CC46"/>
  <c r="CD46"/>
  <c r="CE46"/>
  <c r="CF46"/>
  <c r="CG46"/>
  <c r="CH46"/>
  <c r="CI46"/>
  <c r="CJ46"/>
  <c r="CK46"/>
  <c r="CL46"/>
  <c r="CM46"/>
  <c r="CN46"/>
  <c r="CO46"/>
  <c r="CP46"/>
  <c r="CQ46"/>
  <c r="CR46"/>
  <c r="CS46"/>
  <c r="CT46"/>
  <c r="CU46"/>
  <c r="CV46"/>
  <c r="CW46"/>
  <c r="CX46"/>
  <c r="CY46"/>
  <c r="CZ46"/>
  <c r="DA46"/>
  <c r="DB46"/>
  <c r="DC46"/>
  <c r="DD46"/>
  <c r="DE46"/>
  <c r="DF46"/>
  <c r="DG46"/>
  <c r="DH46"/>
  <c r="DI46"/>
  <c r="DJ46"/>
  <c r="DK46"/>
  <c r="DL46"/>
  <c r="DM46"/>
  <c r="DN46"/>
  <c r="DO46"/>
  <c r="DP46"/>
  <c r="DQ46"/>
  <c r="DR46"/>
  <c r="DS46"/>
  <c r="DT46"/>
  <c r="DU46"/>
  <c r="DV46"/>
  <c r="DW46"/>
  <c r="DX46"/>
  <c r="DY46"/>
  <c r="DZ46"/>
  <c r="EA46"/>
  <c r="EB46"/>
  <c r="EC46"/>
  <c r="ED46"/>
  <c r="EE46"/>
  <c r="EF46"/>
  <c r="EG46"/>
  <c r="EH46"/>
  <c r="EI46"/>
  <c r="EJ46"/>
  <c r="EK46"/>
  <c r="EL46"/>
  <c r="EM46"/>
  <c r="EN46"/>
  <c r="EO46"/>
  <c r="EP46"/>
  <c r="EQ46"/>
  <c r="ER46"/>
  <c r="ES46"/>
  <c r="ET46"/>
  <c r="EU46"/>
  <c r="EV46"/>
  <c r="EW46"/>
  <c r="EX46"/>
  <c r="EY46"/>
  <c r="EZ46"/>
  <c r="FA46"/>
  <c r="FB46"/>
  <c r="FC46"/>
  <c r="FD46"/>
  <c r="FE46"/>
  <c r="FF46"/>
  <c r="FG46"/>
  <c r="FH46"/>
  <c r="FI46"/>
  <c r="FJ46"/>
  <c r="FK46"/>
  <c r="FL46"/>
  <c r="FM46"/>
  <c r="FN46"/>
  <c r="FO46"/>
  <c r="FP46"/>
  <c r="FQ46"/>
  <c r="FR46"/>
  <c r="FS46"/>
  <c r="FT46"/>
  <c r="FU46"/>
  <c r="FV46"/>
  <c r="FW46"/>
  <c r="FX46"/>
  <c r="FY46"/>
  <c r="FZ46"/>
  <c r="GA46"/>
  <c r="GB46"/>
  <c r="GC46"/>
  <c r="GD46"/>
  <c r="GE46"/>
  <c r="GF46"/>
  <c r="GG46"/>
  <c r="GH46"/>
  <c r="GI46"/>
  <c r="GJ46"/>
  <c r="GK46"/>
  <c r="GL46"/>
  <c r="GM46"/>
  <c r="GN46"/>
  <c r="GO46"/>
  <c r="GP46"/>
  <c r="GQ46"/>
  <c r="GR46"/>
  <c r="GS46"/>
  <c r="GT46"/>
  <c r="GU46"/>
  <c r="GV46"/>
  <c r="GW46"/>
  <c r="GX46"/>
  <c r="GY46"/>
  <c r="GZ46"/>
  <c r="HA46"/>
  <c r="HB46"/>
  <c r="HC46"/>
  <c r="HD46"/>
  <c r="HE46"/>
  <c r="HF46"/>
  <c r="HG46"/>
  <c r="HH46"/>
  <c r="HI46"/>
  <c r="HJ46"/>
  <c r="HK46"/>
  <c r="HL46"/>
  <c r="HM46"/>
  <c r="HN46"/>
  <c r="HO46"/>
  <c r="HP46"/>
  <c r="HQ46"/>
  <c r="HR46"/>
  <c r="HS46"/>
  <c r="HT46"/>
  <c r="HU46"/>
  <c r="HV46"/>
  <c r="HW46"/>
  <c r="HX46"/>
  <c r="HY46"/>
  <c r="HZ46"/>
  <c r="IA46"/>
  <c r="IB46"/>
  <c r="IC46"/>
  <c r="ID46"/>
  <c r="IE46"/>
  <c r="IF46"/>
  <c r="IG46"/>
  <c r="IH46"/>
  <c r="II46"/>
  <c r="IJ46"/>
  <c r="IK46"/>
  <c r="IL46"/>
  <c r="IM46"/>
  <c r="IN46"/>
  <c r="IO46"/>
  <c r="IP46"/>
  <c r="IQ46"/>
  <c r="IR46"/>
  <c r="IS46"/>
  <c r="IT46"/>
  <c r="IU46"/>
  <c r="IV46"/>
  <c r="A45"/>
  <c r="B45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AR45"/>
  <c r="AS45"/>
  <c r="AT45"/>
  <c r="AU45"/>
  <c r="AV45"/>
  <c r="AW45"/>
  <c r="AX45"/>
  <c r="AY45"/>
  <c r="AZ45"/>
  <c r="BA45"/>
  <c r="BB45"/>
  <c r="BC45"/>
  <c r="BD45"/>
  <c r="BE45"/>
  <c r="BF45"/>
  <c r="BG45"/>
  <c r="BH45"/>
  <c r="BI45"/>
  <c r="BJ45"/>
  <c r="BK45"/>
  <c r="BL45"/>
  <c r="BM45"/>
  <c r="BN45"/>
  <c r="BO45"/>
  <c r="BP45"/>
  <c r="BQ45"/>
  <c r="BR45"/>
  <c r="BS45"/>
  <c r="BT45"/>
  <c r="BU45"/>
  <c r="BV45"/>
  <c r="BW45"/>
  <c r="BX45"/>
  <c r="BY45"/>
  <c r="BZ45"/>
  <c r="CA45"/>
  <c r="CB45"/>
  <c r="CC45"/>
  <c r="CD45"/>
  <c r="CE45"/>
  <c r="CF45"/>
  <c r="CG45"/>
  <c r="CH45"/>
  <c r="CI45"/>
  <c r="CJ45"/>
  <c r="CK45"/>
  <c r="CL45"/>
  <c r="CM45"/>
  <c r="CN45"/>
  <c r="CO45"/>
  <c r="CP45"/>
  <c r="CQ45"/>
  <c r="CR45"/>
  <c r="CS45"/>
  <c r="CT45"/>
  <c r="CU45"/>
  <c r="CV45"/>
  <c r="CW45"/>
  <c r="CX45"/>
  <c r="CY45"/>
  <c r="CZ45"/>
  <c r="DA45"/>
  <c r="DB45"/>
  <c r="DC45"/>
  <c r="DD45"/>
  <c r="DE45"/>
  <c r="DF45"/>
  <c r="DG45"/>
  <c r="DH45"/>
  <c r="DI45"/>
  <c r="DJ45"/>
  <c r="DK45"/>
  <c r="DL45"/>
  <c r="DM45"/>
  <c r="DN45"/>
  <c r="DO45"/>
  <c r="DP45"/>
  <c r="DQ45"/>
  <c r="DR45"/>
  <c r="DS45"/>
  <c r="DT45"/>
  <c r="DU45"/>
  <c r="DV45"/>
  <c r="DW45"/>
  <c r="DX45"/>
  <c r="DY45"/>
  <c r="DZ45"/>
  <c r="EA45"/>
  <c r="EB45"/>
  <c r="EC45"/>
  <c r="ED45"/>
  <c r="EE45"/>
  <c r="EF45"/>
  <c r="EG45"/>
  <c r="EH45"/>
  <c r="EI45"/>
  <c r="EJ45"/>
  <c r="EK45"/>
  <c r="EL45"/>
  <c r="EM45"/>
  <c r="EN45"/>
  <c r="EO45"/>
  <c r="EP45"/>
  <c r="EQ45"/>
  <c r="ER45"/>
  <c r="ES45"/>
  <c r="ET45"/>
  <c r="EU45"/>
  <c r="EV45"/>
  <c r="EW45"/>
  <c r="EX45"/>
  <c r="EY45"/>
  <c r="EZ45"/>
  <c r="FA45"/>
  <c r="FB45"/>
  <c r="FC45"/>
  <c r="FD45"/>
  <c r="FE45"/>
  <c r="FF45"/>
  <c r="FG45"/>
  <c r="FH45"/>
  <c r="FI45"/>
  <c r="FJ45"/>
  <c r="FK45"/>
  <c r="FL45"/>
  <c r="FM45"/>
  <c r="FN45"/>
  <c r="FO45"/>
  <c r="FP45"/>
  <c r="FQ45"/>
  <c r="FR45"/>
  <c r="FS45"/>
  <c r="FT45"/>
  <c r="FU45"/>
  <c r="FV45"/>
  <c r="FW45"/>
  <c r="FX45"/>
  <c r="FY45"/>
  <c r="FZ45"/>
  <c r="GA45"/>
  <c r="GB45"/>
  <c r="GC45"/>
  <c r="GD45"/>
  <c r="GE45"/>
  <c r="GF45"/>
  <c r="GG45"/>
  <c r="GH45"/>
  <c r="GI45"/>
  <c r="GJ45"/>
  <c r="GK45"/>
  <c r="GL45"/>
  <c r="GM45"/>
  <c r="GN45"/>
  <c r="GO45"/>
  <c r="GP45"/>
  <c r="GQ45"/>
  <c r="GR45"/>
  <c r="GS45"/>
  <c r="GT45"/>
  <c r="GU45"/>
  <c r="GV45"/>
  <c r="GW45"/>
  <c r="GX45"/>
  <c r="GY45"/>
  <c r="GZ45"/>
  <c r="HA45"/>
  <c r="HB45"/>
  <c r="HC45"/>
  <c r="HD45"/>
  <c r="HE45"/>
  <c r="HF45"/>
  <c r="HG45"/>
  <c r="HH45"/>
  <c r="HI45"/>
  <c r="HJ45"/>
  <c r="HK45"/>
  <c r="HL45"/>
  <c r="HM45"/>
  <c r="HN45"/>
  <c r="HO45"/>
  <c r="HP45"/>
  <c r="HQ45"/>
  <c r="HR45"/>
  <c r="HS45"/>
  <c r="HT45"/>
  <c r="HU45"/>
  <c r="HV45"/>
  <c r="HW45"/>
  <c r="HX45"/>
  <c r="HY45"/>
  <c r="HZ45"/>
  <c r="IA45"/>
  <c r="IB45"/>
  <c r="IC45"/>
  <c r="ID45"/>
  <c r="IE45"/>
  <c r="IF45"/>
  <c r="IG45"/>
  <c r="IH45"/>
  <c r="II45"/>
  <c r="IJ45"/>
  <c r="IK45"/>
  <c r="IL45"/>
  <c r="IM45"/>
  <c r="IN45"/>
  <c r="IO45"/>
  <c r="IP45"/>
  <c r="IQ45"/>
  <c r="IR45"/>
  <c r="IS45"/>
  <c r="IT45"/>
  <c r="IU45"/>
  <c r="IV45"/>
  <c r="A44"/>
  <c r="B44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AR44"/>
  <c r="AS44"/>
  <c r="AT44"/>
  <c r="AU44"/>
  <c r="AV44"/>
  <c r="AW44"/>
  <c r="AX44"/>
  <c r="AY44"/>
  <c r="AZ44"/>
  <c r="BA44"/>
  <c r="BB44"/>
  <c r="BC44"/>
  <c r="BD44"/>
  <c r="BE44"/>
  <c r="BF44"/>
  <c r="BG44"/>
  <c r="BH44"/>
  <c r="BI44"/>
  <c r="BJ44"/>
  <c r="BK44"/>
  <c r="BL44"/>
  <c r="BM44"/>
  <c r="BN44"/>
  <c r="BO44"/>
  <c r="BP44"/>
  <c r="BQ44"/>
  <c r="BR44"/>
  <c r="BS44"/>
  <c r="BT44"/>
  <c r="BU44"/>
  <c r="BV44"/>
  <c r="BW44"/>
  <c r="BX44"/>
  <c r="BY44"/>
  <c r="BZ44"/>
  <c r="CA44"/>
  <c r="CB44"/>
  <c r="CC44"/>
  <c r="CD44"/>
  <c r="CE44"/>
  <c r="CF44"/>
  <c r="CG44"/>
  <c r="CH44"/>
  <c r="CI44"/>
  <c r="CJ44"/>
  <c r="CK44"/>
  <c r="CL44"/>
  <c r="CM44"/>
  <c r="CN44"/>
  <c r="CO44"/>
  <c r="CP44"/>
  <c r="CQ44"/>
  <c r="CR44"/>
  <c r="CS44"/>
  <c r="CT44"/>
  <c r="CU44"/>
  <c r="CV44"/>
  <c r="CW44"/>
  <c r="CX44"/>
  <c r="CY44"/>
  <c r="CZ44"/>
  <c r="DA44"/>
  <c r="DB44"/>
  <c r="DC44"/>
  <c r="DD44"/>
  <c r="DE44"/>
  <c r="DF44"/>
  <c r="DG44"/>
  <c r="DH44"/>
  <c r="DI44"/>
  <c r="DJ44"/>
  <c r="DK44"/>
  <c r="DL44"/>
  <c r="DM44"/>
  <c r="DN44"/>
  <c r="DO44"/>
  <c r="DP44"/>
  <c r="DQ44"/>
  <c r="DR44"/>
  <c r="DS44"/>
  <c r="DT44"/>
  <c r="DU44"/>
  <c r="DV44"/>
  <c r="DW44"/>
  <c r="DX44"/>
  <c r="DY44"/>
  <c r="DZ44"/>
  <c r="EA44"/>
  <c r="EB44"/>
  <c r="EC44"/>
  <c r="ED44"/>
  <c r="EE44"/>
  <c r="EF44"/>
  <c r="EG44"/>
  <c r="EH44"/>
  <c r="EI44"/>
  <c r="EJ44"/>
  <c r="EK44"/>
  <c r="EL44"/>
  <c r="EM44"/>
  <c r="EN44"/>
  <c r="EO44"/>
  <c r="EP44"/>
  <c r="EQ44"/>
  <c r="ER44"/>
  <c r="ES44"/>
  <c r="ET44"/>
  <c r="EU44"/>
  <c r="EV44"/>
  <c r="EW44"/>
  <c r="EX44"/>
  <c r="EY44"/>
  <c r="EZ44"/>
  <c r="FA44"/>
  <c r="FB44"/>
  <c r="FC44"/>
  <c r="FD44"/>
  <c r="FE44"/>
  <c r="FF44"/>
  <c r="FG44"/>
  <c r="FH44"/>
  <c r="FI44"/>
  <c r="FJ44"/>
  <c r="FK44"/>
  <c r="FL44"/>
  <c r="FM44"/>
  <c r="FN44"/>
  <c r="FO44"/>
  <c r="FP44"/>
  <c r="FQ44"/>
  <c r="FR44"/>
  <c r="FS44"/>
  <c r="FT44"/>
  <c r="FU44"/>
  <c r="FV44"/>
  <c r="FW44"/>
  <c r="FX44"/>
  <c r="FY44"/>
  <c r="FZ44"/>
  <c r="GA44"/>
  <c r="GB44"/>
  <c r="GC44"/>
  <c r="GD44"/>
  <c r="GE44"/>
  <c r="GF44"/>
  <c r="GG44"/>
  <c r="GH44"/>
  <c r="GI44"/>
  <c r="GJ44"/>
  <c r="GK44"/>
  <c r="GL44"/>
  <c r="GM44"/>
  <c r="GN44"/>
  <c r="GO44"/>
  <c r="GP44"/>
  <c r="GQ44"/>
  <c r="GR44"/>
  <c r="GS44"/>
  <c r="GT44"/>
  <c r="GU44"/>
  <c r="GV44"/>
  <c r="GW44"/>
  <c r="GX44"/>
  <c r="GY44"/>
  <c r="GZ44"/>
  <c r="HA44"/>
  <c r="HB44"/>
  <c r="HC44"/>
  <c r="HD44"/>
  <c r="HE44"/>
  <c r="HF44"/>
  <c r="HG44"/>
  <c r="HH44"/>
  <c r="HI44"/>
  <c r="HJ44"/>
  <c r="HK44"/>
  <c r="HL44"/>
  <c r="HM44"/>
  <c r="HN44"/>
  <c r="HO44"/>
  <c r="HP44"/>
  <c r="HQ44"/>
  <c r="HR44"/>
  <c r="HS44"/>
  <c r="HT44"/>
  <c r="HU44"/>
  <c r="HV44"/>
  <c r="HW44"/>
  <c r="HX44"/>
  <c r="HY44"/>
  <c r="HZ44"/>
  <c r="IA44"/>
  <c r="IB44"/>
  <c r="IC44"/>
  <c r="ID44"/>
  <c r="IE44"/>
  <c r="IF44"/>
  <c r="IG44"/>
  <c r="IH44"/>
  <c r="II44"/>
  <c r="IJ44"/>
  <c r="IK44"/>
  <c r="IL44"/>
  <c r="IM44"/>
  <c r="IN44"/>
  <c r="IO44"/>
  <c r="IP44"/>
  <c r="IQ44"/>
  <c r="IR44"/>
  <c r="IS44"/>
  <c r="IT44"/>
  <c r="IU44"/>
  <c r="IV44"/>
  <c r="A43"/>
  <c r="B43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AR43"/>
  <c r="AS43"/>
  <c r="AT43"/>
  <c r="AU43"/>
  <c r="AV43"/>
  <c r="AW43"/>
  <c r="AX43"/>
  <c r="AY43"/>
  <c r="AZ43"/>
  <c r="BA43"/>
  <c r="BB43"/>
  <c r="BC43"/>
  <c r="BD43"/>
  <c r="BE43"/>
  <c r="BF43"/>
  <c r="BG43"/>
  <c r="BH43"/>
  <c r="BI43"/>
  <c r="BJ43"/>
  <c r="BK43"/>
  <c r="BL43"/>
  <c r="BM43"/>
  <c r="BN43"/>
  <c r="BO43"/>
  <c r="BP43"/>
  <c r="BQ43"/>
  <c r="BR43"/>
  <c r="BS43"/>
  <c r="BT43"/>
  <c r="BU43"/>
  <c r="BV43"/>
  <c r="BW43"/>
  <c r="BX43"/>
  <c r="BY43"/>
  <c r="BZ43"/>
  <c r="CA43"/>
  <c r="CB43"/>
  <c r="CC43"/>
  <c r="CD43"/>
  <c r="CE43"/>
  <c r="CF43"/>
  <c r="CG43"/>
  <c r="CH43"/>
  <c r="CI43"/>
  <c r="CJ43"/>
  <c r="CK43"/>
  <c r="CL43"/>
  <c r="CM43"/>
  <c r="CN43"/>
  <c r="CO43"/>
  <c r="CP43"/>
  <c r="CQ43"/>
  <c r="CR43"/>
  <c r="CS43"/>
  <c r="CT43"/>
  <c r="CU43"/>
  <c r="CV43"/>
  <c r="CW43"/>
  <c r="CX43"/>
  <c r="CY43"/>
  <c r="CZ43"/>
  <c r="DA43"/>
  <c r="DB43"/>
  <c r="DC43"/>
  <c r="DD43"/>
  <c r="DE43"/>
  <c r="DF43"/>
  <c r="DG43"/>
  <c r="DH43"/>
  <c r="DI43"/>
  <c r="DJ43"/>
  <c r="DK43"/>
  <c r="DL43"/>
  <c r="DM43"/>
  <c r="DN43"/>
  <c r="DO43"/>
  <c r="DP43"/>
  <c r="DQ43"/>
  <c r="DR43"/>
  <c r="DS43"/>
  <c r="DT43"/>
  <c r="DU43"/>
  <c r="DV43"/>
  <c r="DW43"/>
  <c r="DX43"/>
  <c r="DY43"/>
  <c r="DZ43"/>
  <c r="EA43"/>
  <c r="EB43"/>
  <c r="EC43"/>
  <c r="ED43"/>
  <c r="EE43"/>
  <c r="EF43"/>
  <c r="EG43"/>
  <c r="EH43"/>
  <c r="EI43"/>
  <c r="EJ43"/>
  <c r="EK43"/>
  <c r="EL43"/>
  <c r="EM43"/>
  <c r="EN43"/>
  <c r="EO43"/>
  <c r="EP43"/>
  <c r="EQ43"/>
  <c r="ER43"/>
  <c r="ES43"/>
  <c r="ET43"/>
  <c r="EU43"/>
  <c r="EV43"/>
  <c r="EW43"/>
  <c r="EX43"/>
  <c r="EY43"/>
  <c r="EZ43"/>
  <c r="FA43"/>
  <c r="FB43"/>
  <c r="FC43"/>
  <c r="FD43"/>
  <c r="FE43"/>
  <c r="FF43"/>
  <c r="FG43"/>
  <c r="FH43"/>
  <c r="FI43"/>
  <c r="FJ43"/>
  <c r="FK43"/>
  <c r="FL43"/>
  <c r="FM43"/>
  <c r="FN43"/>
  <c r="FO43"/>
  <c r="FP43"/>
  <c r="FQ43"/>
  <c r="FR43"/>
  <c r="FS43"/>
  <c r="FT43"/>
  <c r="FU43"/>
  <c r="FV43"/>
  <c r="FW43"/>
  <c r="FX43"/>
  <c r="FY43"/>
  <c r="FZ43"/>
  <c r="GA43"/>
  <c r="GB43"/>
  <c r="GC43"/>
  <c r="GD43"/>
  <c r="GE43"/>
  <c r="GF43"/>
  <c r="GG43"/>
  <c r="GH43"/>
  <c r="GI43"/>
  <c r="GJ43"/>
  <c r="GK43"/>
  <c r="GL43"/>
  <c r="GM43"/>
  <c r="GN43"/>
  <c r="GO43"/>
  <c r="GP43"/>
  <c r="GQ43"/>
  <c r="GR43"/>
  <c r="GS43"/>
  <c r="GT43"/>
  <c r="GU43"/>
  <c r="GV43"/>
  <c r="GW43"/>
  <c r="GX43"/>
  <c r="GY43"/>
  <c r="GZ43"/>
  <c r="HA43"/>
  <c r="HB43"/>
  <c r="HC43"/>
  <c r="HD43"/>
  <c r="HE43"/>
  <c r="HF43"/>
  <c r="HG43"/>
  <c r="HH43"/>
  <c r="HI43"/>
  <c r="HJ43"/>
  <c r="HK43"/>
  <c r="HL43"/>
  <c r="HM43"/>
  <c r="HN43"/>
  <c r="HO43"/>
  <c r="HP43"/>
  <c r="HQ43"/>
  <c r="HR43"/>
  <c r="HS43"/>
  <c r="HT43"/>
  <c r="HU43"/>
  <c r="HV43"/>
  <c r="HW43"/>
  <c r="HX43"/>
  <c r="HY43"/>
  <c r="HZ43"/>
  <c r="IA43"/>
  <c r="IB43"/>
  <c r="IC43"/>
  <c r="ID43"/>
  <c r="IE43"/>
  <c r="IF43"/>
  <c r="IG43"/>
  <c r="IH43"/>
  <c r="II43"/>
  <c r="IJ43"/>
  <c r="IK43"/>
  <c r="IL43"/>
  <c r="IM43"/>
  <c r="IN43"/>
  <c r="IO43"/>
  <c r="IP43"/>
  <c r="IQ43"/>
  <c r="IR43"/>
  <c r="IS43"/>
  <c r="IT43"/>
  <c r="IU43"/>
  <c r="IV43"/>
  <c r="A42"/>
  <c r="B42"/>
  <c r="C42"/>
  <c r="D42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AR42"/>
  <c r="AS42"/>
  <c r="AT42"/>
  <c r="AU42"/>
  <c r="AV42"/>
  <c r="AW42"/>
  <c r="AX42"/>
  <c r="AY42"/>
  <c r="AZ42"/>
  <c r="BA42"/>
  <c r="BB42"/>
  <c r="BC42"/>
  <c r="BD42"/>
  <c r="BE42"/>
  <c r="BF42"/>
  <c r="BG42"/>
  <c r="BH42"/>
  <c r="BI42"/>
  <c r="BJ42"/>
  <c r="BK42"/>
  <c r="BL42"/>
  <c r="BM42"/>
  <c r="BN42"/>
  <c r="BO42"/>
  <c r="BP42"/>
  <c r="BQ42"/>
  <c r="BR42"/>
  <c r="BS42"/>
  <c r="BT42"/>
  <c r="BU42"/>
  <c r="BV42"/>
  <c r="BW42"/>
  <c r="BX42"/>
  <c r="BY42"/>
  <c r="BZ42"/>
  <c r="CA42"/>
  <c r="CB42"/>
  <c r="CC42"/>
  <c r="CD42"/>
  <c r="CE42"/>
  <c r="CF42"/>
  <c r="CG42"/>
  <c r="CH42"/>
  <c r="CI42"/>
  <c r="CJ42"/>
  <c r="CK42"/>
  <c r="CL42"/>
  <c r="CM42"/>
  <c r="CN42"/>
  <c r="CO42"/>
  <c r="CP42"/>
  <c r="CQ42"/>
  <c r="CR42"/>
  <c r="CS42"/>
  <c r="CT42"/>
  <c r="CU42"/>
  <c r="CV42"/>
  <c r="CW42"/>
  <c r="CX42"/>
  <c r="CY42"/>
  <c r="CZ42"/>
  <c r="DA42"/>
  <c r="DB42"/>
  <c r="DC42"/>
  <c r="DD42"/>
  <c r="DE42"/>
  <c r="DF42"/>
  <c r="DG42"/>
  <c r="DH42"/>
  <c r="DI42"/>
  <c r="DJ42"/>
  <c r="DK42"/>
  <c r="DL42"/>
  <c r="DM42"/>
  <c r="DN42"/>
  <c r="DO42"/>
  <c r="DP42"/>
  <c r="DQ42"/>
  <c r="DR42"/>
  <c r="DS42"/>
  <c r="DT42"/>
  <c r="DU42"/>
  <c r="DV42"/>
  <c r="DW42"/>
  <c r="DX42"/>
  <c r="DY42"/>
  <c r="DZ42"/>
  <c r="EA42"/>
  <c r="EB42"/>
  <c r="EC42"/>
  <c r="ED42"/>
  <c r="EE42"/>
  <c r="EF42"/>
  <c r="EG42"/>
  <c r="EH42"/>
  <c r="EI42"/>
  <c r="EJ42"/>
  <c r="EK42"/>
  <c r="EL42"/>
  <c r="EM42"/>
  <c r="EN42"/>
  <c r="EO42"/>
  <c r="EP42"/>
  <c r="EQ42"/>
  <c r="ER42"/>
  <c r="ES42"/>
  <c r="ET42"/>
  <c r="EU42"/>
  <c r="EV42"/>
  <c r="EW42"/>
  <c r="EX42"/>
  <c r="EY42"/>
  <c r="EZ42"/>
  <c r="FA42"/>
  <c r="FB42"/>
  <c r="FC42"/>
  <c r="FD42"/>
  <c r="FE42"/>
  <c r="FF42"/>
  <c r="FG42"/>
  <c r="FH42"/>
  <c r="FI42"/>
  <c r="FJ42"/>
  <c r="FK42"/>
  <c r="FL42"/>
  <c r="FM42"/>
  <c r="FN42"/>
  <c r="FO42"/>
  <c r="FP42"/>
  <c r="FQ42"/>
  <c r="FR42"/>
  <c r="FS42"/>
  <c r="FT42"/>
  <c r="FU42"/>
  <c r="FV42"/>
  <c r="FW42"/>
  <c r="FX42"/>
  <c r="FY42"/>
  <c r="FZ42"/>
  <c r="GA42"/>
  <c r="GB42"/>
  <c r="GC42"/>
  <c r="GD42"/>
  <c r="GE42"/>
  <c r="GF42"/>
  <c r="GG42"/>
  <c r="GH42"/>
  <c r="GI42"/>
  <c r="GJ42"/>
  <c r="GK42"/>
  <c r="GL42"/>
  <c r="GM42"/>
  <c r="GN42"/>
  <c r="GO42"/>
  <c r="GP42"/>
  <c r="GQ42"/>
  <c r="GR42"/>
  <c r="GS42"/>
  <c r="GT42"/>
  <c r="GU42"/>
  <c r="GV42"/>
  <c r="GW42"/>
  <c r="GX42"/>
  <c r="GY42"/>
  <c r="GZ42"/>
  <c r="HA42"/>
  <c r="HB42"/>
  <c r="HC42"/>
  <c r="HD42"/>
  <c r="HE42"/>
  <c r="HF42"/>
  <c r="HG42"/>
  <c r="HH42"/>
  <c r="HI42"/>
  <c r="HJ42"/>
  <c r="HK42"/>
  <c r="HL42"/>
  <c r="HM42"/>
  <c r="HN42"/>
  <c r="HO42"/>
  <c r="HP42"/>
  <c r="HQ42"/>
  <c r="HR42"/>
  <c r="HS42"/>
  <c r="HT42"/>
  <c r="HU42"/>
  <c r="HV42"/>
  <c r="HW42"/>
  <c r="HX42"/>
  <c r="HY42"/>
  <c r="HZ42"/>
  <c r="IA42"/>
  <c r="IB42"/>
  <c r="IC42"/>
  <c r="ID42"/>
  <c r="IE42"/>
  <c r="IF42"/>
  <c r="IG42"/>
  <c r="IH42"/>
  <c r="II42"/>
  <c r="IJ42"/>
  <c r="IK42"/>
  <c r="IL42"/>
  <c r="IM42"/>
  <c r="IN42"/>
  <c r="IO42"/>
  <c r="IP42"/>
  <c r="IQ42"/>
  <c r="IR42"/>
  <c r="IS42"/>
  <c r="IT42"/>
  <c r="IU42"/>
  <c r="IV42"/>
  <c r="A41"/>
  <c r="B41"/>
  <c r="C41"/>
  <c r="D41"/>
  <c r="E4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AR41"/>
  <c r="AS41"/>
  <c r="AT41"/>
  <c r="AU41"/>
  <c r="AV41"/>
  <c r="AW41"/>
  <c r="AX41"/>
  <c r="AY41"/>
  <c r="AZ41"/>
  <c r="BA41"/>
  <c r="BB41"/>
  <c r="BC41"/>
  <c r="BD41"/>
  <c r="BE41"/>
  <c r="BF41"/>
  <c r="BG41"/>
  <c r="BH41"/>
  <c r="BI41"/>
  <c r="BJ41"/>
  <c r="BK41"/>
  <c r="BL41"/>
  <c r="BM41"/>
  <c r="BN41"/>
  <c r="BO41"/>
  <c r="BP41"/>
  <c r="BQ41"/>
  <c r="BR41"/>
  <c r="BS41"/>
  <c r="BT41"/>
  <c r="BU41"/>
  <c r="BV41"/>
  <c r="BW41"/>
  <c r="BX41"/>
  <c r="BY41"/>
  <c r="BZ41"/>
  <c r="CA41"/>
  <c r="CB41"/>
  <c r="CC41"/>
  <c r="CD41"/>
  <c r="CE41"/>
  <c r="CF41"/>
  <c r="CG41"/>
  <c r="CH41"/>
  <c r="CI41"/>
  <c r="CJ41"/>
  <c r="CK41"/>
  <c r="CL41"/>
  <c r="CM41"/>
  <c r="CN41"/>
  <c r="CO41"/>
  <c r="CP41"/>
  <c r="CQ41"/>
  <c r="CR41"/>
  <c r="CS41"/>
  <c r="CT41"/>
  <c r="CU41"/>
  <c r="CV41"/>
  <c r="CW41"/>
  <c r="CX41"/>
  <c r="CY41"/>
  <c r="CZ41"/>
  <c r="DA41"/>
  <c r="DB41"/>
  <c r="DC41"/>
  <c r="DD41"/>
  <c r="DE41"/>
  <c r="DF41"/>
  <c r="DG41"/>
  <c r="DH41"/>
  <c r="DI41"/>
  <c r="DJ41"/>
  <c r="DK41"/>
  <c r="DL41"/>
  <c r="DM41"/>
  <c r="DN41"/>
  <c r="DO41"/>
  <c r="DP41"/>
  <c r="DQ41"/>
  <c r="DR41"/>
  <c r="DS41"/>
  <c r="DT41"/>
  <c r="DU41"/>
  <c r="DV41"/>
  <c r="DW41"/>
  <c r="DX41"/>
  <c r="DY41"/>
  <c r="DZ41"/>
  <c r="EA41"/>
  <c r="EB41"/>
  <c r="EC41"/>
  <c r="ED41"/>
  <c r="EE41"/>
  <c r="EF41"/>
  <c r="EG41"/>
  <c r="EH41"/>
  <c r="EI41"/>
  <c r="EJ41"/>
  <c r="EK41"/>
  <c r="EL41"/>
  <c r="EM41"/>
  <c r="EN41"/>
  <c r="EO41"/>
  <c r="EP41"/>
  <c r="EQ41"/>
  <c r="ER41"/>
  <c r="ES41"/>
  <c r="ET41"/>
  <c r="EU41"/>
  <c r="EV41"/>
  <c r="EW41"/>
  <c r="EX41"/>
  <c r="EY41"/>
  <c r="EZ41"/>
  <c r="FA41"/>
  <c r="FB41"/>
  <c r="FC41"/>
  <c r="FD41"/>
  <c r="FE41"/>
  <c r="FF41"/>
  <c r="FG41"/>
  <c r="FH41"/>
  <c r="FI41"/>
  <c r="FJ41"/>
  <c r="FK41"/>
  <c r="FL41"/>
  <c r="FM41"/>
  <c r="FN41"/>
  <c r="FO41"/>
  <c r="FP41"/>
  <c r="FQ41"/>
  <c r="FR41"/>
  <c r="FS41"/>
  <c r="FT41"/>
  <c r="FU41"/>
  <c r="FV41"/>
  <c r="FW41"/>
  <c r="FX41"/>
  <c r="FY41"/>
  <c r="FZ41"/>
  <c r="GA41"/>
  <c r="GB41"/>
  <c r="GC41"/>
  <c r="GD41"/>
  <c r="GE41"/>
  <c r="GF41"/>
  <c r="GG41"/>
  <c r="GH41"/>
  <c r="GI41"/>
  <c r="GJ41"/>
  <c r="GK41"/>
  <c r="GL41"/>
  <c r="GM41"/>
  <c r="GN41"/>
  <c r="GO41"/>
  <c r="GP41"/>
  <c r="GQ41"/>
  <c r="GR41"/>
  <c r="GS41"/>
  <c r="GT41"/>
  <c r="GU41"/>
  <c r="GV41"/>
  <c r="GW41"/>
  <c r="GX41"/>
  <c r="GY41"/>
  <c r="GZ41"/>
  <c r="HA41"/>
  <c r="HB41"/>
  <c r="HC41"/>
  <c r="HD41"/>
  <c r="HE41"/>
  <c r="HF41"/>
  <c r="HG41"/>
  <c r="HH41"/>
  <c r="HI41"/>
  <c r="HJ41"/>
  <c r="HK41"/>
  <c r="HL41"/>
  <c r="HM41"/>
  <c r="HN41"/>
  <c r="HO41"/>
  <c r="HP41"/>
  <c r="HQ41"/>
  <c r="HR41"/>
  <c r="HS41"/>
  <c r="HT41"/>
  <c r="HU41"/>
  <c r="HV41"/>
  <c r="HW41"/>
  <c r="HX41"/>
  <c r="HY41"/>
  <c r="HZ41"/>
  <c r="IA41"/>
  <c r="IB41"/>
  <c r="IC41"/>
  <c r="ID41"/>
  <c r="IE41"/>
  <c r="IF41"/>
  <c r="IG41"/>
  <c r="IH41"/>
  <c r="II41"/>
  <c r="IJ41"/>
  <c r="IK41"/>
  <c r="IL41"/>
  <c r="IM41"/>
  <c r="IN41"/>
  <c r="IO41"/>
  <c r="IP41"/>
  <c r="IQ41"/>
  <c r="IR41"/>
  <c r="IS41"/>
  <c r="IT41"/>
  <c r="IU41"/>
  <c r="IV41"/>
  <c r="A40"/>
  <c r="B40"/>
  <c r="C40"/>
  <c r="D40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BS40"/>
  <c r="BT40"/>
  <c r="BU40"/>
  <c r="BV40"/>
  <c r="BW40"/>
  <c r="BX40"/>
  <c r="BY40"/>
  <c r="BZ40"/>
  <c r="CA40"/>
  <c r="CB40"/>
  <c r="CC40"/>
  <c r="CD40"/>
  <c r="CE40"/>
  <c r="CF40"/>
  <c r="CG40"/>
  <c r="CH40"/>
  <c r="CI40"/>
  <c r="CJ40"/>
  <c r="CK40"/>
  <c r="CL40"/>
  <c r="CM40"/>
  <c r="CN40"/>
  <c r="CO40"/>
  <c r="CP40"/>
  <c r="CQ40"/>
  <c r="CR40"/>
  <c r="CS40"/>
  <c r="CT40"/>
  <c r="CU40"/>
  <c r="CV40"/>
  <c r="CW40"/>
  <c r="CX40"/>
  <c r="CY40"/>
  <c r="CZ40"/>
  <c r="DA40"/>
  <c r="DB40"/>
  <c r="DC40"/>
  <c r="DD40"/>
  <c r="DE40"/>
  <c r="DF40"/>
  <c r="DG40"/>
  <c r="DH40"/>
  <c r="DI40"/>
  <c r="DJ40"/>
  <c r="DK40"/>
  <c r="DL40"/>
  <c r="DM40"/>
  <c r="DN40"/>
  <c r="DO40"/>
  <c r="DP40"/>
  <c r="DQ40"/>
  <c r="DR40"/>
  <c r="DS40"/>
  <c r="DT40"/>
  <c r="DU40"/>
  <c r="DV40"/>
  <c r="DW40"/>
  <c r="DX40"/>
  <c r="DY40"/>
  <c r="DZ40"/>
  <c r="EA40"/>
  <c r="EB40"/>
  <c r="EC40"/>
  <c r="ED40"/>
  <c r="EE40"/>
  <c r="EF40"/>
  <c r="EG40"/>
  <c r="EH40"/>
  <c r="EI40"/>
  <c r="EJ40"/>
  <c r="EK40"/>
  <c r="EL40"/>
  <c r="EM40"/>
  <c r="EN40"/>
  <c r="EO40"/>
  <c r="EP40"/>
  <c r="EQ40"/>
  <c r="ER40"/>
  <c r="ES40"/>
  <c r="ET40"/>
  <c r="EU40"/>
  <c r="EV40"/>
  <c r="EW40"/>
  <c r="EX40"/>
  <c r="EY40"/>
  <c r="EZ40"/>
  <c r="FA40"/>
  <c r="FB40"/>
  <c r="FC40"/>
  <c r="FD40"/>
  <c r="FE40"/>
  <c r="FF40"/>
  <c r="FG40"/>
  <c r="FH40"/>
  <c r="FI40"/>
  <c r="FJ40"/>
  <c r="FK40"/>
  <c r="FL40"/>
  <c r="FM40"/>
  <c r="FN40"/>
  <c r="FO40"/>
  <c r="FP40"/>
  <c r="FQ40"/>
  <c r="FR40"/>
  <c r="FS40"/>
  <c r="FT40"/>
  <c r="FU40"/>
  <c r="FV40"/>
  <c r="FW40"/>
  <c r="FX40"/>
  <c r="FY40"/>
  <c r="FZ40"/>
  <c r="GA40"/>
  <c r="GB40"/>
  <c r="GC40"/>
  <c r="GD40"/>
  <c r="GE40"/>
  <c r="GF40"/>
  <c r="GG40"/>
  <c r="GH40"/>
  <c r="GI40"/>
  <c r="GJ40"/>
  <c r="GK40"/>
  <c r="GL40"/>
  <c r="GM40"/>
  <c r="GN40"/>
  <c r="GO40"/>
  <c r="GP40"/>
  <c r="GQ40"/>
  <c r="GR40"/>
  <c r="GS40"/>
  <c r="GT40"/>
  <c r="GU40"/>
  <c r="GV40"/>
  <c r="GW40"/>
  <c r="GX40"/>
  <c r="GY40"/>
  <c r="GZ40"/>
  <c r="HA40"/>
  <c r="HB40"/>
  <c r="HC40"/>
  <c r="HD40"/>
  <c r="HE40"/>
  <c r="HF40"/>
  <c r="HG40"/>
  <c r="HH40"/>
  <c r="HI40"/>
  <c r="HJ40"/>
  <c r="HK40"/>
  <c r="HL40"/>
  <c r="HM40"/>
  <c r="HN40"/>
  <c r="HO40"/>
  <c r="HP40"/>
  <c r="HQ40"/>
  <c r="HR40"/>
  <c r="HS40"/>
  <c r="HT40"/>
  <c r="HU40"/>
  <c r="HV40"/>
  <c r="HW40"/>
  <c r="HX40"/>
  <c r="HY40"/>
  <c r="HZ40"/>
  <c r="IA40"/>
  <c r="IB40"/>
  <c r="IC40"/>
  <c r="ID40"/>
  <c r="IE40"/>
  <c r="IF40"/>
  <c r="IG40"/>
  <c r="IH40"/>
  <c r="II40"/>
  <c r="IJ40"/>
  <c r="IK40"/>
  <c r="IL40"/>
  <c r="IM40"/>
  <c r="IN40"/>
  <c r="IO40"/>
  <c r="IP40"/>
  <c r="IQ40"/>
  <c r="IR40"/>
  <c r="IS40"/>
  <c r="IT40"/>
  <c r="IU40"/>
  <c r="IV40"/>
  <c r="A39"/>
  <c r="B39"/>
  <c r="C39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AY39"/>
  <c r="AZ39"/>
  <c r="BA39"/>
  <c r="BB39"/>
  <c r="BC39"/>
  <c r="BD39"/>
  <c r="BE39"/>
  <c r="BF39"/>
  <c r="BG39"/>
  <c r="BH39"/>
  <c r="BI39"/>
  <c r="BJ39"/>
  <c r="BK39"/>
  <c r="BL39"/>
  <c r="BM39"/>
  <c r="BN39"/>
  <c r="BO39"/>
  <c r="BP39"/>
  <c r="BQ39"/>
  <c r="BR39"/>
  <c r="BS39"/>
  <c r="BT39"/>
  <c r="BU39"/>
  <c r="BV39"/>
  <c r="BW39"/>
  <c r="BX39"/>
  <c r="BY39"/>
  <c r="BZ39"/>
  <c r="CA39"/>
  <c r="CB39"/>
  <c r="CC39"/>
  <c r="CD39"/>
  <c r="CE39"/>
  <c r="CF39"/>
  <c r="CG39"/>
  <c r="CH39"/>
  <c r="CI39"/>
  <c r="CJ39"/>
  <c r="CK39"/>
  <c r="CL39"/>
  <c r="CM39"/>
  <c r="CN39"/>
  <c r="CO39"/>
  <c r="CP39"/>
  <c r="CQ39"/>
  <c r="CR39"/>
  <c r="CS39"/>
  <c r="CT39"/>
  <c r="CU39"/>
  <c r="CV39"/>
  <c r="CW39"/>
  <c r="CX39"/>
  <c r="CY39"/>
  <c r="CZ39"/>
  <c r="DA39"/>
  <c r="DB39"/>
  <c r="DC39"/>
  <c r="DD39"/>
  <c r="DE39"/>
  <c r="DF39"/>
  <c r="DG39"/>
  <c r="DH39"/>
  <c r="DI39"/>
  <c r="DJ39"/>
  <c r="DK39"/>
  <c r="DL39"/>
  <c r="DM39"/>
  <c r="DN39"/>
  <c r="DO39"/>
  <c r="DP39"/>
  <c r="DQ39"/>
  <c r="DR39"/>
  <c r="DS39"/>
  <c r="DT39"/>
  <c r="DU39"/>
  <c r="DV39"/>
  <c r="DW39"/>
  <c r="DX39"/>
  <c r="DY39"/>
  <c r="DZ39"/>
  <c r="EA39"/>
  <c r="EB39"/>
  <c r="EC39"/>
  <c r="ED39"/>
  <c r="EE39"/>
  <c r="EF39"/>
  <c r="EG39"/>
  <c r="EH39"/>
  <c r="EI39"/>
  <c r="EJ39"/>
  <c r="EK39"/>
  <c r="EL39"/>
  <c r="EM39"/>
  <c r="EN39"/>
  <c r="EO39"/>
  <c r="EP39"/>
  <c r="EQ39"/>
  <c r="ER39"/>
  <c r="ES39"/>
  <c r="ET39"/>
  <c r="EU39"/>
  <c r="EV39"/>
  <c r="EW39"/>
  <c r="EX39"/>
  <c r="EY39"/>
  <c r="EZ39"/>
  <c r="FA39"/>
  <c r="FB39"/>
  <c r="FC39"/>
  <c r="FD39"/>
  <c r="FE39"/>
  <c r="FF39"/>
  <c r="FG39"/>
  <c r="FH39"/>
  <c r="FI39"/>
  <c r="FJ39"/>
  <c r="FK39"/>
  <c r="FL39"/>
  <c r="FM39"/>
  <c r="FN39"/>
  <c r="FO39"/>
  <c r="FP39"/>
  <c r="FQ39"/>
  <c r="FR39"/>
  <c r="FS39"/>
  <c r="FT39"/>
  <c r="FU39"/>
  <c r="FV39"/>
  <c r="FW39"/>
  <c r="FX39"/>
  <c r="FY39"/>
  <c r="FZ39"/>
  <c r="GA39"/>
  <c r="GB39"/>
  <c r="GC39"/>
  <c r="GD39"/>
  <c r="GE39"/>
  <c r="GF39"/>
  <c r="GG39"/>
  <c r="GH39"/>
  <c r="GI39"/>
  <c r="GJ39"/>
  <c r="GK39"/>
  <c r="GL39"/>
  <c r="GM39"/>
  <c r="GN39"/>
  <c r="GO39"/>
  <c r="GP39"/>
  <c r="GQ39"/>
  <c r="GR39"/>
  <c r="GS39"/>
  <c r="GT39"/>
  <c r="GU39"/>
  <c r="GV39"/>
  <c r="GW39"/>
  <c r="GX39"/>
  <c r="GY39"/>
  <c r="GZ39"/>
  <c r="HA39"/>
  <c r="HB39"/>
  <c r="HC39"/>
  <c r="HD39"/>
  <c r="HE39"/>
  <c r="HF39"/>
  <c r="HG39"/>
  <c r="HH39"/>
  <c r="HI39"/>
  <c r="HJ39"/>
  <c r="HK39"/>
  <c r="HL39"/>
  <c r="HM39"/>
  <c r="HN39"/>
  <c r="HO39"/>
  <c r="HP39"/>
  <c r="HQ39"/>
  <c r="HR39"/>
  <c r="HS39"/>
  <c r="HT39"/>
  <c r="HU39"/>
  <c r="HV39"/>
  <c r="HW39"/>
  <c r="HX39"/>
  <c r="HY39"/>
  <c r="HZ39"/>
  <c r="IA39"/>
  <c r="IB39"/>
  <c r="IC39"/>
  <c r="ID39"/>
  <c r="IE39"/>
  <c r="IF39"/>
  <c r="IG39"/>
  <c r="IH39"/>
  <c r="II39"/>
  <c r="IJ39"/>
  <c r="IK39"/>
  <c r="IL39"/>
  <c r="IM39"/>
  <c r="IN39"/>
  <c r="IO39"/>
  <c r="IP39"/>
  <c r="IQ39"/>
  <c r="IR39"/>
  <c r="IS39"/>
  <c r="IT39"/>
  <c r="IU39"/>
  <c r="IV39"/>
  <c r="A38"/>
  <c r="B38"/>
  <c r="C38"/>
  <c r="D38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AR38"/>
  <c r="AS38"/>
  <c r="AT38"/>
  <c r="AU38"/>
  <c r="AV38"/>
  <c r="AW38"/>
  <c r="AX38"/>
  <c r="AY38"/>
  <c r="AZ38"/>
  <c r="BA38"/>
  <c r="BB38"/>
  <c r="BC38"/>
  <c r="BD38"/>
  <c r="BE38"/>
  <c r="BF38"/>
  <c r="BG38"/>
  <c r="BH38"/>
  <c r="BI38"/>
  <c r="BJ38"/>
  <c r="BK38"/>
  <c r="BL38"/>
  <c r="BM38"/>
  <c r="BN38"/>
  <c r="BO38"/>
  <c r="BP38"/>
  <c r="BQ38"/>
  <c r="BR38"/>
  <c r="BS38"/>
  <c r="BT38"/>
  <c r="BU38"/>
  <c r="BV38"/>
  <c r="BW38"/>
  <c r="BX38"/>
  <c r="BY38"/>
  <c r="BZ38"/>
  <c r="CA38"/>
  <c r="CB38"/>
  <c r="CC38"/>
  <c r="CD38"/>
  <c r="CE38"/>
  <c r="CF38"/>
  <c r="CG38"/>
  <c r="CH38"/>
  <c r="CI38"/>
  <c r="CJ38"/>
  <c r="CK38"/>
  <c r="CL38"/>
  <c r="CM38"/>
  <c r="CN38"/>
  <c r="CO38"/>
  <c r="CP38"/>
  <c r="CQ38"/>
  <c r="CR38"/>
  <c r="CS38"/>
  <c r="CT38"/>
  <c r="CU38"/>
  <c r="CV38"/>
  <c r="CW38"/>
  <c r="CX38"/>
  <c r="CY38"/>
  <c r="CZ38"/>
  <c r="DA38"/>
  <c r="DB38"/>
  <c r="DC38"/>
  <c r="DD38"/>
  <c r="DE38"/>
  <c r="DF38"/>
  <c r="DG38"/>
  <c r="DH38"/>
  <c r="DI38"/>
  <c r="DJ38"/>
  <c r="DK38"/>
  <c r="DL38"/>
  <c r="DM38"/>
  <c r="DN38"/>
  <c r="DO38"/>
  <c r="DP38"/>
  <c r="DQ38"/>
  <c r="DR38"/>
  <c r="DS38"/>
  <c r="DT38"/>
  <c r="DU38"/>
  <c r="DV38"/>
  <c r="DW38"/>
  <c r="DX38"/>
  <c r="DY38"/>
  <c r="DZ38"/>
  <c r="EA38"/>
  <c r="EB38"/>
  <c r="EC38"/>
  <c r="ED38"/>
  <c r="EE38"/>
  <c r="EF38"/>
  <c r="EG38"/>
  <c r="EH38"/>
  <c r="EI38"/>
  <c r="EJ38"/>
  <c r="EK38"/>
  <c r="EL38"/>
  <c r="EM38"/>
  <c r="EN38"/>
  <c r="EO38"/>
  <c r="EP38"/>
  <c r="EQ38"/>
  <c r="ER38"/>
  <c r="ES38"/>
  <c r="ET38"/>
  <c r="EU38"/>
  <c r="EV38"/>
  <c r="EW38"/>
  <c r="EX38"/>
  <c r="EY38"/>
  <c r="EZ38"/>
  <c r="FA38"/>
  <c r="FB38"/>
  <c r="FC38"/>
  <c r="FD38"/>
  <c r="FE38"/>
  <c r="FF38"/>
  <c r="FG38"/>
  <c r="FH38"/>
  <c r="FI38"/>
  <c r="FJ38"/>
  <c r="FK38"/>
  <c r="FL38"/>
  <c r="FM38"/>
  <c r="FN38"/>
  <c r="FO38"/>
  <c r="FP38"/>
  <c r="FQ38"/>
  <c r="FR38"/>
  <c r="FS38"/>
  <c r="FT38"/>
  <c r="FU38"/>
  <c r="FV38"/>
  <c r="FW38"/>
  <c r="FX38"/>
  <c r="FY38"/>
  <c r="FZ38"/>
  <c r="GA38"/>
  <c r="GB38"/>
  <c r="GC38"/>
  <c r="GD38"/>
  <c r="GE38"/>
  <c r="GF38"/>
  <c r="GG38"/>
  <c r="GH38"/>
  <c r="GI38"/>
  <c r="GJ38"/>
  <c r="GK38"/>
  <c r="GL38"/>
  <c r="GM38"/>
  <c r="GN38"/>
  <c r="GO38"/>
  <c r="GP38"/>
  <c r="GQ38"/>
  <c r="GR38"/>
  <c r="GS38"/>
  <c r="GT38"/>
  <c r="GU38"/>
  <c r="GV38"/>
  <c r="GW38"/>
  <c r="GX38"/>
  <c r="GY38"/>
  <c r="GZ38"/>
  <c r="HA38"/>
  <c r="HB38"/>
  <c r="HC38"/>
  <c r="HD38"/>
  <c r="HE38"/>
  <c r="HF38"/>
  <c r="HG38"/>
  <c r="HH38"/>
  <c r="HI38"/>
  <c r="HJ38"/>
  <c r="HK38"/>
  <c r="HL38"/>
  <c r="HM38"/>
  <c r="HN38"/>
  <c r="HO38"/>
  <c r="HP38"/>
  <c r="HQ38"/>
  <c r="HR38"/>
  <c r="HS38"/>
  <c r="HT38"/>
  <c r="HU38"/>
  <c r="HV38"/>
  <c r="HW38"/>
  <c r="HX38"/>
  <c r="HY38"/>
  <c r="HZ38"/>
  <c r="IA38"/>
  <c r="IB38"/>
  <c r="IC38"/>
  <c r="ID38"/>
  <c r="IE38"/>
  <c r="IF38"/>
  <c r="IG38"/>
  <c r="IH38"/>
  <c r="II38"/>
  <c r="IJ38"/>
  <c r="IK38"/>
  <c r="IL38"/>
  <c r="IM38"/>
  <c r="IN38"/>
  <c r="IO38"/>
  <c r="IP38"/>
  <c r="IQ38"/>
  <c r="IR38"/>
  <c r="IS38"/>
  <c r="IT38"/>
  <c r="IU38"/>
  <c r="IV38"/>
  <c r="A37"/>
  <c r="B37"/>
  <c r="C37"/>
  <c r="D37"/>
  <c r="E37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AR37"/>
  <c r="AS37"/>
  <c r="AT37"/>
  <c r="AU37"/>
  <c r="AV37"/>
  <c r="AW37"/>
  <c r="AX37"/>
  <c r="AY37"/>
  <c r="AZ37"/>
  <c r="BA37"/>
  <c r="BB37"/>
  <c r="BC37"/>
  <c r="BD37"/>
  <c r="BE37"/>
  <c r="BF37"/>
  <c r="BG37"/>
  <c r="BH37"/>
  <c r="BI37"/>
  <c r="BJ37"/>
  <c r="BK37"/>
  <c r="BL37"/>
  <c r="BM37"/>
  <c r="BN37"/>
  <c r="BO37"/>
  <c r="BP37"/>
  <c r="BQ37"/>
  <c r="BR37"/>
  <c r="BS37"/>
  <c r="BT37"/>
  <c r="BU37"/>
  <c r="BV37"/>
  <c r="BW37"/>
  <c r="BX37"/>
  <c r="BY37"/>
  <c r="BZ37"/>
  <c r="CA37"/>
  <c r="CB37"/>
  <c r="CC37"/>
  <c r="CD37"/>
  <c r="CE37"/>
  <c r="CF37"/>
  <c r="CG37"/>
  <c r="CH37"/>
  <c r="CI37"/>
  <c r="CJ37"/>
  <c r="CK37"/>
  <c r="CL37"/>
  <c r="CM37"/>
  <c r="CN37"/>
  <c r="CO37"/>
  <c r="CP37"/>
  <c r="CQ37"/>
  <c r="CR37"/>
  <c r="CS37"/>
  <c r="CT37"/>
  <c r="CU37"/>
  <c r="CV37"/>
  <c r="CW37"/>
  <c r="CX37"/>
  <c r="CY37"/>
  <c r="CZ37"/>
  <c r="DA37"/>
  <c r="DB37"/>
  <c r="DC37"/>
  <c r="DD37"/>
  <c r="DE37"/>
  <c r="DF37"/>
  <c r="DG37"/>
  <c r="DH37"/>
  <c r="DI37"/>
  <c r="DJ37"/>
  <c r="DK37"/>
  <c r="DL37"/>
  <c r="DM37"/>
  <c r="DN37"/>
  <c r="DO37"/>
  <c r="DP37"/>
  <c r="DQ37"/>
  <c r="DR37"/>
  <c r="DS37"/>
  <c r="DT37"/>
  <c r="DU37"/>
  <c r="DV37"/>
  <c r="DW37"/>
  <c r="DX37"/>
  <c r="DY37"/>
  <c r="DZ37"/>
  <c r="EA37"/>
  <c r="EB37"/>
  <c r="EC37"/>
  <c r="ED37"/>
  <c r="EE37"/>
  <c r="EF37"/>
  <c r="EG37"/>
  <c r="EH37"/>
  <c r="EI37"/>
  <c r="EJ37"/>
  <c r="EK37"/>
  <c r="EL37"/>
  <c r="EM37"/>
  <c r="EN37"/>
  <c r="EO37"/>
  <c r="EP37"/>
  <c r="EQ37"/>
  <c r="ER37"/>
  <c r="ES37"/>
  <c r="ET37"/>
  <c r="EU37"/>
  <c r="EV37"/>
  <c r="EW37"/>
  <c r="EX37"/>
  <c r="EY37"/>
  <c r="EZ37"/>
  <c r="FA37"/>
  <c r="FB37"/>
  <c r="FC37"/>
  <c r="FD37"/>
  <c r="FE37"/>
  <c r="FF37"/>
  <c r="FG37"/>
  <c r="FH37"/>
  <c r="FI37"/>
  <c r="FJ37"/>
  <c r="FK37"/>
  <c r="FL37"/>
  <c r="FM37"/>
  <c r="FN37"/>
  <c r="FO37"/>
  <c r="FP37"/>
  <c r="FQ37"/>
  <c r="FR37"/>
  <c r="FS37"/>
  <c r="FT37"/>
  <c r="FU37"/>
  <c r="FV37"/>
  <c r="FW37"/>
  <c r="FX37"/>
  <c r="FY37"/>
  <c r="FZ37"/>
  <c r="GA37"/>
  <c r="GB37"/>
  <c r="GC37"/>
  <c r="GD37"/>
  <c r="GE37"/>
  <c r="GF37"/>
  <c r="GG37"/>
  <c r="GH37"/>
  <c r="GI37"/>
  <c r="GJ37"/>
  <c r="GK37"/>
  <c r="GL37"/>
  <c r="GM37"/>
  <c r="GN37"/>
  <c r="GO37"/>
  <c r="GP37"/>
  <c r="GQ37"/>
  <c r="GR37"/>
  <c r="GS37"/>
  <c r="GT37"/>
  <c r="GU37"/>
  <c r="GV37"/>
  <c r="GW37"/>
  <c r="GX37"/>
  <c r="GY37"/>
  <c r="GZ37"/>
  <c r="HA37"/>
  <c r="HB37"/>
  <c r="HC37"/>
  <c r="HD37"/>
  <c r="HE37"/>
  <c r="HF37"/>
  <c r="HG37"/>
  <c r="HH37"/>
  <c r="HI37"/>
  <c r="HJ37"/>
  <c r="HK37"/>
  <c r="HL37"/>
  <c r="HM37"/>
  <c r="HN37"/>
  <c r="HO37"/>
  <c r="HP37"/>
  <c r="HQ37"/>
  <c r="HR37"/>
  <c r="HS37"/>
  <c r="HT37"/>
  <c r="HU37"/>
  <c r="HV37"/>
  <c r="HW37"/>
  <c r="HX37"/>
  <c r="HY37"/>
  <c r="HZ37"/>
  <c r="IA37"/>
  <c r="IB37"/>
  <c r="IC37"/>
  <c r="ID37"/>
  <c r="IE37"/>
  <c r="IF37"/>
  <c r="IG37"/>
  <c r="IH37"/>
  <c r="II37"/>
  <c r="IJ37"/>
  <c r="IK37"/>
  <c r="IL37"/>
  <c r="IM37"/>
  <c r="IN37"/>
  <c r="IO37"/>
  <c r="IP37"/>
  <c r="IQ37"/>
  <c r="IR37"/>
  <c r="IS37"/>
  <c r="IT37"/>
  <c r="IU37"/>
  <c r="IV37"/>
  <c r="A36"/>
  <c r="B36"/>
  <c r="C36"/>
  <c r="D36"/>
  <c r="E36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AR36"/>
  <c r="AS36"/>
  <c r="AT36"/>
  <c r="AU36"/>
  <c r="AV36"/>
  <c r="AW36"/>
  <c r="AX36"/>
  <c r="AY36"/>
  <c r="AZ36"/>
  <c r="BA36"/>
  <c r="BB36"/>
  <c r="BC36"/>
  <c r="BD36"/>
  <c r="BE36"/>
  <c r="BF36"/>
  <c r="BG36"/>
  <c r="BH36"/>
  <c r="BI36"/>
  <c r="BJ36"/>
  <c r="BK36"/>
  <c r="BL36"/>
  <c r="BM36"/>
  <c r="BN36"/>
  <c r="BO36"/>
  <c r="BP36"/>
  <c r="BQ36"/>
  <c r="BR36"/>
  <c r="BS36"/>
  <c r="BT36"/>
  <c r="BU36"/>
  <c r="BV36"/>
  <c r="BW36"/>
  <c r="BX36"/>
  <c r="BY36"/>
  <c r="BZ36"/>
  <c r="CA36"/>
  <c r="CB36"/>
  <c r="CC36"/>
  <c r="CD36"/>
  <c r="CE36"/>
  <c r="CF36"/>
  <c r="CG36"/>
  <c r="CH36"/>
  <c r="CI36"/>
  <c r="CJ36"/>
  <c r="CK36"/>
  <c r="CL36"/>
  <c r="CM36"/>
  <c r="CN36"/>
  <c r="CO36"/>
  <c r="CP36"/>
  <c r="CQ36"/>
  <c r="CR36"/>
  <c r="CS36"/>
  <c r="CT36"/>
  <c r="CU36"/>
  <c r="CV36"/>
  <c r="CW36"/>
  <c r="CX36"/>
  <c r="CY36"/>
  <c r="CZ36"/>
  <c r="DA36"/>
  <c r="DB36"/>
  <c r="DC36"/>
  <c r="DD36"/>
  <c r="DE36"/>
  <c r="DF36"/>
  <c r="DG36"/>
  <c r="DH36"/>
  <c r="DI36"/>
  <c r="DJ36"/>
  <c r="DK36"/>
  <c r="DL36"/>
  <c r="DM36"/>
  <c r="DN36"/>
  <c r="DO36"/>
  <c r="DP36"/>
  <c r="DQ36"/>
  <c r="DR36"/>
  <c r="DS36"/>
  <c r="DT36"/>
  <c r="DU36"/>
  <c r="DV36"/>
  <c r="DW36"/>
  <c r="DX36"/>
  <c r="DY36"/>
  <c r="DZ36"/>
  <c r="EA36"/>
  <c r="EB36"/>
  <c r="EC36"/>
  <c r="ED36"/>
  <c r="EE36"/>
  <c r="EF36"/>
  <c r="EG36"/>
  <c r="EH36"/>
  <c r="EI36"/>
  <c r="EJ36"/>
  <c r="EK36"/>
  <c r="EL36"/>
  <c r="EM36"/>
  <c r="EN36"/>
  <c r="EO36"/>
  <c r="EP36"/>
  <c r="EQ36"/>
  <c r="ER36"/>
  <c r="ES36"/>
  <c r="ET36"/>
  <c r="EU36"/>
  <c r="EV36"/>
  <c r="EW36"/>
  <c r="EX36"/>
  <c r="EY36"/>
  <c r="EZ36"/>
  <c r="FA36"/>
  <c r="FB36"/>
  <c r="FC36"/>
  <c r="FD36"/>
  <c r="FE36"/>
  <c r="FF36"/>
  <c r="FG36"/>
  <c r="FH36"/>
  <c r="FI36"/>
  <c r="FJ36"/>
  <c r="FK36"/>
  <c r="FL36"/>
  <c r="FM36"/>
  <c r="FN36"/>
  <c r="FO36"/>
  <c r="FP36"/>
  <c r="FQ36"/>
  <c r="FR36"/>
  <c r="FS36"/>
  <c r="FT36"/>
  <c r="FU36"/>
  <c r="FV36"/>
  <c r="FW36"/>
  <c r="FX36"/>
  <c r="FY36"/>
  <c r="FZ36"/>
  <c r="GA36"/>
  <c r="GB36"/>
  <c r="GC36"/>
  <c r="GD36"/>
  <c r="GE36"/>
  <c r="GF36"/>
  <c r="GG36"/>
  <c r="GH36"/>
  <c r="GI36"/>
  <c r="GJ36"/>
  <c r="GK36"/>
  <c r="GL36"/>
  <c r="GM36"/>
  <c r="GN36"/>
  <c r="GO36"/>
  <c r="GP36"/>
  <c r="GQ36"/>
  <c r="GR36"/>
  <c r="GS36"/>
  <c r="GT36"/>
  <c r="GU36"/>
  <c r="GV36"/>
  <c r="GW36"/>
  <c r="GX36"/>
  <c r="GY36"/>
  <c r="GZ36"/>
  <c r="HA36"/>
  <c r="HB36"/>
  <c r="HC36"/>
  <c r="HD36"/>
  <c r="HE36"/>
  <c r="HF36"/>
  <c r="HG36"/>
  <c r="HH36"/>
  <c r="HI36"/>
  <c r="HJ36"/>
  <c r="HK36"/>
  <c r="HL36"/>
  <c r="HM36"/>
  <c r="HN36"/>
  <c r="HO36"/>
  <c r="HP36"/>
  <c r="HQ36"/>
  <c r="HR36"/>
  <c r="HS36"/>
  <c r="HT36"/>
  <c r="HU36"/>
  <c r="HV36"/>
  <c r="HW36"/>
  <c r="HX36"/>
  <c r="HY36"/>
  <c r="HZ36"/>
  <c r="IA36"/>
  <c r="IB36"/>
  <c r="IC36"/>
  <c r="ID36"/>
  <c r="IE36"/>
  <c r="IF36"/>
  <c r="IG36"/>
  <c r="IH36"/>
  <c r="II36"/>
  <c r="IJ36"/>
  <c r="IK36"/>
  <c r="IL36"/>
  <c r="IM36"/>
  <c r="IN36"/>
  <c r="IO36"/>
  <c r="IP36"/>
  <c r="IQ36"/>
  <c r="IR36"/>
  <c r="IS36"/>
  <c r="IT36"/>
  <c r="IU36"/>
  <c r="IV36"/>
  <c r="A35"/>
  <c r="B35"/>
  <c r="C35"/>
  <c r="D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AY35"/>
  <c r="AZ35"/>
  <c r="BA35"/>
  <c r="BB35"/>
  <c r="BC35"/>
  <c r="BD35"/>
  <c r="BE35"/>
  <c r="BF35"/>
  <c r="BG35"/>
  <c r="BH35"/>
  <c r="BI35"/>
  <c r="BJ35"/>
  <c r="BK35"/>
  <c r="BL35"/>
  <c r="BM35"/>
  <c r="BN35"/>
  <c r="BO35"/>
  <c r="BP35"/>
  <c r="BQ35"/>
  <c r="BR35"/>
  <c r="BS35"/>
  <c r="BT35"/>
  <c r="BU35"/>
  <c r="BV35"/>
  <c r="BW35"/>
  <c r="BX35"/>
  <c r="BY35"/>
  <c r="BZ35"/>
  <c r="CA35"/>
  <c r="CB35"/>
  <c r="CC35"/>
  <c r="CD35"/>
  <c r="CE35"/>
  <c r="CF35"/>
  <c r="CG35"/>
  <c r="CH35"/>
  <c r="CI35"/>
  <c r="CJ35"/>
  <c r="CK35"/>
  <c r="CL35"/>
  <c r="CM35"/>
  <c r="CN35"/>
  <c r="CO35"/>
  <c r="CP35"/>
  <c r="CQ35"/>
  <c r="CR35"/>
  <c r="CS35"/>
  <c r="CT35"/>
  <c r="CU35"/>
  <c r="CV35"/>
  <c r="CW35"/>
  <c r="CX35"/>
  <c r="CY35"/>
  <c r="CZ35"/>
  <c r="DA35"/>
  <c r="DB35"/>
  <c r="DC35"/>
  <c r="DD35"/>
  <c r="DE35"/>
  <c r="DF35"/>
  <c r="DG35"/>
  <c r="DH35"/>
  <c r="DI35"/>
  <c r="DJ35"/>
  <c r="DK35"/>
  <c r="DL35"/>
  <c r="DM35"/>
  <c r="DN35"/>
  <c r="DO35"/>
  <c r="DP35"/>
  <c r="DQ35"/>
  <c r="DR35"/>
  <c r="DS35"/>
  <c r="DT35"/>
  <c r="DU35"/>
  <c r="DV35"/>
  <c r="DW35"/>
  <c r="DX35"/>
  <c r="DY35"/>
  <c r="DZ35"/>
  <c r="EA35"/>
  <c r="EB35"/>
  <c r="EC35"/>
  <c r="ED35"/>
  <c r="EE35"/>
  <c r="EF35"/>
  <c r="EG35"/>
  <c r="EH35"/>
  <c r="EI35"/>
  <c r="EJ35"/>
  <c r="EK35"/>
  <c r="EL35"/>
  <c r="EM35"/>
  <c r="EN35"/>
  <c r="EO35"/>
  <c r="EP35"/>
  <c r="EQ35"/>
  <c r="ER35"/>
  <c r="ES35"/>
  <c r="ET35"/>
  <c r="EU35"/>
  <c r="EV35"/>
  <c r="EW35"/>
  <c r="EX35"/>
  <c r="EY35"/>
  <c r="EZ35"/>
  <c r="FA35"/>
  <c r="FB35"/>
  <c r="FC35"/>
  <c r="FD35"/>
  <c r="FE35"/>
  <c r="FF35"/>
  <c r="FG35"/>
  <c r="FH35"/>
  <c r="FI35"/>
  <c r="FJ35"/>
  <c r="FK35"/>
  <c r="FL35"/>
  <c r="FM35"/>
  <c r="FN35"/>
  <c r="FO35"/>
  <c r="FP35"/>
  <c r="FQ35"/>
  <c r="FR35"/>
  <c r="FS35"/>
  <c r="FT35"/>
  <c r="FU35"/>
  <c r="FV35"/>
  <c r="FW35"/>
  <c r="FX35"/>
  <c r="FY35"/>
  <c r="FZ35"/>
  <c r="GA35"/>
  <c r="GB35"/>
  <c r="GC35"/>
  <c r="GD35"/>
  <c r="GE35"/>
  <c r="GF35"/>
  <c r="GG35"/>
  <c r="GH35"/>
  <c r="GI35"/>
  <c r="GJ35"/>
  <c r="GK35"/>
  <c r="GL35"/>
  <c r="GM35"/>
  <c r="GN35"/>
  <c r="GO35"/>
  <c r="GP35"/>
  <c r="GQ35"/>
  <c r="GR35"/>
  <c r="GS35"/>
  <c r="GT35"/>
  <c r="GU35"/>
  <c r="GV35"/>
  <c r="GW35"/>
  <c r="GX35"/>
  <c r="GY35"/>
  <c r="GZ35"/>
  <c r="HA35"/>
  <c r="HB35"/>
  <c r="HC35"/>
  <c r="HD35"/>
  <c r="HE35"/>
  <c r="HF35"/>
  <c r="HG35"/>
  <c r="HH35"/>
  <c r="HI35"/>
  <c r="HJ35"/>
  <c r="HK35"/>
  <c r="HL35"/>
  <c r="HM35"/>
  <c r="HN35"/>
  <c r="HO35"/>
  <c r="HP35"/>
  <c r="HQ35"/>
  <c r="HR35"/>
  <c r="HS35"/>
  <c r="HT35"/>
  <c r="HU35"/>
  <c r="HV35"/>
  <c r="HW35"/>
  <c r="HX35"/>
  <c r="HY35"/>
  <c r="HZ35"/>
  <c r="IA35"/>
  <c r="IB35"/>
  <c r="IC35"/>
  <c r="ID35"/>
  <c r="IE35"/>
  <c r="IF35"/>
  <c r="IG35"/>
  <c r="IH35"/>
  <c r="II35"/>
  <c r="IJ35"/>
  <c r="IK35"/>
  <c r="IL35"/>
  <c r="IM35"/>
  <c r="IN35"/>
  <c r="IO35"/>
  <c r="IP35"/>
  <c r="IQ35"/>
  <c r="IR35"/>
  <c r="IS35"/>
  <c r="IT35"/>
  <c r="IU35"/>
  <c r="IV35"/>
  <c r="A34"/>
  <c r="B34"/>
  <c r="C34"/>
  <c r="D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AZ34"/>
  <c r="BA34"/>
  <c r="BB34"/>
  <c r="BC34"/>
  <c r="BD34"/>
  <c r="BE34"/>
  <c r="BF34"/>
  <c r="BG34"/>
  <c r="BH34"/>
  <c r="BI34"/>
  <c r="BJ34"/>
  <c r="BK34"/>
  <c r="BL34"/>
  <c r="BM34"/>
  <c r="BN34"/>
  <c r="BO34"/>
  <c r="BP34"/>
  <c r="BQ34"/>
  <c r="BR34"/>
  <c r="BS34"/>
  <c r="BT34"/>
  <c r="BU34"/>
  <c r="BV34"/>
  <c r="BW34"/>
  <c r="BX34"/>
  <c r="BY34"/>
  <c r="BZ34"/>
  <c r="CA34"/>
  <c r="CB34"/>
  <c r="CC34"/>
  <c r="CD34"/>
  <c r="CE34"/>
  <c r="CF34"/>
  <c r="CG34"/>
  <c r="CH34"/>
  <c r="CI34"/>
  <c r="CJ34"/>
  <c r="CK34"/>
  <c r="CL34"/>
  <c r="CM34"/>
  <c r="CN34"/>
  <c r="CO34"/>
  <c r="CP34"/>
  <c r="CQ34"/>
  <c r="CR34"/>
  <c r="CS34"/>
  <c r="CT34"/>
  <c r="CU34"/>
  <c r="CV34"/>
  <c r="CW34"/>
  <c r="CX34"/>
  <c r="CY34"/>
  <c r="CZ34"/>
  <c r="DA34"/>
  <c r="DB34"/>
  <c r="DC34"/>
  <c r="DD34"/>
  <c r="DE34"/>
  <c r="DF34"/>
  <c r="DG34"/>
  <c r="DH34"/>
  <c r="DI34"/>
  <c r="DJ34"/>
  <c r="DK34"/>
  <c r="DL34"/>
  <c r="DM34"/>
  <c r="DN34"/>
  <c r="DO34"/>
  <c r="DP34"/>
  <c r="DQ34"/>
  <c r="DR34"/>
  <c r="DS34"/>
  <c r="DT34"/>
  <c r="DU34"/>
  <c r="DV34"/>
  <c r="DW34"/>
  <c r="DX34"/>
  <c r="DY34"/>
  <c r="DZ34"/>
  <c r="EA34"/>
  <c r="EB34"/>
  <c r="EC34"/>
  <c r="ED34"/>
  <c r="EE34"/>
  <c r="EF34"/>
  <c r="EG34"/>
  <c r="EH34"/>
  <c r="EI34"/>
  <c r="EJ34"/>
  <c r="EK34"/>
  <c r="EL34"/>
  <c r="EM34"/>
  <c r="EN34"/>
  <c r="EO34"/>
  <c r="EP34"/>
  <c r="EQ34"/>
  <c r="ER34"/>
  <c r="ES34"/>
  <c r="ET34"/>
  <c r="EU34"/>
  <c r="EV34"/>
  <c r="EW34"/>
  <c r="EX34"/>
  <c r="EY34"/>
  <c r="EZ34"/>
  <c r="FA34"/>
  <c r="FB34"/>
  <c r="FC34"/>
  <c r="FD34"/>
  <c r="FE34"/>
  <c r="FF34"/>
  <c r="FG34"/>
  <c r="FH34"/>
  <c r="FI34"/>
  <c r="FJ34"/>
  <c r="FK34"/>
  <c r="FL34"/>
  <c r="FM34"/>
  <c r="FN34"/>
  <c r="FO34"/>
  <c r="FP34"/>
  <c r="FQ34"/>
  <c r="FR34"/>
  <c r="FS34"/>
  <c r="FT34"/>
  <c r="FU34"/>
  <c r="FV34"/>
  <c r="FW34"/>
  <c r="FX34"/>
  <c r="FY34"/>
  <c r="FZ34"/>
  <c r="GA34"/>
  <c r="GB34"/>
  <c r="GC34"/>
  <c r="GD34"/>
  <c r="GE34"/>
  <c r="GF34"/>
  <c r="GG34"/>
  <c r="GH34"/>
  <c r="GI34"/>
  <c r="GJ34"/>
  <c r="GK34"/>
  <c r="GL34"/>
  <c r="GM34"/>
  <c r="GN34"/>
  <c r="GO34"/>
  <c r="GP34"/>
  <c r="GQ34"/>
  <c r="GR34"/>
  <c r="GS34"/>
  <c r="GT34"/>
  <c r="GU34"/>
  <c r="GV34"/>
  <c r="GW34"/>
  <c r="GX34"/>
  <c r="GY34"/>
  <c r="GZ34"/>
  <c r="HA34"/>
  <c r="HB34"/>
  <c r="HC34"/>
  <c r="HD34"/>
  <c r="HE34"/>
  <c r="HF34"/>
  <c r="HG34"/>
  <c r="HH34"/>
  <c r="HI34"/>
  <c r="HJ34"/>
  <c r="HK34"/>
  <c r="HL34"/>
  <c r="HM34"/>
  <c r="HN34"/>
  <c r="HO34"/>
  <c r="HP34"/>
  <c r="HQ34"/>
  <c r="HR34"/>
  <c r="HS34"/>
  <c r="HT34"/>
  <c r="HU34"/>
  <c r="HV34"/>
  <c r="HW34"/>
  <c r="HX34"/>
  <c r="HY34"/>
  <c r="HZ34"/>
  <c r="IA34"/>
  <c r="IB34"/>
  <c r="IC34"/>
  <c r="ID34"/>
  <c r="IE34"/>
  <c r="IF34"/>
  <c r="IG34"/>
  <c r="IH34"/>
  <c r="II34"/>
  <c r="IJ34"/>
  <c r="IK34"/>
  <c r="IL34"/>
  <c r="IM34"/>
  <c r="IN34"/>
  <c r="IO34"/>
  <c r="IP34"/>
  <c r="IQ34"/>
  <c r="IR34"/>
  <c r="IS34"/>
  <c r="IT34"/>
  <c r="IU34"/>
  <c r="IV34"/>
  <c r="A33"/>
  <c r="B33"/>
  <c r="C33"/>
  <c r="D33"/>
  <c r="E33"/>
  <c r="F33"/>
  <c r="G33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BS33"/>
  <c r="BT33"/>
  <c r="BU33"/>
  <c r="BV33"/>
  <c r="BW33"/>
  <c r="BX33"/>
  <c r="BY33"/>
  <c r="BZ33"/>
  <c r="CA33"/>
  <c r="CB33"/>
  <c r="CC33"/>
  <c r="CD33"/>
  <c r="CE33"/>
  <c r="CF33"/>
  <c r="CG33"/>
  <c r="CH33"/>
  <c r="CI33"/>
  <c r="CJ33"/>
  <c r="CK33"/>
  <c r="CL33"/>
  <c r="CM33"/>
  <c r="CN33"/>
  <c r="CO33"/>
  <c r="CP33"/>
  <c r="CQ33"/>
  <c r="CR33"/>
  <c r="CS33"/>
  <c r="CT33"/>
  <c r="CU33"/>
  <c r="CV33"/>
  <c r="CW33"/>
  <c r="CX33"/>
  <c r="CY33"/>
  <c r="CZ33"/>
  <c r="DA33"/>
  <c r="DB33"/>
  <c r="DC33"/>
  <c r="DD33"/>
  <c r="DE33"/>
  <c r="DF33"/>
  <c r="DG33"/>
  <c r="DH33"/>
  <c r="DI33"/>
  <c r="DJ33"/>
  <c r="DK33"/>
  <c r="DL33"/>
  <c r="DM33"/>
  <c r="DN33"/>
  <c r="DO33"/>
  <c r="DP33"/>
  <c r="DQ33"/>
  <c r="DR33"/>
  <c r="DS33"/>
  <c r="DT33"/>
  <c r="DU33"/>
  <c r="DV33"/>
  <c r="DW33"/>
  <c r="DX33"/>
  <c r="DY33"/>
  <c r="DZ33"/>
  <c r="EA33"/>
  <c r="EB33"/>
  <c r="EC33"/>
  <c r="ED33"/>
  <c r="EE33"/>
  <c r="EF33"/>
  <c r="EG33"/>
  <c r="EH33"/>
  <c r="EI33"/>
  <c r="EJ33"/>
  <c r="EK33"/>
  <c r="EL33"/>
  <c r="EM33"/>
  <c r="EN33"/>
  <c r="EO33"/>
  <c r="EP33"/>
  <c r="EQ33"/>
  <c r="ER33"/>
  <c r="ES33"/>
  <c r="ET33"/>
  <c r="EU33"/>
  <c r="EV33"/>
  <c r="EW33"/>
  <c r="EX33"/>
  <c r="EY33"/>
  <c r="EZ33"/>
  <c r="FA33"/>
  <c r="FB33"/>
  <c r="FC33"/>
  <c r="FD33"/>
  <c r="FE33"/>
  <c r="FF33"/>
  <c r="FG33"/>
  <c r="FH33"/>
  <c r="FI33"/>
  <c r="FJ33"/>
  <c r="FK33"/>
  <c r="FL33"/>
  <c r="FM33"/>
  <c r="FN33"/>
  <c r="FO33"/>
  <c r="FP33"/>
  <c r="FQ33"/>
  <c r="FR33"/>
  <c r="FS33"/>
  <c r="FT33"/>
  <c r="FU33"/>
  <c r="FV33"/>
  <c r="FW33"/>
  <c r="FX33"/>
  <c r="FY33"/>
  <c r="FZ33"/>
  <c r="GA33"/>
  <c r="GB33"/>
  <c r="GC33"/>
  <c r="GD33"/>
  <c r="GE33"/>
  <c r="GF33"/>
  <c r="GG33"/>
  <c r="GH33"/>
  <c r="GI33"/>
  <c r="GJ33"/>
  <c r="GK33"/>
  <c r="GL33"/>
  <c r="GM33"/>
  <c r="GN33"/>
  <c r="GO33"/>
  <c r="GP33"/>
  <c r="GQ33"/>
  <c r="GR33"/>
  <c r="GS33"/>
  <c r="GT33"/>
  <c r="GU33"/>
  <c r="GV33"/>
  <c r="GW33"/>
  <c r="GX33"/>
  <c r="GY33"/>
  <c r="GZ33"/>
  <c r="HA33"/>
  <c r="HB33"/>
  <c r="HC33"/>
  <c r="HD33"/>
  <c r="HE33"/>
  <c r="HF33"/>
  <c r="HG33"/>
  <c r="HH33"/>
  <c r="HI33"/>
  <c r="HJ33"/>
  <c r="HK33"/>
  <c r="HL33"/>
  <c r="HM33"/>
  <c r="HN33"/>
  <c r="HO33"/>
  <c r="HP33"/>
  <c r="HQ33"/>
  <c r="HR33"/>
  <c r="HS33"/>
  <c r="HT33"/>
  <c r="HU33"/>
  <c r="HV33"/>
  <c r="HW33"/>
  <c r="HX33"/>
  <c r="HY33"/>
  <c r="HZ33"/>
  <c r="IA33"/>
  <c r="IB33"/>
  <c r="IC33"/>
  <c r="ID33"/>
  <c r="IE33"/>
  <c r="IF33"/>
  <c r="IG33"/>
  <c r="IH33"/>
  <c r="II33"/>
  <c r="IJ33"/>
  <c r="IK33"/>
  <c r="IL33"/>
  <c r="IM33"/>
  <c r="IN33"/>
  <c r="IO33"/>
  <c r="IP33"/>
  <c r="IQ33"/>
  <c r="IR33"/>
  <c r="IS33"/>
  <c r="IT33"/>
  <c r="IU33"/>
  <c r="IV33"/>
  <c r="A32"/>
  <c r="B32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AZ32"/>
  <c r="BA32"/>
  <c r="BB32"/>
  <c r="BC32"/>
  <c r="BD32"/>
  <c r="BE32"/>
  <c r="BF32"/>
  <c r="BG32"/>
  <c r="BH32"/>
  <c r="BI32"/>
  <c r="BJ32"/>
  <c r="BK32"/>
  <c r="BL32"/>
  <c r="BM32"/>
  <c r="BN32"/>
  <c r="BO32"/>
  <c r="BP32"/>
  <c r="BQ32"/>
  <c r="BR32"/>
  <c r="BS32"/>
  <c r="BT32"/>
  <c r="BU32"/>
  <c r="BV32"/>
  <c r="BW32"/>
  <c r="BX32"/>
  <c r="BY32"/>
  <c r="BZ32"/>
  <c r="CA32"/>
  <c r="CB32"/>
  <c r="CC32"/>
  <c r="CD32"/>
  <c r="CE32"/>
  <c r="CF32"/>
  <c r="CG32"/>
  <c r="CH32"/>
  <c r="CI32"/>
  <c r="CJ32"/>
  <c r="CK32"/>
  <c r="CL32"/>
  <c r="CM32"/>
  <c r="CN32"/>
  <c r="CO32"/>
  <c r="CP32"/>
  <c r="CQ32"/>
  <c r="CR32"/>
  <c r="CS32"/>
  <c r="CT32"/>
  <c r="CU32"/>
  <c r="CV32"/>
  <c r="CW32"/>
  <c r="CX32"/>
  <c r="CY32"/>
  <c r="CZ32"/>
  <c r="DA32"/>
  <c r="DB32"/>
  <c r="DC32"/>
  <c r="DD32"/>
  <c r="DE32"/>
  <c r="DF32"/>
  <c r="DG32"/>
  <c r="DH32"/>
  <c r="DI32"/>
  <c r="DJ32"/>
  <c r="DK32"/>
  <c r="DL32"/>
  <c r="DM32"/>
  <c r="DN32"/>
  <c r="DO32"/>
  <c r="DP32"/>
  <c r="DQ32"/>
  <c r="DR32"/>
  <c r="DS32"/>
  <c r="DT32"/>
  <c r="DU32"/>
  <c r="DV32"/>
  <c r="DW32"/>
  <c r="DX32"/>
  <c r="DY32"/>
  <c r="DZ32"/>
  <c r="EA32"/>
  <c r="EB32"/>
  <c r="EC32"/>
  <c r="ED32"/>
  <c r="EE32"/>
  <c r="EF32"/>
  <c r="EG32"/>
  <c r="EH32"/>
  <c r="EI32"/>
  <c r="EJ32"/>
  <c r="EK32"/>
  <c r="EL32"/>
  <c r="EM32"/>
  <c r="EN32"/>
  <c r="EO32"/>
  <c r="EP32"/>
  <c r="EQ32"/>
  <c r="ER32"/>
  <c r="ES32"/>
  <c r="ET32"/>
  <c r="EU32"/>
  <c r="EV32"/>
  <c r="EW32"/>
  <c r="EX32"/>
  <c r="EY32"/>
  <c r="EZ32"/>
  <c r="FA32"/>
  <c r="FB32"/>
  <c r="FC32"/>
  <c r="FD32"/>
  <c r="FE32"/>
  <c r="FF32"/>
  <c r="FG32"/>
  <c r="FH32"/>
  <c r="FI32"/>
  <c r="FJ32"/>
  <c r="FK32"/>
  <c r="FL32"/>
  <c r="FM32"/>
  <c r="FN32"/>
  <c r="FO32"/>
  <c r="FP32"/>
  <c r="FQ32"/>
  <c r="FR32"/>
  <c r="FS32"/>
  <c r="FT32"/>
  <c r="FU32"/>
  <c r="FV32"/>
  <c r="FW32"/>
  <c r="FX32"/>
  <c r="FY32"/>
  <c r="FZ32"/>
  <c r="GA32"/>
  <c r="GB32"/>
  <c r="GC32"/>
  <c r="GD32"/>
  <c r="GE32"/>
  <c r="GF32"/>
  <c r="GG32"/>
  <c r="GH32"/>
  <c r="GI32"/>
  <c r="GJ32"/>
  <c r="GK32"/>
  <c r="GL32"/>
  <c r="GM32"/>
  <c r="GN32"/>
  <c r="GO32"/>
  <c r="GP32"/>
  <c r="GQ32"/>
  <c r="GR32"/>
  <c r="GS32"/>
  <c r="GT32"/>
  <c r="GU32"/>
  <c r="GV32"/>
  <c r="GW32"/>
  <c r="GX32"/>
  <c r="GY32"/>
  <c r="GZ32"/>
  <c r="HA32"/>
  <c r="HB32"/>
  <c r="HC32"/>
  <c r="HD32"/>
  <c r="HE32"/>
  <c r="HF32"/>
  <c r="HG32"/>
  <c r="HH32"/>
  <c r="HI32"/>
  <c r="HJ32"/>
  <c r="HK32"/>
  <c r="HL32"/>
  <c r="HM32"/>
  <c r="HN32"/>
  <c r="HO32"/>
  <c r="HP32"/>
  <c r="HQ32"/>
  <c r="HR32"/>
  <c r="HS32"/>
  <c r="HT32"/>
  <c r="HU32"/>
  <c r="HV32"/>
  <c r="HW32"/>
  <c r="HX32"/>
  <c r="HY32"/>
  <c r="HZ32"/>
  <c r="IA32"/>
  <c r="IB32"/>
  <c r="IC32"/>
  <c r="ID32"/>
  <c r="IE32"/>
  <c r="IF32"/>
  <c r="IG32"/>
  <c r="IH32"/>
  <c r="II32"/>
  <c r="IJ32"/>
  <c r="IK32"/>
  <c r="IL32"/>
  <c r="IM32"/>
  <c r="IN32"/>
  <c r="IO32"/>
  <c r="IP32"/>
  <c r="IQ32"/>
  <c r="IR32"/>
  <c r="IS32"/>
  <c r="IT32"/>
  <c r="IU32"/>
  <c r="IV32"/>
  <c r="A31"/>
  <c r="B31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AR31"/>
  <c r="AS31"/>
  <c r="AT31"/>
  <c r="AU31"/>
  <c r="AV31"/>
  <c r="AW31"/>
  <c r="AX31"/>
  <c r="AY31"/>
  <c r="AZ31"/>
  <c r="BA31"/>
  <c r="BB31"/>
  <c r="BC31"/>
  <c r="BD31"/>
  <c r="BE31"/>
  <c r="BF31"/>
  <c r="BG31"/>
  <c r="BH31"/>
  <c r="BI31"/>
  <c r="BJ31"/>
  <c r="BK31"/>
  <c r="BL31"/>
  <c r="BM31"/>
  <c r="BN31"/>
  <c r="BO31"/>
  <c r="BP31"/>
  <c r="BQ31"/>
  <c r="BR31"/>
  <c r="BS31"/>
  <c r="BT31"/>
  <c r="BU31"/>
  <c r="BV31"/>
  <c r="BW31"/>
  <c r="BX31"/>
  <c r="BY31"/>
  <c r="BZ31"/>
  <c r="CA31"/>
  <c r="CB31"/>
  <c r="CC31"/>
  <c r="CD31"/>
  <c r="CE31"/>
  <c r="CF31"/>
  <c r="CG31"/>
  <c r="CH31"/>
  <c r="CI31"/>
  <c r="CJ31"/>
  <c r="CK31"/>
  <c r="CL31"/>
  <c r="CM31"/>
  <c r="CN31"/>
  <c r="CO31"/>
  <c r="CP31"/>
  <c r="CQ31"/>
  <c r="CR31"/>
  <c r="CS31"/>
  <c r="CT31"/>
  <c r="CU31"/>
  <c r="CV31"/>
  <c r="CW31"/>
  <c r="CX31"/>
  <c r="CY31"/>
  <c r="CZ31"/>
  <c r="DA31"/>
  <c r="DB31"/>
  <c r="DC31"/>
  <c r="DD31"/>
  <c r="DE31"/>
  <c r="DF31"/>
  <c r="DG31"/>
  <c r="DH31"/>
  <c r="DI31"/>
  <c r="DJ31"/>
  <c r="DK31"/>
  <c r="DL31"/>
  <c r="DM31"/>
  <c r="DN31"/>
  <c r="DO31"/>
  <c r="DP31"/>
  <c r="DQ31"/>
  <c r="DR31"/>
  <c r="DS31"/>
  <c r="DT31"/>
  <c r="DU31"/>
  <c r="DV31"/>
  <c r="DW31"/>
  <c r="DX31"/>
  <c r="DY31"/>
  <c r="DZ31"/>
  <c r="EA31"/>
  <c r="EB31"/>
  <c r="EC31"/>
  <c r="ED31"/>
  <c r="EE31"/>
  <c r="EF31"/>
  <c r="EG31"/>
  <c r="EH31"/>
  <c r="EI31"/>
  <c r="EJ31"/>
  <c r="EK31"/>
  <c r="EL31"/>
  <c r="EM31"/>
  <c r="EN31"/>
  <c r="EO31"/>
  <c r="EP31"/>
  <c r="EQ31"/>
  <c r="ER31"/>
  <c r="ES31"/>
  <c r="ET31"/>
  <c r="EU31"/>
  <c r="EV31"/>
  <c r="EW31"/>
  <c r="EX31"/>
  <c r="EY31"/>
  <c r="EZ31"/>
  <c r="FA31"/>
  <c r="FB31"/>
  <c r="FC31"/>
  <c r="FD31"/>
  <c r="FE31"/>
  <c r="FF31"/>
  <c r="FG31"/>
  <c r="FH31"/>
  <c r="FI31"/>
  <c r="FJ31"/>
  <c r="FK31"/>
  <c r="FL31"/>
  <c r="FM31"/>
  <c r="FN31"/>
  <c r="FO31"/>
  <c r="FP31"/>
  <c r="FQ31"/>
  <c r="FR31"/>
  <c r="FS31"/>
  <c r="FT31"/>
  <c r="FU31"/>
  <c r="FV31"/>
  <c r="FW31"/>
  <c r="FX31"/>
  <c r="FY31"/>
  <c r="FZ31"/>
  <c r="GA31"/>
  <c r="GB31"/>
  <c r="GC31"/>
  <c r="GD31"/>
  <c r="GE31"/>
  <c r="GF31"/>
  <c r="GG31"/>
  <c r="GH31"/>
  <c r="GI31"/>
  <c r="GJ31"/>
  <c r="GK31"/>
  <c r="GL31"/>
  <c r="GM31"/>
  <c r="GN31"/>
  <c r="GO31"/>
  <c r="GP31"/>
  <c r="GQ31"/>
  <c r="GR31"/>
  <c r="GS31"/>
  <c r="GT31"/>
  <c r="GU31"/>
  <c r="GV31"/>
  <c r="GW31"/>
  <c r="GX31"/>
  <c r="GY31"/>
  <c r="GZ31"/>
  <c r="HA31"/>
  <c r="HB31"/>
  <c r="HC31"/>
  <c r="HD31"/>
  <c r="HE31"/>
  <c r="HF31"/>
  <c r="HG31"/>
  <c r="HH31"/>
  <c r="HI31"/>
  <c r="HJ31"/>
  <c r="HK31"/>
  <c r="HL31"/>
  <c r="HM31"/>
  <c r="HN31"/>
  <c r="HO31"/>
  <c r="HP31"/>
  <c r="HQ31"/>
  <c r="HR31"/>
  <c r="HS31"/>
  <c r="HT31"/>
  <c r="HU31"/>
  <c r="HV31"/>
  <c r="HW31"/>
  <c r="HX31"/>
  <c r="HY31"/>
  <c r="HZ31"/>
  <c r="IA31"/>
  <c r="IB31"/>
  <c r="IC31"/>
  <c r="ID31"/>
  <c r="IE31"/>
  <c r="IF31"/>
  <c r="IG31"/>
  <c r="IH31"/>
  <c r="II31"/>
  <c r="IJ31"/>
  <c r="IK31"/>
  <c r="IL31"/>
  <c r="IM31"/>
  <c r="IN31"/>
  <c r="IO31"/>
  <c r="IP31"/>
  <c r="IQ31"/>
  <c r="IR31"/>
  <c r="IS31"/>
  <c r="IT31"/>
  <c r="IU31"/>
  <c r="IV31"/>
  <c r="A30"/>
  <c r="B30"/>
  <c r="C30"/>
  <c r="D30"/>
  <c r="E30"/>
  <c r="F30"/>
  <c r="G30"/>
  <c r="H30"/>
  <c r="I30"/>
  <c r="J30"/>
  <c r="K30"/>
  <c r="L30"/>
  <c r="M30"/>
  <c r="N30"/>
  <c r="O30"/>
  <c r="P30"/>
  <c r="Q30"/>
  <c r="R30"/>
  <c r="S30"/>
  <c r="T30"/>
  <c r="U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AR30"/>
  <c r="AS30"/>
  <c r="AT30"/>
  <c r="AU30"/>
  <c r="AV30"/>
  <c r="AW30"/>
  <c r="AX30"/>
  <c r="AY30"/>
  <c r="AZ30"/>
  <c r="BA30"/>
  <c r="BB30"/>
  <c r="BC30"/>
  <c r="BD30"/>
  <c r="BE30"/>
  <c r="BF30"/>
  <c r="BG30"/>
  <c r="BH30"/>
  <c r="BI30"/>
  <c r="BJ30"/>
  <c r="BK30"/>
  <c r="BL30"/>
  <c r="BM30"/>
  <c r="BN30"/>
  <c r="BO30"/>
  <c r="BP30"/>
  <c r="BQ30"/>
  <c r="BR30"/>
  <c r="BS30"/>
  <c r="BT30"/>
  <c r="BU30"/>
  <c r="BV30"/>
  <c r="BW30"/>
  <c r="BX30"/>
  <c r="BY30"/>
  <c r="BZ30"/>
  <c r="CA30"/>
  <c r="CB30"/>
  <c r="CC30"/>
  <c r="CD30"/>
  <c r="CE30"/>
  <c r="CF30"/>
  <c r="CG30"/>
  <c r="CH30"/>
  <c r="CI30"/>
  <c r="CJ30"/>
  <c r="CK30"/>
  <c r="CL30"/>
  <c r="CM30"/>
  <c r="CN30"/>
  <c r="CO30"/>
  <c r="CP30"/>
  <c r="CQ30"/>
  <c r="CR30"/>
  <c r="CS30"/>
  <c r="CT30"/>
  <c r="CU30"/>
  <c r="CV30"/>
  <c r="CW30"/>
  <c r="CX30"/>
  <c r="CY30"/>
  <c r="CZ30"/>
  <c r="DA30"/>
  <c r="DB30"/>
  <c r="DC30"/>
  <c r="DD30"/>
  <c r="DE30"/>
  <c r="DF30"/>
  <c r="DG30"/>
  <c r="DH30"/>
  <c r="DI30"/>
  <c r="DJ30"/>
  <c r="DK30"/>
  <c r="DL30"/>
  <c r="DM30"/>
  <c r="DN30"/>
  <c r="DO30"/>
  <c r="DP30"/>
  <c r="DQ30"/>
  <c r="DR30"/>
  <c r="DS30"/>
  <c r="DT30"/>
  <c r="DU30"/>
  <c r="DV30"/>
  <c r="DW30"/>
  <c r="DX30"/>
  <c r="DY30"/>
  <c r="DZ30"/>
  <c r="EA30"/>
  <c r="EB30"/>
  <c r="EC30"/>
  <c r="ED30"/>
  <c r="EE30"/>
  <c r="EF30"/>
  <c r="EG30"/>
  <c r="EH30"/>
  <c r="EI30"/>
  <c r="EJ30"/>
  <c r="EK30"/>
  <c r="EL30"/>
  <c r="EM30"/>
  <c r="EN30"/>
  <c r="EO30"/>
  <c r="EP30"/>
  <c r="EQ30"/>
  <c r="ER30"/>
  <c r="ES30"/>
  <c r="ET30"/>
  <c r="EU30"/>
  <c r="EV30"/>
  <c r="EW30"/>
  <c r="EX30"/>
  <c r="EY30"/>
  <c r="EZ30"/>
  <c r="FA30"/>
  <c r="FB30"/>
  <c r="FC30"/>
  <c r="FD30"/>
  <c r="FE30"/>
  <c r="FF30"/>
  <c r="FG30"/>
  <c r="FH30"/>
  <c r="FI30"/>
  <c r="FJ30"/>
  <c r="FK30"/>
  <c r="FL30"/>
  <c r="FM30"/>
  <c r="FN30"/>
  <c r="FO30"/>
  <c r="FP30"/>
  <c r="FQ30"/>
  <c r="FR30"/>
  <c r="FS30"/>
  <c r="FT30"/>
  <c r="FU30"/>
  <c r="FV30"/>
  <c r="FW30"/>
  <c r="FX30"/>
  <c r="FY30"/>
  <c r="FZ30"/>
  <c r="GA30"/>
  <c r="GB30"/>
  <c r="GC30"/>
  <c r="GD30"/>
  <c r="GE30"/>
  <c r="GF30"/>
  <c r="GG30"/>
  <c r="GH30"/>
  <c r="GI30"/>
  <c r="GJ30"/>
  <c r="GK30"/>
  <c r="GL30"/>
  <c r="GM30"/>
  <c r="GN30"/>
  <c r="GO30"/>
  <c r="GP30"/>
  <c r="GQ30"/>
  <c r="GR30"/>
  <c r="GS30"/>
  <c r="GT30"/>
  <c r="GU30"/>
  <c r="GV30"/>
  <c r="GW30"/>
  <c r="GX30"/>
  <c r="GY30"/>
  <c r="GZ30"/>
  <c r="HA30"/>
  <c r="HB30"/>
  <c r="HC30"/>
  <c r="HD30"/>
  <c r="HE30"/>
  <c r="HF30"/>
  <c r="HG30"/>
  <c r="HH30"/>
  <c r="HI30"/>
  <c r="HJ30"/>
  <c r="HK30"/>
  <c r="HL30"/>
  <c r="HM30"/>
  <c r="HN30"/>
  <c r="HO30"/>
  <c r="HP30"/>
  <c r="HQ30"/>
  <c r="HR30"/>
  <c r="HS30"/>
  <c r="HT30"/>
  <c r="HU30"/>
  <c r="HV30"/>
  <c r="HW30"/>
  <c r="HX30"/>
  <c r="HY30"/>
  <c r="HZ30"/>
  <c r="IA30"/>
  <c r="IB30"/>
  <c r="IC30"/>
  <c r="ID30"/>
  <c r="IE30"/>
  <c r="IF30"/>
  <c r="IG30"/>
  <c r="IH30"/>
  <c r="II30"/>
  <c r="IJ30"/>
  <c r="IK30"/>
  <c r="IL30"/>
  <c r="IM30"/>
  <c r="IN30"/>
  <c r="IO30"/>
  <c r="IP30"/>
  <c r="IQ30"/>
  <c r="IR30"/>
  <c r="IS30"/>
  <c r="IT30"/>
  <c r="IU30"/>
  <c r="IV30"/>
  <c r="A29"/>
  <c r="B29"/>
  <c r="C29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AZ29"/>
  <c r="BA29"/>
  <c r="BB29"/>
  <c r="BC29"/>
  <c r="BD29"/>
  <c r="BE29"/>
  <c r="BF29"/>
  <c r="BG29"/>
  <c r="BH29"/>
  <c r="BI29"/>
  <c r="BJ29"/>
  <c r="BK29"/>
  <c r="BL29"/>
  <c r="BM29"/>
  <c r="BN29"/>
  <c r="BO29"/>
  <c r="BP29"/>
  <c r="BQ29"/>
  <c r="BR29"/>
  <c r="BS29"/>
  <c r="BT29"/>
  <c r="BU29"/>
  <c r="BV29"/>
  <c r="BW29"/>
  <c r="BX29"/>
  <c r="BY29"/>
  <c r="BZ29"/>
  <c r="CA29"/>
  <c r="CB29"/>
  <c r="CC29"/>
  <c r="CD29"/>
  <c r="CE29"/>
  <c r="CF29"/>
  <c r="CG29"/>
  <c r="CH29"/>
  <c r="CI29"/>
  <c r="CJ29"/>
  <c r="CK29"/>
  <c r="CL29"/>
  <c r="CM29"/>
  <c r="CN29"/>
  <c r="CO29"/>
  <c r="CP29"/>
  <c r="CQ29"/>
  <c r="CR29"/>
  <c r="CS29"/>
  <c r="CT29"/>
  <c r="CU29"/>
  <c r="CV29"/>
  <c r="CW29"/>
  <c r="CX29"/>
  <c r="CY29"/>
  <c r="CZ29"/>
  <c r="DA29"/>
  <c r="DB29"/>
  <c r="DC29"/>
  <c r="DD29"/>
  <c r="DE29"/>
  <c r="DF29"/>
  <c r="DG29"/>
  <c r="DH29"/>
  <c r="DI29"/>
  <c r="DJ29"/>
  <c r="DK29"/>
  <c r="DL29"/>
  <c r="DM29"/>
  <c r="DN29"/>
  <c r="DO29"/>
  <c r="DP29"/>
  <c r="DQ29"/>
  <c r="DR29"/>
  <c r="DS29"/>
  <c r="DT29"/>
  <c r="DU29"/>
  <c r="DV29"/>
  <c r="DW29"/>
  <c r="DX29"/>
  <c r="DY29"/>
  <c r="DZ29"/>
  <c r="EA29"/>
  <c r="EB29"/>
  <c r="EC29"/>
  <c r="ED29"/>
  <c r="EE29"/>
  <c r="EF29"/>
  <c r="EG29"/>
  <c r="EH29"/>
  <c r="EI29"/>
  <c r="EJ29"/>
  <c r="EK29"/>
  <c r="EL29"/>
  <c r="EM29"/>
  <c r="EN29"/>
  <c r="EO29"/>
  <c r="EP29"/>
  <c r="EQ29"/>
  <c r="ER29"/>
  <c r="ES29"/>
  <c r="ET29"/>
  <c r="EU29"/>
  <c r="EV29"/>
  <c r="EW29"/>
  <c r="EX29"/>
  <c r="EY29"/>
  <c r="EZ29"/>
  <c r="FA29"/>
  <c r="FB29"/>
  <c r="FC29"/>
  <c r="FD29"/>
  <c r="FE29"/>
  <c r="FF29"/>
  <c r="FG29"/>
  <c r="FH29"/>
  <c r="FI29"/>
  <c r="FJ29"/>
  <c r="FK29"/>
  <c r="FL29"/>
  <c r="FM29"/>
  <c r="FN29"/>
  <c r="FO29"/>
  <c r="FP29"/>
  <c r="FQ29"/>
  <c r="FR29"/>
  <c r="FS29"/>
  <c r="FT29"/>
  <c r="FU29"/>
  <c r="FV29"/>
  <c r="FW29"/>
  <c r="FX29"/>
  <c r="FY29"/>
  <c r="FZ29"/>
  <c r="GA29"/>
  <c r="GB29"/>
  <c r="GC29"/>
  <c r="GD29"/>
  <c r="GE29"/>
  <c r="GF29"/>
  <c r="GG29"/>
  <c r="GH29"/>
  <c r="GI29"/>
  <c r="GJ29"/>
  <c r="GK29"/>
  <c r="GL29"/>
  <c r="GM29"/>
  <c r="GN29"/>
  <c r="GO29"/>
  <c r="GP29"/>
  <c r="GQ29"/>
  <c r="GR29"/>
  <c r="GS29"/>
  <c r="GT29"/>
  <c r="GU29"/>
  <c r="GV29"/>
  <c r="GW29"/>
  <c r="GX29"/>
  <c r="GY29"/>
  <c r="GZ29"/>
  <c r="HA29"/>
  <c r="HB29"/>
  <c r="HC29"/>
  <c r="HD29"/>
  <c r="HE29"/>
  <c r="HF29"/>
  <c r="HG29"/>
  <c r="HH29"/>
  <c r="HI29"/>
  <c r="HJ29"/>
  <c r="HK29"/>
  <c r="HL29"/>
  <c r="HM29"/>
  <c r="HN29"/>
  <c r="HO29"/>
  <c r="HP29"/>
  <c r="HQ29"/>
  <c r="HR29"/>
  <c r="HS29"/>
  <c r="HT29"/>
  <c r="HU29"/>
  <c r="HV29"/>
  <c r="HW29"/>
  <c r="HX29"/>
  <c r="HY29"/>
  <c r="HZ29"/>
  <c r="IA29"/>
  <c r="IB29"/>
  <c r="IC29"/>
  <c r="ID29"/>
  <c r="IE29"/>
  <c r="IF29"/>
  <c r="IG29"/>
  <c r="IH29"/>
  <c r="II29"/>
  <c r="IJ29"/>
  <c r="IK29"/>
  <c r="IL29"/>
  <c r="IM29"/>
  <c r="IN29"/>
  <c r="IO29"/>
  <c r="IP29"/>
  <c r="IQ29"/>
  <c r="IR29"/>
  <c r="IS29"/>
  <c r="IT29"/>
  <c r="IU29"/>
  <c r="IV29"/>
  <c r="A28"/>
  <c r="B28"/>
  <c r="C28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AR28"/>
  <c r="AS28"/>
  <c r="AT28"/>
  <c r="AU28"/>
  <c r="AV28"/>
  <c r="AW28"/>
  <c r="AX28"/>
  <c r="AY28"/>
  <c r="AZ28"/>
  <c r="BA28"/>
  <c r="BB28"/>
  <c r="BC28"/>
  <c r="BD28"/>
  <c r="BE28"/>
  <c r="BF28"/>
  <c r="BG28"/>
  <c r="BH28"/>
  <c r="BI28"/>
  <c r="BJ28"/>
  <c r="BK28"/>
  <c r="BL28"/>
  <c r="BM28"/>
  <c r="BN28"/>
  <c r="BO28"/>
  <c r="BP28"/>
  <c r="BQ28"/>
  <c r="BR28"/>
  <c r="BS28"/>
  <c r="BT28"/>
  <c r="BU28"/>
  <c r="BV28"/>
  <c r="BW28"/>
  <c r="BX28"/>
  <c r="BY28"/>
  <c r="BZ28"/>
  <c r="CA28"/>
  <c r="CB28"/>
  <c r="CC28"/>
  <c r="CD28"/>
  <c r="CE28"/>
  <c r="CF28"/>
  <c r="CG28"/>
  <c r="CH28"/>
  <c r="CI28"/>
  <c r="CJ28"/>
  <c r="CK28"/>
  <c r="CL28"/>
  <c r="CM28"/>
  <c r="CN28"/>
  <c r="CO28"/>
  <c r="CP28"/>
  <c r="CQ28"/>
  <c r="CR28"/>
  <c r="CS28"/>
  <c r="CT28"/>
  <c r="CU28"/>
  <c r="CV28"/>
  <c r="CW28"/>
  <c r="CX28"/>
  <c r="CY28"/>
  <c r="CZ28"/>
  <c r="DA28"/>
  <c r="DB28"/>
  <c r="DC28"/>
  <c r="DD28"/>
  <c r="DE28"/>
  <c r="DF28"/>
  <c r="DG28"/>
  <c r="DH28"/>
  <c r="DI28"/>
  <c r="DJ28"/>
  <c r="DK28"/>
  <c r="DL28"/>
  <c r="DM28"/>
  <c r="DN28"/>
  <c r="DO28"/>
  <c r="DP28"/>
  <c r="DQ28"/>
  <c r="DR28"/>
  <c r="DS28"/>
  <c r="DT28"/>
  <c r="DU28"/>
  <c r="DV28"/>
  <c r="DW28"/>
  <c r="DX28"/>
  <c r="DY28"/>
  <c r="DZ28"/>
  <c r="EA28"/>
  <c r="EB28"/>
  <c r="EC28"/>
  <c r="ED28"/>
  <c r="EE28"/>
  <c r="EF28"/>
  <c r="EG28"/>
  <c r="EH28"/>
  <c r="EI28"/>
  <c r="EJ28"/>
  <c r="EK28"/>
  <c r="EL28"/>
  <c r="EM28"/>
  <c r="EN28"/>
  <c r="EO28"/>
  <c r="EP28"/>
  <c r="EQ28"/>
  <c r="ER28"/>
  <c r="ES28"/>
  <c r="ET28"/>
  <c r="EU28"/>
  <c r="EV28"/>
  <c r="EW28"/>
  <c r="EX28"/>
  <c r="EY28"/>
  <c r="EZ28"/>
  <c r="FA28"/>
  <c r="FB28"/>
  <c r="FC28"/>
  <c r="FD28"/>
  <c r="FE28"/>
  <c r="FF28"/>
  <c r="FG28"/>
  <c r="FH28"/>
  <c r="FI28"/>
  <c r="FJ28"/>
  <c r="FK28"/>
  <c r="FL28"/>
  <c r="FM28"/>
  <c r="FN28"/>
  <c r="FO28"/>
  <c r="FP28"/>
  <c r="FQ28"/>
  <c r="FR28"/>
  <c r="FS28"/>
  <c r="FT28"/>
  <c r="FU28"/>
  <c r="FV28"/>
  <c r="FW28"/>
  <c r="FX28"/>
  <c r="FY28"/>
  <c r="FZ28"/>
  <c r="GA28"/>
  <c r="GB28"/>
  <c r="GC28"/>
  <c r="GD28"/>
  <c r="GE28"/>
  <c r="GF28"/>
  <c r="GG28"/>
  <c r="GH28"/>
  <c r="GI28"/>
  <c r="GJ28"/>
  <c r="GK28"/>
  <c r="GL28"/>
  <c r="GM28"/>
  <c r="GN28"/>
  <c r="GO28"/>
  <c r="GP28"/>
  <c r="GQ28"/>
  <c r="GR28"/>
  <c r="GS28"/>
  <c r="GT28"/>
  <c r="GU28"/>
  <c r="GV28"/>
  <c r="GW28"/>
  <c r="GX28"/>
  <c r="GY28"/>
  <c r="GZ28"/>
  <c r="HA28"/>
  <c r="HB28"/>
  <c r="HC28"/>
  <c r="HD28"/>
  <c r="HE28"/>
  <c r="HF28"/>
  <c r="HG28"/>
  <c r="HH28"/>
  <c r="HI28"/>
  <c r="HJ28"/>
  <c r="HK28"/>
  <c r="HL28"/>
  <c r="HM28"/>
  <c r="HN28"/>
  <c r="HO28"/>
  <c r="HP28"/>
  <c r="HQ28"/>
  <c r="HR28"/>
  <c r="HS28"/>
  <c r="HT28"/>
  <c r="HU28"/>
  <c r="HV28"/>
  <c r="HW28"/>
  <c r="HX28"/>
  <c r="HY28"/>
  <c r="HZ28"/>
  <c r="IA28"/>
  <c r="IB28"/>
  <c r="IC28"/>
  <c r="ID28"/>
  <c r="IE28"/>
  <c r="IF28"/>
  <c r="IG28"/>
  <c r="IH28"/>
  <c r="II28"/>
  <c r="IJ28"/>
  <c r="IK28"/>
  <c r="IL28"/>
  <c r="IM28"/>
  <c r="IN28"/>
  <c r="IO28"/>
  <c r="IP28"/>
  <c r="IQ28"/>
  <c r="IR28"/>
  <c r="IS28"/>
  <c r="IT28"/>
  <c r="IU28"/>
  <c r="IV28"/>
  <c r="A27"/>
  <c r="B27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AY27"/>
  <c r="AZ27"/>
  <c r="BA27"/>
  <c r="BB27"/>
  <c r="BC27"/>
  <c r="BD27"/>
  <c r="BE27"/>
  <c r="BF27"/>
  <c r="BG27"/>
  <c r="BH27"/>
  <c r="BI27"/>
  <c r="BJ27"/>
  <c r="BK27"/>
  <c r="BL27"/>
  <c r="BM27"/>
  <c r="BN27"/>
  <c r="BO27"/>
  <c r="BP27"/>
  <c r="BQ27"/>
  <c r="BR27"/>
  <c r="BS27"/>
  <c r="BT27"/>
  <c r="BU27"/>
  <c r="BV27"/>
  <c r="BW27"/>
  <c r="BX27"/>
  <c r="BY27"/>
  <c r="BZ27"/>
  <c r="CA27"/>
  <c r="CB27"/>
  <c r="CC27"/>
  <c r="CD27"/>
  <c r="CE27"/>
  <c r="CF27"/>
  <c r="CG27"/>
  <c r="CH27"/>
  <c r="CI27"/>
  <c r="CJ27"/>
  <c r="CK27"/>
  <c r="CL27"/>
  <c r="CM27"/>
  <c r="CN27"/>
  <c r="CO27"/>
  <c r="CP27"/>
  <c r="CQ27"/>
  <c r="CR27"/>
  <c r="CS27"/>
  <c r="CT27"/>
  <c r="CU27"/>
  <c r="CV27"/>
  <c r="CW27"/>
  <c r="CX27"/>
  <c r="CY27"/>
  <c r="CZ27"/>
  <c r="DA27"/>
  <c r="DB27"/>
  <c r="DC27"/>
  <c r="DD27"/>
  <c r="DE27"/>
  <c r="DF27"/>
  <c r="DG27"/>
  <c r="DH27"/>
  <c r="DI27"/>
  <c r="DJ27"/>
  <c r="DK27"/>
  <c r="DL27"/>
  <c r="DM27"/>
  <c r="DN27"/>
  <c r="DO27"/>
  <c r="DP27"/>
  <c r="DQ27"/>
  <c r="DR27"/>
  <c r="DS27"/>
  <c r="DT27"/>
  <c r="DU27"/>
  <c r="DV27"/>
  <c r="DW27"/>
  <c r="DX27"/>
  <c r="DY27"/>
  <c r="DZ27"/>
  <c r="EA27"/>
  <c r="EB27"/>
  <c r="EC27"/>
  <c r="ED27"/>
  <c r="EE27"/>
  <c r="EF27"/>
  <c r="EG27"/>
  <c r="EH27"/>
  <c r="EI27"/>
  <c r="EJ27"/>
  <c r="EK27"/>
  <c r="EL27"/>
  <c r="EM27"/>
  <c r="EN27"/>
  <c r="EO27"/>
  <c r="EP27"/>
  <c r="EQ27"/>
  <c r="ER27"/>
  <c r="ES27"/>
  <c r="ET27"/>
  <c r="EU27"/>
  <c r="EV27"/>
  <c r="EW27"/>
  <c r="EX27"/>
  <c r="EY27"/>
  <c r="EZ27"/>
  <c r="FA27"/>
  <c r="FB27"/>
  <c r="FC27"/>
  <c r="FD27"/>
  <c r="FE27"/>
  <c r="FF27"/>
  <c r="FG27"/>
  <c r="FH27"/>
  <c r="FI27"/>
  <c r="FJ27"/>
  <c r="FK27"/>
  <c r="FL27"/>
  <c r="FM27"/>
  <c r="FN27"/>
  <c r="FO27"/>
  <c r="FP27"/>
  <c r="FQ27"/>
  <c r="FR27"/>
  <c r="FS27"/>
  <c r="FT27"/>
  <c r="FU27"/>
  <c r="FV27"/>
  <c r="FW27"/>
  <c r="FX27"/>
  <c r="FY27"/>
  <c r="FZ27"/>
  <c r="GA27"/>
  <c r="GB27"/>
  <c r="GC27"/>
  <c r="GD27"/>
  <c r="GE27"/>
  <c r="GF27"/>
  <c r="GG27"/>
  <c r="GH27"/>
  <c r="GI27"/>
  <c r="GJ27"/>
  <c r="GK27"/>
  <c r="GL27"/>
  <c r="GM27"/>
  <c r="GN27"/>
  <c r="GO27"/>
  <c r="GP27"/>
  <c r="GQ27"/>
  <c r="GR27"/>
  <c r="GS27"/>
  <c r="GT27"/>
  <c r="GU27"/>
  <c r="GV27"/>
  <c r="GW27"/>
  <c r="GX27"/>
  <c r="GY27"/>
  <c r="GZ27"/>
  <c r="HA27"/>
  <c r="HB27"/>
  <c r="HC27"/>
  <c r="HD27"/>
  <c r="HE27"/>
  <c r="HF27"/>
  <c r="HG27"/>
  <c r="HH27"/>
  <c r="HI27"/>
  <c r="HJ27"/>
  <c r="HK27"/>
  <c r="HL27"/>
  <c r="HM27"/>
  <c r="HN27"/>
  <c r="HO27"/>
  <c r="HP27"/>
  <c r="HQ27"/>
  <c r="HR27"/>
  <c r="HS27"/>
  <c r="HT27"/>
  <c r="HU27"/>
  <c r="HV27"/>
  <c r="HW27"/>
  <c r="HX27"/>
  <c r="HY27"/>
  <c r="HZ27"/>
  <c r="IA27"/>
  <c r="IB27"/>
  <c r="IC27"/>
  <c r="ID27"/>
  <c r="IE27"/>
  <c r="IF27"/>
  <c r="IG27"/>
  <c r="IH27"/>
  <c r="II27"/>
  <c r="IJ27"/>
  <c r="IK27"/>
  <c r="IL27"/>
  <c r="IM27"/>
  <c r="IN27"/>
  <c r="IO27"/>
  <c r="IP27"/>
  <c r="IQ27"/>
  <c r="IR27"/>
  <c r="IS27"/>
  <c r="IT27"/>
  <c r="IU27"/>
  <c r="IV27"/>
  <c r="A26"/>
  <c r="B26"/>
  <c r="C26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AY26"/>
  <c r="AZ26"/>
  <c r="BA26"/>
  <c r="BB26"/>
  <c r="BC26"/>
  <c r="BD26"/>
  <c r="BE26"/>
  <c r="BF26"/>
  <c r="BG26"/>
  <c r="BH26"/>
  <c r="BI26"/>
  <c r="BJ26"/>
  <c r="BK26"/>
  <c r="BL26"/>
  <c r="BM26"/>
  <c r="BN26"/>
  <c r="BO26"/>
  <c r="BP26"/>
  <c r="BQ26"/>
  <c r="BR26"/>
  <c r="BS26"/>
  <c r="BT26"/>
  <c r="BU26"/>
  <c r="BV26"/>
  <c r="BW26"/>
  <c r="BX26"/>
  <c r="BY26"/>
  <c r="BZ26"/>
  <c r="CA26"/>
  <c r="CB26"/>
  <c r="CC26"/>
  <c r="CD26"/>
  <c r="CE26"/>
  <c r="CF26"/>
  <c r="CG26"/>
  <c r="CH26"/>
  <c r="CI26"/>
  <c r="CJ26"/>
  <c r="CK26"/>
  <c r="CL26"/>
  <c r="CM26"/>
  <c r="CN26"/>
  <c r="CO26"/>
  <c r="CP26"/>
  <c r="CQ26"/>
  <c r="CR26"/>
  <c r="CS26"/>
  <c r="CT26"/>
  <c r="CU26"/>
  <c r="CV26"/>
  <c r="CW26"/>
  <c r="CX26"/>
  <c r="CY26"/>
  <c r="CZ26"/>
  <c r="DA26"/>
  <c r="DB26"/>
  <c r="DC26"/>
  <c r="DD26"/>
  <c r="DE26"/>
  <c r="DF26"/>
  <c r="DG26"/>
  <c r="DH26"/>
  <c r="DI26"/>
  <c r="DJ26"/>
  <c r="DK26"/>
  <c r="DL26"/>
  <c r="DM26"/>
  <c r="DN26"/>
  <c r="DO26"/>
  <c r="DP26"/>
  <c r="DQ26"/>
  <c r="DR26"/>
  <c r="DS26"/>
  <c r="DT26"/>
  <c r="DU26"/>
  <c r="DV26"/>
  <c r="DW26"/>
  <c r="DX26"/>
  <c r="DY26"/>
  <c r="DZ26"/>
  <c r="EA26"/>
  <c r="EB26"/>
  <c r="EC26"/>
  <c r="ED26"/>
  <c r="EE26"/>
  <c r="EF26"/>
  <c r="EG26"/>
  <c r="EH26"/>
  <c r="EI26"/>
  <c r="EJ26"/>
  <c r="EK26"/>
  <c r="EL26"/>
  <c r="EM26"/>
  <c r="EN26"/>
  <c r="EO26"/>
  <c r="EP26"/>
  <c r="EQ26"/>
  <c r="ER26"/>
  <c r="ES26"/>
  <c r="ET26"/>
  <c r="EU26"/>
  <c r="EV26"/>
  <c r="EW26"/>
  <c r="EX26"/>
  <c r="EY26"/>
  <c r="EZ26"/>
  <c r="FA26"/>
  <c r="FB26"/>
  <c r="FC26"/>
  <c r="FD26"/>
  <c r="FE26"/>
  <c r="FF26"/>
  <c r="FG26"/>
  <c r="FH26"/>
  <c r="FI26"/>
  <c r="FJ26"/>
  <c r="FK26"/>
  <c r="FL26"/>
  <c r="FM26"/>
  <c r="FN26"/>
  <c r="FO26"/>
  <c r="FP26"/>
  <c r="FQ26"/>
  <c r="FR26"/>
  <c r="FS26"/>
  <c r="FT26"/>
  <c r="FU26"/>
  <c r="FV26"/>
  <c r="FW26"/>
  <c r="FX26"/>
  <c r="FY26"/>
  <c r="FZ26"/>
  <c r="GA26"/>
  <c r="GB26"/>
  <c r="GC26"/>
  <c r="GD26"/>
  <c r="GE26"/>
  <c r="GF26"/>
  <c r="GG26"/>
  <c r="GH26"/>
  <c r="GI26"/>
  <c r="GJ26"/>
  <c r="GK26"/>
  <c r="GL26"/>
  <c r="GM26"/>
  <c r="GN26"/>
  <c r="GO26"/>
  <c r="GP26"/>
  <c r="GQ26"/>
  <c r="GR26"/>
  <c r="GS26"/>
  <c r="GT26"/>
  <c r="GU26"/>
  <c r="GV26"/>
  <c r="GW26"/>
  <c r="GX26"/>
  <c r="GY26"/>
  <c r="GZ26"/>
  <c r="HA26"/>
  <c r="HB26"/>
  <c r="HC26"/>
  <c r="HD26"/>
  <c r="HE26"/>
  <c r="HF26"/>
  <c r="HG26"/>
  <c r="HH26"/>
  <c r="HI26"/>
  <c r="HJ26"/>
  <c r="HK26"/>
  <c r="HL26"/>
  <c r="HM26"/>
  <c r="HN26"/>
  <c r="HO26"/>
  <c r="HP26"/>
  <c r="HQ26"/>
  <c r="HR26"/>
  <c r="HS26"/>
  <c r="HT26"/>
  <c r="HU26"/>
  <c r="HV26"/>
  <c r="HW26"/>
  <c r="HX26"/>
  <c r="HY26"/>
  <c r="HZ26"/>
  <c r="IA26"/>
  <c r="IB26"/>
  <c r="IC26"/>
  <c r="ID26"/>
  <c r="IE26"/>
  <c r="IF26"/>
  <c r="IG26"/>
  <c r="IH26"/>
  <c r="II26"/>
  <c r="IJ26"/>
  <c r="IK26"/>
  <c r="IL26"/>
  <c r="IM26"/>
  <c r="IN26"/>
  <c r="IO26"/>
  <c r="IP26"/>
  <c r="IQ26"/>
  <c r="IR26"/>
  <c r="IS26"/>
  <c r="IT26"/>
  <c r="IU26"/>
  <c r="IV26"/>
  <c r="A25"/>
  <c r="B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X25"/>
  <c r="AY25"/>
  <c r="AZ25"/>
  <c r="BA25"/>
  <c r="BB25"/>
  <c r="BC25"/>
  <c r="BD25"/>
  <c r="BE25"/>
  <c r="BF25"/>
  <c r="BG25"/>
  <c r="BH25"/>
  <c r="BI25"/>
  <c r="BJ25"/>
  <c r="BK25"/>
  <c r="BL25"/>
  <c r="BM25"/>
  <c r="BN25"/>
  <c r="BO25"/>
  <c r="BP25"/>
  <c r="BQ25"/>
  <c r="BR25"/>
  <c r="BS25"/>
  <c r="BT25"/>
  <c r="BU25"/>
  <c r="BV25"/>
  <c r="BW25"/>
  <c r="BX25"/>
  <c r="BY25"/>
  <c r="BZ25"/>
  <c r="CA25"/>
  <c r="CB25"/>
  <c r="CC25"/>
  <c r="CD25"/>
  <c r="CE25"/>
  <c r="CF25"/>
  <c r="CG25"/>
  <c r="CH25"/>
  <c r="CI25"/>
  <c r="CJ25"/>
  <c r="CK25"/>
  <c r="CL25"/>
  <c r="CM25"/>
  <c r="CN25"/>
  <c r="CO25"/>
  <c r="CP25"/>
  <c r="CQ25"/>
  <c r="CR25"/>
  <c r="CS25"/>
  <c r="CT25"/>
  <c r="CU25"/>
  <c r="CV25"/>
  <c r="CW25"/>
  <c r="CX25"/>
  <c r="CY25"/>
  <c r="CZ25"/>
  <c r="DA25"/>
  <c r="DB25"/>
  <c r="DC25"/>
  <c r="DD25"/>
  <c r="DE25"/>
  <c r="DF25"/>
  <c r="DG25"/>
  <c r="DH25"/>
  <c r="DI25"/>
  <c r="DJ25"/>
  <c r="DK25"/>
  <c r="DL25"/>
  <c r="DM25"/>
  <c r="DN25"/>
  <c r="DO25"/>
  <c r="DP25"/>
  <c r="DQ25"/>
  <c r="DR25"/>
  <c r="DS25"/>
  <c r="DT25"/>
  <c r="DU25"/>
  <c r="DV25"/>
  <c r="DW25"/>
  <c r="DX25"/>
  <c r="DY25"/>
  <c r="DZ25"/>
  <c r="EA25"/>
  <c r="EB25"/>
  <c r="EC25"/>
  <c r="ED25"/>
  <c r="EE25"/>
  <c r="EF25"/>
  <c r="EG25"/>
  <c r="EH25"/>
  <c r="EI25"/>
  <c r="EJ25"/>
  <c r="EK25"/>
  <c r="EL25"/>
  <c r="EM25"/>
  <c r="EN25"/>
  <c r="EO25"/>
  <c r="EP25"/>
  <c r="EQ25"/>
  <c r="ER25"/>
  <c r="ES25"/>
  <c r="ET25"/>
  <c r="EU25"/>
  <c r="EV25"/>
  <c r="EW25"/>
  <c r="EX25"/>
  <c r="EY25"/>
  <c r="EZ25"/>
  <c r="FA25"/>
  <c r="FB25"/>
  <c r="FC25"/>
  <c r="FD25"/>
  <c r="FE25"/>
  <c r="FF25"/>
  <c r="FG25"/>
  <c r="FH25"/>
  <c r="FI25"/>
  <c r="FJ25"/>
  <c r="FK25"/>
  <c r="FL25"/>
  <c r="FM25"/>
  <c r="FN25"/>
  <c r="FO25"/>
  <c r="FP25"/>
  <c r="FQ25"/>
  <c r="FR25"/>
  <c r="FS25"/>
  <c r="FT25"/>
  <c r="FU25"/>
  <c r="FV25"/>
  <c r="FW25"/>
  <c r="FX25"/>
  <c r="FY25"/>
  <c r="FZ25"/>
  <c r="GA25"/>
  <c r="GB25"/>
  <c r="GC25"/>
  <c r="GD25"/>
  <c r="GE25"/>
  <c r="GF25"/>
  <c r="GG25"/>
  <c r="GH25"/>
  <c r="GI25"/>
  <c r="GJ25"/>
  <c r="GK25"/>
  <c r="GL25"/>
  <c r="GM25"/>
  <c r="GN25"/>
  <c r="GO25"/>
  <c r="GP25"/>
  <c r="GQ25"/>
  <c r="GR25"/>
  <c r="GS25"/>
  <c r="GT25"/>
  <c r="GU25"/>
  <c r="GV25"/>
  <c r="GW25"/>
  <c r="GX25"/>
  <c r="GY25"/>
  <c r="GZ25"/>
  <c r="HA25"/>
  <c r="HB25"/>
  <c r="HC25"/>
  <c r="HD25"/>
  <c r="HE25"/>
  <c r="HF25"/>
  <c r="HG25"/>
  <c r="HH25"/>
  <c r="HI25"/>
  <c r="HJ25"/>
  <c r="HK25"/>
  <c r="HL25"/>
  <c r="HM25"/>
  <c r="HN25"/>
  <c r="HO25"/>
  <c r="HP25"/>
  <c r="HQ25"/>
  <c r="HR25"/>
  <c r="HS25"/>
  <c r="HT25"/>
  <c r="HU25"/>
  <c r="HV25"/>
  <c r="HW25"/>
  <c r="HX25"/>
  <c r="HY25"/>
  <c r="HZ25"/>
  <c r="IA25"/>
  <c r="IB25"/>
  <c r="IC25"/>
  <c r="ID25"/>
  <c r="IE25"/>
  <c r="IF25"/>
  <c r="IG25"/>
  <c r="IH25"/>
  <c r="II25"/>
  <c r="IJ25"/>
  <c r="IK25"/>
  <c r="IL25"/>
  <c r="IM25"/>
  <c r="IN25"/>
  <c r="IO25"/>
  <c r="IP25"/>
  <c r="IQ25"/>
  <c r="IR25"/>
  <c r="IS25"/>
  <c r="IT25"/>
  <c r="IU25"/>
  <c r="IV25"/>
  <c r="A24"/>
  <c r="B24"/>
  <c r="C24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AY24"/>
  <c r="AZ24"/>
  <c r="BA24"/>
  <c r="BB24"/>
  <c r="BC24"/>
  <c r="BD24"/>
  <c r="BE24"/>
  <c r="BF24"/>
  <c r="BG24"/>
  <c r="BH24"/>
  <c r="BI24"/>
  <c r="BJ24"/>
  <c r="BK24"/>
  <c r="BL24"/>
  <c r="BM24"/>
  <c r="BN24"/>
  <c r="BO24"/>
  <c r="BP24"/>
  <c r="BQ24"/>
  <c r="BR24"/>
  <c r="BS24"/>
  <c r="BT24"/>
  <c r="BU24"/>
  <c r="BV24"/>
  <c r="BW24"/>
  <c r="BX24"/>
  <c r="BY24"/>
  <c r="BZ24"/>
  <c r="CA24"/>
  <c r="CB24"/>
  <c r="CC24"/>
  <c r="CD24"/>
  <c r="CE24"/>
  <c r="CF24"/>
  <c r="CG24"/>
  <c r="CH24"/>
  <c r="CI24"/>
  <c r="CJ24"/>
  <c r="CK24"/>
  <c r="CL24"/>
  <c r="CM24"/>
  <c r="CN24"/>
  <c r="CO24"/>
  <c r="CP24"/>
  <c r="CQ24"/>
  <c r="CR24"/>
  <c r="CS24"/>
  <c r="CT24"/>
  <c r="CU24"/>
  <c r="CV24"/>
  <c r="CW24"/>
  <c r="CX24"/>
  <c r="CY24"/>
  <c r="CZ24"/>
  <c r="DA24"/>
  <c r="DB24"/>
  <c r="DC24"/>
  <c r="DD24"/>
  <c r="DE24"/>
  <c r="DF24"/>
  <c r="DG24"/>
  <c r="DH24"/>
  <c r="DI24"/>
  <c r="DJ24"/>
  <c r="DK24"/>
  <c r="DL24"/>
  <c r="DM24"/>
  <c r="DN24"/>
  <c r="DO24"/>
  <c r="DP24"/>
  <c r="DQ24"/>
  <c r="DR24"/>
  <c r="DS24"/>
  <c r="DT24"/>
  <c r="DU24"/>
  <c r="DV24"/>
  <c r="DW24"/>
  <c r="DX24"/>
  <c r="DY24"/>
  <c r="DZ24"/>
  <c r="EA24"/>
  <c r="EB24"/>
  <c r="EC24"/>
  <c r="ED24"/>
  <c r="EE24"/>
  <c r="EF24"/>
  <c r="EG24"/>
  <c r="EH24"/>
  <c r="EI24"/>
  <c r="EJ24"/>
  <c r="EK24"/>
  <c r="EL24"/>
  <c r="EM24"/>
  <c r="EN24"/>
  <c r="EO24"/>
  <c r="EP24"/>
  <c r="EQ24"/>
  <c r="ER24"/>
  <c r="ES24"/>
  <c r="ET24"/>
  <c r="EU24"/>
  <c r="EV24"/>
  <c r="EW24"/>
  <c r="EX24"/>
  <c r="EY24"/>
  <c r="EZ24"/>
  <c r="FA24"/>
  <c r="FB24"/>
  <c r="FC24"/>
  <c r="FD24"/>
  <c r="FE24"/>
  <c r="FF24"/>
  <c r="FG24"/>
  <c r="FH24"/>
  <c r="FI24"/>
  <c r="FJ24"/>
  <c r="FK24"/>
  <c r="FL24"/>
  <c r="FM24"/>
  <c r="FN24"/>
  <c r="FO24"/>
  <c r="FP24"/>
  <c r="FQ24"/>
  <c r="FR24"/>
  <c r="FS24"/>
  <c r="FT24"/>
  <c r="FU24"/>
  <c r="FV24"/>
  <c r="FW24"/>
  <c r="FX24"/>
  <c r="FY24"/>
  <c r="FZ24"/>
  <c r="GA24"/>
  <c r="GB24"/>
  <c r="GC24"/>
  <c r="GD24"/>
  <c r="GE24"/>
  <c r="GF24"/>
  <c r="GG24"/>
  <c r="GH24"/>
  <c r="GI24"/>
  <c r="GJ24"/>
  <c r="GK24"/>
  <c r="GL24"/>
  <c r="GM24"/>
  <c r="GN24"/>
  <c r="GO24"/>
  <c r="GP24"/>
  <c r="GQ24"/>
  <c r="GR24"/>
  <c r="GS24"/>
  <c r="GT24"/>
  <c r="GU24"/>
  <c r="GV24"/>
  <c r="GW24"/>
  <c r="GX24"/>
  <c r="GY24"/>
  <c r="GZ24"/>
  <c r="HA24"/>
  <c r="HB24"/>
  <c r="HC24"/>
  <c r="HD24"/>
  <c r="HE24"/>
  <c r="HF24"/>
  <c r="HG24"/>
  <c r="HH24"/>
  <c r="HI24"/>
  <c r="HJ24"/>
  <c r="HK24"/>
  <c r="HL24"/>
  <c r="HM24"/>
  <c r="HN24"/>
  <c r="HO24"/>
  <c r="HP24"/>
  <c r="HQ24"/>
  <c r="HR24"/>
  <c r="HS24"/>
  <c r="HT24"/>
  <c r="HU24"/>
  <c r="HV24"/>
  <c r="HW24"/>
  <c r="HX24"/>
  <c r="HY24"/>
  <c r="HZ24"/>
  <c r="IA24"/>
  <c r="IB24"/>
  <c r="IC24"/>
  <c r="ID24"/>
  <c r="IE24"/>
  <c r="IF24"/>
  <c r="IG24"/>
  <c r="IH24"/>
  <c r="II24"/>
  <c r="IJ24"/>
  <c r="IK24"/>
  <c r="IL24"/>
  <c r="IM24"/>
  <c r="IN24"/>
  <c r="IO24"/>
  <c r="IP24"/>
  <c r="IQ24"/>
  <c r="IR24"/>
  <c r="IS24"/>
  <c r="IT24"/>
  <c r="IU24"/>
  <c r="IV24"/>
  <c r="A23"/>
  <c r="B23"/>
  <c r="C23"/>
  <c r="D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AZ23"/>
  <c r="BA23"/>
  <c r="BB23"/>
  <c r="BC23"/>
  <c r="BD23"/>
  <c r="BE23"/>
  <c r="BF23"/>
  <c r="BG23"/>
  <c r="BH23"/>
  <c r="BI23"/>
  <c r="BJ23"/>
  <c r="BK23"/>
  <c r="BL23"/>
  <c r="BM23"/>
  <c r="BN23"/>
  <c r="BO23"/>
  <c r="BP23"/>
  <c r="BQ23"/>
  <c r="BR23"/>
  <c r="BS23"/>
  <c r="BT23"/>
  <c r="BU23"/>
  <c r="BV23"/>
  <c r="BW23"/>
  <c r="BX23"/>
  <c r="BY23"/>
  <c r="BZ23"/>
  <c r="CA23"/>
  <c r="CB23"/>
  <c r="CC23"/>
  <c r="CD23"/>
  <c r="CE23"/>
  <c r="CF23"/>
  <c r="CG23"/>
  <c r="CH23"/>
  <c r="CI23"/>
  <c r="CJ23"/>
  <c r="CK23"/>
  <c r="CL23"/>
  <c r="CM23"/>
  <c r="CN23"/>
  <c r="CO23"/>
  <c r="CP23"/>
  <c r="CQ23"/>
  <c r="CR23"/>
  <c r="CS23"/>
  <c r="CT23"/>
  <c r="CU23"/>
  <c r="CV23"/>
  <c r="CW23"/>
  <c r="CX23"/>
  <c r="CY23"/>
  <c r="CZ23"/>
  <c r="DA23"/>
  <c r="DB23"/>
  <c r="DC23"/>
  <c r="DD23"/>
  <c r="DE23"/>
  <c r="DF23"/>
  <c r="DG23"/>
  <c r="DH23"/>
  <c r="DI23"/>
  <c r="DJ23"/>
  <c r="DK23"/>
  <c r="DL23"/>
  <c r="DM23"/>
  <c r="DN23"/>
  <c r="DO23"/>
  <c r="DP23"/>
  <c r="DQ23"/>
  <c r="DR23"/>
  <c r="DS23"/>
  <c r="DT23"/>
  <c r="DU23"/>
  <c r="DV23"/>
  <c r="DW23"/>
  <c r="DX23"/>
  <c r="DY23"/>
  <c r="DZ23"/>
  <c r="EA23"/>
  <c r="EB23"/>
  <c r="EC23"/>
  <c r="ED23"/>
  <c r="EE23"/>
  <c r="EF23"/>
  <c r="EG23"/>
  <c r="EH23"/>
  <c r="EI23"/>
  <c r="EJ23"/>
  <c r="EK23"/>
  <c r="EL23"/>
  <c r="EM23"/>
  <c r="EN23"/>
  <c r="EO23"/>
  <c r="EP23"/>
  <c r="EQ23"/>
  <c r="ER23"/>
  <c r="ES23"/>
  <c r="ET23"/>
  <c r="EU23"/>
  <c r="EV23"/>
  <c r="EW23"/>
  <c r="EX23"/>
  <c r="EY23"/>
  <c r="EZ23"/>
  <c r="FA23"/>
  <c r="FB23"/>
  <c r="FC23"/>
  <c r="FD23"/>
  <c r="FE23"/>
  <c r="FF23"/>
  <c r="FG23"/>
  <c r="FH23"/>
  <c r="FI23"/>
  <c r="FJ23"/>
  <c r="FK23"/>
  <c r="FL23"/>
  <c r="FM23"/>
  <c r="FN23"/>
  <c r="FO23"/>
  <c r="FP23"/>
  <c r="FQ23"/>
  <c r="FR23"/>
  <c r="FS23"/>
  <c r="FT23"/>
  <c r="FU23"/>
  <c r="FV23"/>
  <c r="FW23"/>
  <c r="FX23"/>
  <c r="FY23"/>
  <c r="FZ23"/>
  <c r="GA23"/>
  <c r="GB23"/>
  <c r="GC23"/>
  <c r="GD23"/>
  <c r="GE23"/>
  <c r="GF23"/>
  <c r="GG23"/>
  <c r="GH23"/>
  <c r="GI23"/>
  <c r="GJ23"/>
  <c r="GK23"/>
  <c r="GL23"/>
  <c r="GM23"/>
  <c r="GN23"/>
  <c r="GO23"/>
  <c r="GP23"/>
  <c r="GQ23"/>
  <c r="GR23"/>
  <c r="GS23"/>
  <c r="GT23"/>
  <c r="GU23"/>
  <c r="GV23"/>
  <c r="GW23"/>
  <c r="GX23"/>
  <c r="GY23"/>
  <c r="GZ23"/>
  <c r="HA23"/>
  <c r="HB23"/>
  <c r="HC23"/>
  <c r="HD23"/>
  <c r="HE23"/>
  <c r="HF23"/>
  <c r="HG23"/>
  <c r="HH23"/>
  <c r="HI23"/>
  <c r="HJ23"/>
  <c r="HK23"/>
  <c r="HL23"/>
  <c r="HM23"/>
  <c r="HN23"/>
  <c r="HO23"/>
  <c r="HP23"/>
  <c r="HQ23"/>
  <c r="HR23"/>
  <c r="HS23"/>
  <c r="HT23"/>
  <c r="HU23"/>
  <c r="HV23"/>
  <c r="HW23"/>
  <c r="HX23"/>
  <c r="HY23"/>
  <c r="HZ23"/>
  <c r="IA23"/>
  <c r="IB23"/>
  <c r="IC23"/>
  <c r="ID23"/>
  <c r="IE23"/>
  <c r="IF23"/>
  <c r="IG23"/>
  <c r="IH23"/>
  <c r="II23"/>
  <c r="IJ23"/>
  <c r="IK23"/>
  <c r="IL23"/>
  <c r="IM23"/>
  <c r="IN23"/>
  <c r="IO23"/>
  <c r="IP23"/>
  <c r="IQ23"/>
  <c r="IR23"/>
  <c r="IS23"/>
  <c r="IT23"/>
  <c r="IU23"/>
  <c r="IV23"/>
  <c r="A22"/>
  <c r="B22"/>
  <c r="C22"/>
  <c r="D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W22"/>
  <c r="AX22"/>
  <c r="AY22"/>
  <c r="AZ22"/>
  <c r="BA22"/>
  <c r="BB22"/>
  <c r="BC22"/>
  <c r="BD22"/>
  <c r="BE22"/>
  <c r="BF22"/>
  <c r="BG22"/>
  <c r="BH22"/>
  <c r="BI22"/>
  <c r="BJ22"/>
  <c r="BK22"/>
  <c r="BL22"/>
  <c r="BM22"/>
  <c r="BN22"/>
  <c r="BO22"/>
  <c r="BP22"/>
  <c r="BQ22"/>
  <c r="BR22"/>
  <c r="BS22"/>
  <c r="BT22"/>
  <c r="BU22"/>
  <c r="BV22"/>
  <c r="BW22"/>
  <c r="BX22"/>
  <c r="BY22"/>
  <c r="BZ22"/>
  <c r="CA22"/>
  <c r="CB22"/>
  <c r="CC22"/>
  <c r="CD22"/>
  <c r="CE22"/>
  <c r="CF22"/>
  <c r="CG22"/>
  <c r="CH22"/>
  <c r="CI22"/>
  <c r="CJ22"/>
  <c r="CK22"/>
  <c r="CL22"/>
  <c r="CM22"/>
  <c r="CN22"/>
  <c r="CO22"/>
  <c r="CP22"/>
  <c r="CQ22"/>
  <c r="CR22"/>
  <c r="CS22"/>
  <c r="CT22"/>
  <c r="CU22"/>
  <c r="CV22"/>
  <c r="CW22"/>
  <c r="CX22"/>
  <c r="CY22"/>
  <c r="CZ22"/>
  <c r="DA22"/>
  <c r="DB22"/>
  <c r="DC22"/>
  <c r="DD22"/>
  <c r="DE22"/>
  <c r="DF22"/>
  <c r="DG22"/>
  <c r="DH22"/>
  <c r="DI22"/>
  <c r="DJ22"/>
  <c r="DK22"/>
  <c r="DL22"/>
  <c r="DM22"/>
  <c r="DN22"/>
  <c r="DO22"/>
  <c r="DP22"/>
  <c r="DQ22"/>
  <c r="DR22"/>
  <c r="DS22"/>
  <c r="DT22"/>
  <c r="DU22"/>
  <c r="DV22"/>
  <c r="DW22"/>
  <c r="DX22"/>
  <c r="DY22"/>
  <c r="DZ22"/>
  <c r="EA22"/>
  <c r="EB22"/>
  <c r="EC22"/>
  <c r="ED22"/>
  <c r="EE22"/>
  <c r="EF22"/>
  <c r="EG22"/>
  <c r="EH22"/>
  <c r="EI22"/>
  <c r="EJ22"/>
  <c r="EK22"/>
  <c r="EL22"/>
  <c r="EM22"/>
  <c r="EN22"/>
  <c r="EO22"/>
  <c r="EP22"/>
  <c r="EQ22"/>
  <c r="ER22"/>
  <c r="ES22"/>
  <c r="ET22"/>
  <c r="EU22"/>
  <c r="EV22"/>
  <c r="EW22"/>
  <c r="EX22"/>
  <c r="EY22"/>
  <c r="EZ22"/>
  <c r="FA22"/>
  <c r="FB22"/>
  <c r="FC22"/>
  <c r="FD22"/>
  <c r="FE22"/>
  <c r="FF22"/>
  <c r="FG22"/>
  <c r="FH22"/>
  <c r="FI22"/>
  <c r="FJ22"/>
  <c r="FK22"/>
  <c r="FL22"/>
  <c r="FM22"/>
  <c r="FN22"/>
  <c r="FO22"/>
  <c r="FP22"/>
  <c r="FQ22"/>
  <c r="FR22"/>
  <c r="FS22"/>
  <c r="FT22"/>
  <c r="FU22"/>
  <c r="FV22"/>
  <c r="FW22"/>
  <c r="FX22"/>
  <c r="FY22"/>
  <c r="FZ22"/>
  <c r="GA22"/>
  <c r="GB22"/>
  <c r="GC22"/>
  <c r="GD22"/>
  <c r="GE22"/>
  <c r="GF22"/>
  <c r="GG22"/>
  <c r="GH22"/>
  <c r="GI22"/>
  <c r="GJ22"/>
  <c r="GK22"/>
  <c r="GL22"/>
  <c r="GM22"/>
  <c r="GN22"/>
  <c r="GO22"/>
  <c r="GP22"/>
  <c r="GQ22"/>
  <c r="GR22"/>
  <c r="GS22"/>
  <c r="GT22"/>
  <c r="GU22"/>
  <c r="GV22"/>
  <c r="GW22"/>
  <c r="GX22"/>
  <c r="GY22"/>
  <c r="GZ22"/>
  <c r="HA22"/>
  <c r="HB22"/>
  <c r="HC22"/>
  <c r="HD22"/>
  <c r="HE22"/>
  <c r="HF22"/>
  <c r="HG22"/>
  <c r="HH22"/>
  <c r="HI22"/>
  <c r="HJ22"/>
  <c r="HK22"/>
  <c r="HL22"/>
  <c r="HM22"/>
  <c r="HN22"/>
  <c r="HO22"/>
  <c r="HP22"/>
  <c r="HQ22"/>
  <c r="HR22"/>
  <c r="HS22"/>
  <c r="HT22"/>
  <c r="HU22"/>
  <c r="HV22"/>
  <c r="HW22"/>
  <c r="HX22"/>
  <c r="HY22"/>
  <c r="HZ22"/>
  <c r="IA22"/>
  <c r="IB22"/>
  <c r="IC22"/>
  <c r="ID22"/>
  <c r="IE22"/>
  <c r="IF22"/>
  <c r="IG22"/>
  <c r="IH22"/>
  <c r="II22"/>
  <c r="IJ22"/>
  <c r="IK22"/>
  <c r="IL22"/>
  <c r="IM22"/>
  <c r="IN22"/>
  <c r="IO22"/>
  <c r="IP22"/>
  <c r="IQ22"/>
  <c r="IR22"/>
  <c r="IS22"/>
  <c r="IT22"/>
  <c r="IU22"/>
  <c r="IV22"/>
  <c r="A21"/>
  <c r="B21"/>
  <c r="C21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AY21"/>
  <c r="AZ21"/>
  <c r="BA21"/>
  <c r="BB21"/>
  <c r="BC21"/>
  <c r="BD21"/>
  <c r="BE21"/>
  <c r="BF21"/>
  <c r="BG21"/>
  <c r="BH21"/>
  <c r="BI21"/>
  <c r="BJ21"/>
  <c r="BK21"/>
  <c r="BL21"/>
  <c r="BM21"/>
  <c r="BN21"/>
  <c r="BO21"/>
  <c r="BP21"/>
  <c r="BQ21"/>
  <c r="BR21"/>
  <c r="BS21"/>
  <c r="BT21"/>
  <c r="BU21"/>
  <c r="BV21"/>
  <c r="BW21"/>
  <c r="BX21"/>
  <c r="BY21"/>
  <c r="BZ21"/>
  <c r="CA21"/>
  <c r="CB21"/>
  <c r="CC21"/>
  <c r="CD21"/>
  <c r="CE21"/>
  <c r="CF21"/>
  <c r="CG21"/>
  <c r="CH21"/>
  <c r="CI21"/>
  <c r="CJ21"/>
  <c r="CK21"/>
  <c r="CL21"/>
  <c r="CM21"/>
  <c r="CN21"/>
  <c r="CO21"/>
  <c r="CP21"/>
  <c r="CQ21"/>
  <c r="CR21"/>
  <c r="CS21"/>
  <c r="CT21"/>
  <c r="CU21"/>
  <c r="CV21"/>
  <c r="CW21"/>
  <c r="CX21"/>
  <c r="CY21"/>
  <c r="CZ21"/>
  <c r="DA21"/>
  <c r="DB21"/>
  <c r="DC21"/>
  <c r="DD21"/>
  <c r="DE21"/>
  <c r="DF21"/>
  <c r="DG21"/>
  <c r="DH21"/>
  <c r="DI21"/>
  <c r="DJ21"/>
  <c r="DK21"/>
  <c r="DL21"/>
  <c r="DM21"/>
  <c r="DN21"/>
  <c r="DO21"/>
  <c r="DP21"/>
  <c r="DQ21"/>
  <c r="DR21"/>
  <c r="DS21"/>
  <c r="DT21"/>
  <c r="DU21"/>
  <c r="DV21"/>
  <c r="DW21"/>
  <c r="DX21"/>
  <c r="DY21"/>
  <c r="DZ21"/>
  <c r="EA21"/>
  <c r="EB21"/>
  <c r="EC21"/>
  <c r="ED21"/>
  <c r="EE21"/>
  <c r="EF21"/>
  <c r="EG21"/>
  <c r="EH21"/>
  <c r="EI21"/>
  <c r="EJ21"/>
  <c r="EK21"/>
  <c r="EL21"/>
  <c r="EM21"/>
  <c r="EN21"/>
  <c r="EO21"/>
  <c r="EP21"/>
  <c r="EQ21"/>
  <c r="ER21"/>
  <c r="ES21"/>
  <c r="ET21"/>
  <c r="EU21"/>
  <c r="EV21"/>
  <c r="EW21"/>
  <c r="EX21"/>
  <c r="EY21"/>
  <c r="EZ21"/>
  <c r="FA21"/>
  <c r="FB21"/>
  <c r="FC21"/>
  <c r="FD21"/>
  <c r="FE21"/>
  <c r="FF21"/>
  <c r="FG21"/>
  <c r="FH21"/>
  <c r="FI21"/>
  <c r="FJ21"/>
  <c r="FK21"/>
  <c r="FL21"/>
  <c r="FM21"/>
  <c r="FN21"/>
  <c r="FO21"/>
  <c r="FP21"/>
  <c r="FQ21"/>
  <c r="FR21"/>
  <c r="FS21"/>
  <c r="FT21"/>
  <c r="FU21"/>
  <c r="FV21"/>
  <c r="FW21"/>
  <c r="FX21"/>
  <c r="FY21"/>
  <c r="FZ21"/>
  <c r="GA21"/>
  <c r="GB21"/>
  <c r="GC21"/>
  <c r="GD21"/>
  <c r="GE21"/>
  <c r="GF21"/>
  <c r="GG21"/>
  <c r="GH21"/>
  <c r="GI21"/>
  <c r="GJ21"/>
  <c r="GK21"/>
  <c r="GL21"/>
  <c r="GM21"/>
  <c r="GN21"/>
  <c r="GO21"/>
  <c r="GP21"/>
  <c r="GQ21"/>
  <c r="GR21"/>
  <c r="GS21"/>
  <c r="GT21"/>
  <c r="GU21"/>
  <c r="GV21"/>
  <c r="GW21"/>
  <c r="GX21"/>
  <c r="GY21"/>
  <c r="GZ21"/>
  <c r="HA21"/>
  <c r="HB21"/>
  <c r="HC21"/>
  <c r="HD21"/>
  <c r="HE21"/>
  <c r="HF21"/>
  <c r="HG21"/>
  <c r="HH21"/>
  <c r="HI21"/>
  <c r="HJ21"/>
  <c r="HK21"/>
  <c r="HL21"/>
  <c r="HM21"/>
  <c r="HN21"/>
  <c r="HO21"/>
  <c r="HP21"/>
  <c r="HQ21"/>
  <c r="HR21"/>
  <c r="HS21"/>
  <c r="HT21"/>
  <c r="HU21"/>
  <c r="HV21"/>
  <c r="HW21"/>
  <c r="HX21"/>
  <c r="HY21"/>
  <c r="HZ21"/>
  <c r="IA21"/>
  <c r="IB21"/>
  <c r="IC21"/>
  <c r="ID21"/>
  <c r="IE21"/>
  <c r="IF21"/>
  <c r="IG21"/>
  <c r="IH21"/>
  <c r="II21"/>
  <c r="IJ21"/>
  <c r="IK21"/>
  <c r="IL21"/>
  <c r="IM21"/>
  <c r="IN21"/>
  <c r="IO21"/>
  <c r="IP21"/>
  <c r="IQ21"/>
  <c r="IR21"/>
  <c r="IS21"/>
  <c r="IT21"/>
  <c r="IU21"/>
  <c r="IV21"/>
  <c r="A20"/>
  <c r="B20"/>
  <c r="C20"/>
  <c r="D20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AY20"/>
  <c r="AZ20"/>
  <c r="BA20"/>
  <c r="BB20"/>
  <c r="BC20"/>
  <c r="BD20"/>
  <c r="BE20"/>
  <c r="BF20"/>
  <c r="BG20"/>
  <c r="BH20"/>
  <c r="BI20"/>
  <c r="BJ20"/>
  <c r="BK20"/>
  <c r="BL20"/>
  <c r="BM20"/>
  <c r="BN20"/>
  <c r="BO20"/>
  <c r="BP20"/>
  <c r="BQ20"/>
  <c r="BR20"/>
  <c r="BS20"/>
  <c r="BT20"/>
  <c r="BU20"/>
  <c r="BV20"/>
  <c r="BW20"/>
  <c r="BX20"/>
  <c r="BY20"/>
  <c r="BZ20"/>
  <c r="CA20"/>
  <c r="CB20"/>
  <c r="CC20"/>
  <c r="CD20"/>
  <c r="CE20"/>
  <c r="CF20"/>
  <c r="CG20"/>
  <c r="CH20"/>
  <c r="CI20"/>
  <c r="CJ20"/>
  <c r="CK20"/>
  <c r="CL20"/>
  <c r="CM20"/>
  <c r="CN20"/>
  <c r="CO20"/>
  <c r="CP20"/>
  <c r="CQ20"/>
  <c r="CR20"/>
  <c r="CS20"/>
  <c r="CT20"/>
  <c r="CU20"/>
  <c r="CV20"/>
  <c r="CW20"/>
  <c r="CX20"/>
  <c r="CY20"/>
  <c r="CZ20"/>
  <c r="DA20"/>
  <c r="DB20"/>
  <c r="DC20"/>
  <c r="DD20"/>
  <c r="DE20"/>
  <c r="DF20"/>
  <c r="DG20"/>
  <c r="DH20"/>
  <c r="DI20"/>
  <c r="DJ20"/>
  <c r="DK20"/>
  <c r="DL20"/>
  <c r="DM20"/>
  <c r="DN20"/>
  <c r="DO20"/>
  <c r="DP20"/>
  <c r="DQ20"/>
  <c r="DR20"/>
  <c r="DS20"/>
  <c r="DT20"/>
  <c r="DU20"/>
  <c r="DV20"/>
  <c r="DW20"/>
  <c r="DX20"/>
  <c r="DY20"/>
  <c r="DZ20"/>
  <c r="EA20"/>
  <c r="EB20"/>
  <c r="EC20"/>
  <c r="ED20"/>
  <c r="EE20"/>
  <c r="EF20"/>
  <c r="EG20"/>
  <c r="EH20"/>
  <c r="EI20"/>
  <c r="EJ20"/>
  <c r="EK20"/>
  <c r="EL20"/>
  <c r="EM20"/>
  <c r="EN20"/>
  <c r="EO20"/>
  <c r="EP20"/>
  <c r="EQ20"/>
  <c r="ER20"/>
  <c r="ES20"/>
  <c r="ET20"/>
  <c r="EU20"/>
  <c r="EV20"/>
  <c r="EW20"/>
  <c r="EX20"/>
  <c r="EY20"/>
  <c r="EZ20"/>
  <c r="FA20"/>
  <c r="FB20"/>
  <c r="FC20"/>
  <c r="FD20"/>
  <c r="FE20"/>
  <c r="FF20"/>
  <c r="FG20"/>
  <c r="FH20"/>
  <c r="FI20"/>
  <c r="FJ20"/>
  <c r="FK20"/>
  <c r="FL20"/>
  <c r="FM20"/>
  <c r="FN20"/>
  <c r="FO20"/>
  <c r="FP20"/>
  <c r="FQ20"/>
  <c r="FR20"/>
  <c r="FS20"/>
  <c r="FT20"/>
  <c r="FU20"/>
  <c r="FV20"/>
  <c r="FW20"/>
  <c r="FX20"/>
  <c r="FY20"/>
  <c r="FZ20"/>
  <c r="GA20"/>
  <c r="GB20"/>
  <c r="GC20"/>
  <c r="GD20"/>
  <c r="GE20"/>
  <c r="GF20"/>
  <c r="GG20"/>
  <c r="GH20"/>
  <c r="GI20"/>
  <c r="GJ20"/>
  <c r="GK20"/>
  <c r="GL20"/>
  <c r="GM20"/>
  <c r="GN20"/>
  <c r="GO20"/>
  <c r="GP20"/>
  <c r="GQ20"/>
  <c r="GR20"/>
  <c r="GS20"/>
  <c r="GT20"/>
  <c r="GU20"/>
  <c r="GV20"/>
  <c r="GW20"/>
  <c r="GX20"/>
  <c r="GY20"/>
  <c r="GZ20"/>
  <c r="HA20"/>
  <c r="HB20"/>
  <c r="HC20"/>
  <c r="HD20"/>
  <c r="HE20"/>
  <c r="HF20"/>
  <c r="HG20"/>
  <c r="HH20"/>
  <c r="HI20"/>
  <c r="HJ20"/>
  <c r="HK20"/>
  <c r="HL20"/>
  <c r="HM20"/>
  <c r="HN20"/>
  <c r="HO20"/>
  <c r="HP20"/>
  <c r="HQ20"/>
  <c r="HR20"/>
  <c r="HS20"/>
  <c r="HT20"/>
  <c r="HU20"/>
  <c r="HV20"/>
  <c r="HW20"/>
  <c r="HX20"/>
  <c r="HY20"/>
  <c r="HZ20"/>
  <c r="IA20"/>
  <c r="IB20"/>
  <c r="IC20"/>
  <c r="ID20"/>
  <c r="IE20"/>
  <c r="IF20"/>
  <c r="IG20"/>
  <c r="IH20"/>
  <c r="II20"/>
  <c r="IJ20"/>
  <c r="IK20"/>
  <c r="IL20"/>
  <c r="IM20"/>
  <c r="IN20"/>
  <c r="IO20"/>
  <c r="IP20"/>
  <c r="IQ20"/>
  <c r="IR20"/>
  <c r="IS20"/>
  <c r="IT20"/>
  <c r="IU20"/>
  <c r="IV20"/>
  <c r="A19"/>
  <c r="B19"/>
  <c r="C19"/>
  <c r="D19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AY19"/>
  <c r="AZ19"/>
  <c r="BA19"/>
  <c r="BB19"/>
  <c r="BC19"/>
  <c r="BD19"/>
  <c r="BE19"/>
  <c r="BF19"/>
  <c r="BG19"/>
  <c r="BH19"/>
  <c r="BI19"/>
  <c r="BJ19"/>
  <c r="BK19"/>
  <c r="BL19"/>
  <c r="BM19"/>
  <c r="BN19"/>
  <c r="BO19"/>
  <c r="BP19"/>
  <c r="BQ19"/>
  <c r="BR19"/>
  <c r="BS19"/>
  <c r="BT19"/>
  <c r="BU19"/>
  <c r="BV19"/>
  <c r="BW19"/>
  <c r="BX19"/>
  <c r="BY19"/>
  <c r="BZ19"/>
  <c r="CA19"/>
  <c r="CB19"/>
  <c r="CC19"/>
  <c r="CD19"/>
  <c r="CE19"/>
  <c r="CF19"/>
  <c r="CG19"/>
  <c r="CH19"/>
  <c r="CI19"/>
  <c r="CJ19"/>
  <c r="CK19"/>
  <c r="CL19"/>
  <c r="CM19"/>
  <c r="CN19"/>
  <c r="CO19"/>
  <c r="CP19"/>
  <c r="CQ19"/>
  <c r="CR19"/>
  <c r="CS19"/>
  <c r="CT19"/>
  <c r="CU19"/>
  <c r="CV19"/>
  <c r="CW19"/>
  <c r="CX19"/>
  <c r="CY19"/>
  <c r="CZ19"/>
  <c r="DA19"/>
  <c r="DB19"/>
  <c r="DC19"/>
  <c r="DD19"/>
  <c r="DE19"/>
  <c r="DF19"/>
  <c r="DG19"/>
  <c r="DH19"/>
  <c r="DI19"/>
  <c r="DJ19"/>
  <c r="DK19"/>
  <c r="DL19"/>
  <c r="DM19"/>
  <c r="DN19"/>
  <c r="DO19"/>
  <c r="DP19"/>
  <c r="DQ19"/>
  <c r="DR19"/>
  <c r="DS19"/>
  <c r="DT19"/>
  <c r="DU19"/>
  <c r="DV19"/>
  <c r="DW19"/>
  <c r="DX19"/>
  <c r="DY19"/>
  <c r="DZ19"/>
  <c r="EA19"/>
  <c r="EB19"/>
  <c r="EC19"/>
  <c r="ED19"/>
  <c r="EE19"/>
  <c r="EF19"/>
  <c r="EG19"/>
  <c r="EH19"/>
  <c r="EI19"/>
  <c r="EJ19"/>
  <c r="EK19"/>
  <c r="EL19"/>
  <c r="EM19"/>
  <c r="EN19"/>
  <c r="EO19"/>
  <c r="EP19"/>
  <c r="EQ19"/>
  <c r="ER19"/>
  <c r="ES19"/>
  <c r="ET19"/>
  <c r="EU19"/>
  <c r="EV19"/>
  <c r="EW19"/>
  <c r="EX19"/>
  <c r="EY19"/>
  <c r="EZ19"/>
  <c r="FA19"/>
  <c r="FB19"/>
  <c r="FC19"/>
  <c r="FD19"/>
  <c r="FE19"/>
  <c r="FF19"/>
  <c r="FG19"/>
  <c r="FH19"/>
  <c r="FI19"/>
  <c r="FJ19"/>
  <c r="FK19"/>
  <c r="FL19"/>
  <c r="FM19"/>
  <c r="FN19"/>
  <c r="FO19"/>
  <c r="FP19"/>
  <c r="FQ19"/>
  <c r="FR19"/>
  <c r="FS19"/>
  <c r="FT19"/>
  <c r="FU19"/>
  <c r="FV19"/>
  <c r="FW19"/>
  <c r="FX19"/>
  <c r="FY19"/>
  <c r="FZ19"/>
  <c r="GA19"/>
  <c r="GB19"/>
  <c r="GC19"/>
  <c r="GD19"/>
  <c r="GE19"/>
  <c r="GF19"/>
  <c r="GG19"/>
  <c r="GH19"/>
  <c r="GI19"/>
  <c r="GJ19"/>
  <c r="GK19"/>
  <c r="GL19"/>
  <c r="GM19"/>
  <c r="GN19"/>
  <c r="GO19"/>
  <c r="GP19"/>
  <c r="GQ19"/>
  <c r="GR19"/>
  <c r="GS19"/>
  <c r="GT19"/>
  <c r="GU19"/>
  <c r="GV19"/>
  <c r="GW19"/>
  <c r="GX19"/>
  <c r="GY19"/>
  <c r="GZ19"/>
  <c r="HA19"/>
  <c r="HB19"/>
  <c r="HC19"/>
  <c r="HD19"/>
  <c r="HE19"/>
  <c r="HF19"/>
  <c r="HG19"/>
  <c r="HH19"/>
  <c r="HI19"/>
  <c r="HJ19"/>
  <c r="HK19"/>
  <c r="HL19"/>
  <c r="HM19"/>
  <c r="HN19"/>
  <c r="HO19"/>
  <c r="HP19"/>
  <c r="HQ19"/>
  <c r="HR19"/>
  <c r="HS19"/>
  <c r="HT19"/>
  <c r="HU19"/>
  <c r="HV19"/>
  <c r="HW19"/>
  <c r="HX19"/>
  <c r="HY19"/>
  <c r="HZ19"/>
  <c r="IA19"/>
  <c r="IB19"/>
  <c r="IC19"/>
  <c r="ID19"/>
  <c r="IE19"/>
  <c r="IF19"/>
  <c r="IG19"/>
  <c r="IH19"/>
  <c r="II19"/>
  <c r="IJ19"/>
  <c r="IK19"/>
  <c r="IL19"/>
  <c r="IM19"/>
  <c r="IN19"/>
  <c r="IO19"/>
  <c r="IP19"/>
  <c r="IQ19"/>
  <c r="IR19"/>
  <c r="IS19"/>
  <c r="IT19"/>
  <c r="IU19"/>
  <c r="IV19"/>
  <c r="A18"/>
  <c r="B18"/>
  <c r="C18"/>
  <c r="D18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AY18"/>
  <c r="AZ18"/>
  <c r="BA18"/>
  <c r="BB18"/>
  <c r="BC18"/>
  <c r="BD18"/>
  <c r="BE18"/>
  <c r="BF18"/>
  <c r="BG18"/>
  <c r="BH18"/>
  <c r="BI18"/>
  <c r="BJ18"/>
  <c r="BK18"/>
  <c r="BL18"/>
  <c r="BM18"/>
  <c r="BN18"/>
  <c r="BO18"/>
  <c r="BP18"/>
  <c r="BQ18"/>
  <c r="BR18"/>
  <c r="BS18"/>
  <c r="BT18"/>
  <c r="BU18"/>
  <c r="BV18"/>
  <c r="BW18"/>
  <c r="BX18"/>
  <c r="BY18"/>
  <c r="BZ18"/>
  <c r="CA18"/>
  <c r="CB18"/>
  <c r="CC18"/>
  <c r="CD18"/>
  <c r="CE18"/>
  <c r="CF18"/>
  <c r="CG18"/>
  <c r="CH18"/>
  <c r="CI18"/>
  <c r="CJ18"/>
  <c r="CK18"/>
  <c r="CL18"/>
  <c r="CM18"/>
  <c r="CN18"/>
  <c r="CO18"/>
  <c r="CP18"/>
  <c r="CQ18"/>
  <c r="CR18"/>
  <c r="CS18"/>
  <c r="CT18"/>
  <c r="CU18"/>
  <c r="CV18"/>
  <c r="CW18"/>
  <c r="CX18"/>
  <c r="CY18"/>
  <c r="CZ18"/>
  <c r="DA18"/>
  <c r="DB18"/>
  <c r="DC18"/>
  <c r="DD18"/>
  <c r="DE18"/>
  <c r="DF18"/>
  <c r="DG18"/>
  <c r="DH18"/>
  <c r="DI18"/>
  <c r="DJ18"/>
  <c r="DK18"/>
  <c r="DL18"/>
  <c r="DM18"/>
  <c r="DN18"/>
  <c r="DO18"/>
  <c r="DP18"/>
  <c r="DQ18"/>
  <c r="DR18"/>
  <c r="DS18"/>
  <c r="DT18"/>
  <c r="DU18"/>
  <c r="DV18"/>
  <c r="DW18"/>
  <c r="DX18"/>
  <c r="DY18"/>
  <c r="DZ18"/>
  <c r="EA18"/>
  <c r="EB18"/>
  <c r="EC18"/>
  <c r="ED18"/>
  <c r="EE18"/>
  <c r="EF18"/>
  <c r="EG18"/>
  <c r="EH18"/>
  <c r="EI18"/>
  <c r="EJ18"/>
  <c r="EK18"/>
  <c r="EL18"/>
  <c r="EM18"/>
  <c r="EN18"/>
  <c r="EO18"/>
  <c r="EP18"/>
  <c r="EQ18"/>
  <c r="ER18"/>
  <c r="ES18"/>
  <c r="ET18"/>
  <c r="EU18"/>
  <c r="EV18"/>
  <c r="EW18"/>
  <c r="EX18"/>
  <c r="EY18"/>
  <c r="EZ18"/>
  <c r="FA18"/>
  <c r="FB18"/>
  <c r="FC18"/>
  <c r="FD18"/>
  <c r="FE18"/>
  <c r="FF18"/>
  <c r="FG18"/>
  <c r="FH18"/>
  <c r="FI18"/>
  <c r="FJ18"/>
  <c r="FK18"/>
  <c r="FL18"/>
  <c r="FM18"/>
  <c r="FN18"/>
  <c r="FO18"/>
  <c r="FP18"/>
  <c r="FQ18"/>
  <c r="FR18"/>
  <c r="FS18"/>
  <c r="FT18"/>
  <c r="FU18"/>
  <c r="FV18"/>
  <c r="FW18"/>
  <c r="FX18"/>
  <c r="FY18"/>
  <c r="FZ18"/>
  <c r="GA18"/>
  <c r="GB18"/>
  <c r="GC18"/>
  <c r="GD18"/>
  <c r="GE18"/>
  <c r="GF18"/>
  <c r="GG18"/>
  <c r="GH18"/>
  <c r="GI18"/>
  <c r="GJ18"/>
  <c r="GK18"/>
  <c r="GL18"/>
  <c r="GM18"/>
  <c r="GN18"/>
  <c r="GO18"/>
  <c r="GP18"/>
  <c r="GQ18"/>
  <c r="GR18"/>
  <c r="GS18"/>
  <c r="GT18"/>
  <c r="GU18"/>
  <c r="GV18"/>
  <c r="GW18"/>
  <c r="GX18"/>
  <c r="GY18"/>
  <c r="GZ18"/>
  <c r="HA18"/>
  <c r="HB18"/>
  <c r="HC18"/>
  <c r="HD18"/>
  <c r="HE18"/>
  <c r="HF18"/>
  <c r="HG18"/>
  <c r="HH18"/>
  <c r="HI18"/>
  <c r="HJ18"/>
  <c r="HK18"/>
  <c r="HL18"/>
  <c r="HM18"/>
  <c r="HN18"/>
  <c r="HO18"/>
  <c r="HP18"/>
  <c r="HQ18"/>
  <c r="HR18"/>
  <c r="HS18"/>
  <c r="HT18"/>
  <c r="HU18"/>
  <c r="HV18"/>
  <c r="HW18"/>
  <c r="HX18"/>
  <c r="HY18"/>
  <c r="HZ18"/>
  <c r="IA18"/>
  <c r="IB18"/>
  <c r="IC18"/>
  <c r="ID18"/>
  <c r="IE18"/>
  <c r="IF18"/>
  <c r="IG18"/>
  <c r="IH18"/>
  <c r="II18"/>
  <c r="IJ18"/>
  <c r="IK18"/>
  <c r="IL18"/>
  <c r="IM18"/>
  <c r="IN18"/>
  <c r="IO18"/>
  <c r="IP18"/>
  <c r="IQ18"/>
  <c r="IR18"/>
  <c r="IS18"/>
  <c r="IT18"/>
  <c r="IU18"/>
  <c r="IV18"/>
  <c r="A17"/>
  <c r="B17"/>
  <c r="C17"/>
  <c r="D17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AZ17"/>
  <c r="BA17"/>
  <c r="BB17"/>
  <c r="BC17"/>
  <c r="BD17"/>
  <c r="BE17"/>
  <c r="BF17"/>
  <c r="BG17"/>
  <c r="BH17"/>
  <c r="BI17"/>
  <c r="BJ17"/>
  <c r="BK17"/>
  <c r="BL17"/>
  <c r="BM17"/>
  <c r="BN17"/>
  <c r="BO17"/>
  <c r="BP17"/>
  <c r="BQ17"/>
  <c r="BR17"/>
  <c r="BS17"/>
  <c r="BT17"/>
  <c r="BU17"/>
  <c r="BV17"/>
  <c r="BW17"/>
  <c r="BX17"/>
  <c r="BY17"/>
  <c r="BZ17"/>
  <c r="CA17"/>
  <c r="CB17"/>
  <c r="CC17"/>
  <c r="CD17"/>
  <c r="CE17"/>
  <c r="CF17"/>
  <c r="CG17"/>
  <c r="CH17"/>
  <c r="CI17"/>
  <c r="CJ17"/>
  <c r="CK17"/>
  <c r="CL17"/>
  <c r="CM17"/>
  <c r="CN17"/>
  <c r="CO17"/>
  <c r="CP17"/>
  <c r="CQ17"/>
  <c r="CR17"/>
  <c r="CS17"/>
  <c r="CT17"/>
  <c r="CU17"/>
  <c r="CV17"/>
  <c r="CW17"/>
  <c r="CX17"/>
  <c r="CY17"/>
  <c r="CZ17"/>
  <c r="DA17"/>
  <c r="DB17"/>
  <c r="DC17"/>
  <c r="DD17"/>
  <c r="DE17"/>
  <c r="DF17"/>
  <c r="DG17"/>
  <c r="DH17"/>
  <c r="DI17"/>
  <c r="DJ17"/>
  <c r="DK17"/>
  <c r="DL17"/>
  <c r="DM17"/>
  <c r="DN17"/>
  <c r="DO17"/>
  <c r="DP17"/>
  <c r="DQ17"/>
  <c r="DR17"/>
  <c r="DS17"/>
  <c r="DT17"/>
  <c r="DU17"/>
  <c r="DV17"/>
  <c r="DW17"/>
  <c r="DX17"/>
  <c r="DY17"/>
  <c r="DZ17"/>
  <c r="EA17"/>
  <c r="EB17"/>
  <c r="EC17"/>
  <c r="ED17"/>
  <c r="EE17"/>
  <c r="EF17"/>
  <c r="EG17"/>
  <c r="EH17"/>
  <c r="EI17"/>
  <c r="EJ17"/>
  <c r="EK17"/>
  <c r="EL17"/>
  <c r="EM17"/>
  <c r="EN17"/>
  <c r="EO17"/>
  <c r="EP17"/>
  <c r="EQ17"/>
  <c r="ER17"/>
  <c r="ES17"/>
  <c r="ET17"/>
  <c r="EU17"/>
  <c r="EV17"/>
  <c r="EW17"/>
  <c r="EX17"/>
  <c r="EY17"/>
  <c r="EZ17"/>
  <c r="FA17"/>
  <c r="FB17"/>
  <c r="FC17"/>
  <c r="FD17"/>
  <c r="FE17"/>
  <c r="FF17"/>
  <c r="FG17"/>
  <c r="FH17"/>
  <c r="FI17"/>
  <c r="FJ17"/>
  <c r="FK17"/>
  <c r="FL17"/>
  <c r="FM17"/>
  <c r="FN17"/>
  <c r="FO17"/>
  <c r="FP17"/>
  <c r="FQ17"/>
  <c r="FR17"/>
  <c r="FS17"/>
  <c r="FT17"/>
  <c r="FU17"/>
  <c r="FV17"/>
  <c r="FW17"/>
  <c r="FX17"/>
  <c r="FY17"/>
  <c r="FZ17"/>
  <c r="GA17"/>
  <c r="GB17"/>
  <c r="GC17"/>
  <c r="GD17"/>
  <c r="GE17"/>
  <c r="GF17"/>
  <c r="GG17"/>
  <c r="GH17"/>
  <c r="GI17"/>
  <c r="GJ17"/>
  <c r="GK17"/>
  <c r="GL17"/>
  <c r="GM17"/>
  <c r="GN17"/>
  <c r="GO17"/>
  <c r="GP17"/>
  <c r="GQ17"/>
  <c r="GR17"/>
  <c r="GS17"/>
  <c r="GT17"/>
  <c r="GU17"/>
  <c r="GV17"/>
  <c r="GW17"/>
  <c r="GX17"/>
  <c r="GY17"/>
  <c r="GZ17"/>
  <c r="HA17"/>
  <c r="HB17"/>
  <c r="HC17"/>
  <c r="HD17"/>
  <c r="HE17"/>
  <c r="HF17"/>
  <c r="HG17"/>
  <c r="HH17"/>
  <c r="HI17"/>
  <c r="HJ17"/>
  <c r="HK17"/>
  <c r="HL17"/>
  <c r="HM17"/>
  <c r="HN17"/>
  <c r="HO17"/>
  <c r="HP17"/>
  <c r="HQ17"/>
  <c r="HR17"/>
  <c r="HS17"/>
  <c r="HT17"/>
  <c r="HU17"/>
  <c r="HV17"/>
  <c r="HW17"/>
  <c r="HX17"/>
  <c r="HY17"/>
  <c r="HZ17"/>
  <c r="IA17"/>
  <c r="IB17"/>
  <c r="IC17"/>
  <c r="ID17"/>
  <c r="IE17"/>
  <c r="IF17"/>
  <c r="IG17"/>
  <c r="IH17"/>
  <c r="II17"/>
  <c r="IJ17"/>
  <c r="IK17"/>
  <c r="IL17"/>
  <c r="IM17"/>
  <c r="IN17"/>
  <c r="IO17"/>
  <c r="IP17"/>
  <c r="IQ17"/>
  <c r="IR17"/>
  <c r="IS17"/>
  <c r="IT17"/>
  <c r="IU17"/>
  <c r="IV17"/>
  <c r="A16"/>
  <c r="B16"/>
  <c r="C16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X16"/>
  <c r="AY16"/>
  <c r="AZ16"/>
  <c r="BA16"/>
  <c r="BB16"/>
  <c r="BC16"/>
  <c r="BD16"/>
  <c r="BE16"/>
  <c r="BF16"/>
  <c r="BG16"/>
  <c r="BH16"/>
  <c r="BI16"/>
  <c r="BJ16"/>
  <c r="BK16"/>
  <c r="BL16"/>
  <c r="BM16"/>
  <c r="BN16"/>
  <c r="BO16"/>
  <c r="BP16"/>
  <c r="BQ16"/>
  <c r="BR16"/>
  <c r="BS16"/>
  <c r="BT16"/>
  <c r="BU16"/>
  <c r="BV16"/>
  <c r="BW16"/>
  <c r="BX16"/>
  <c r="BY16"/>
  <c r="BZ16"/>
  <c r="CA16"/>
  <c r="CB16"/>
  <c r="CC16"/>
  <c r="CD16"/>
  <c r="CE16"/>
  <c r="CF16"/>
  <c r="CG16"/>
  <c r="CH16"/>
  <c r="CI16"/>
  <c r="CJ16"/>
  <c r="CK16"/>
  <c r="CL16"/>
  <c r="CM16"/>
  <c r="CN16"/>
  <c r="CO16"/>
  <c r="CP16"/>
  <c r="CQ16"/>
  <c r="CR16"/>
  <c r="CS16"/>
  <c r="CT16"/>
  <c r="CU16"/>
  <c r="CV16"/>
  <c r="CW16"/>
  <c r="CX16"/>
  <c r="CY16"/>
  <c r="CZ16"/>
  <c r="DA16"/>
  <c r="DB16"/>
  <c r="DC16"/>
  <c r="DD16"/>
  <c r="DE16"/>
  <c r="DF16"/>
  <c r="DG16"/>
  <c r="DH16"/>
  <c r="DI16"/>
  <c r="DJ16"/>
  <c r="DK16"/>
  <c r="DL16"/>
  <c r="DM16"/>
  <c r="DN16"/>
  <c r="DO16"/>
  <c r="DP16"/>
  <c r="DQ16"/>
  <c r="DR16"/>
  <c r="DS16"/>
  <c r="DT16"/>
  <c r="DU16"/>
  <c r="DV16"/>
  <c r="DW16"/>
  <c r="DX16"/>
  <c r="DY16"/>
  <c r="DZ16"/>
  <c r="EA16"/>
  <c r="EB16"/>
  <c r="EC16"/>
  <c r="ED16"/>
  <c r="EE16"/>
  <c r="EF16"/>
  <c r="EG16"/>
  <c r="EH16"/>
  <c r="EI16"/>
  <c r="EJ16"/>
  <c r="EK16"/>
  <c r="EL16"/>
  <c r="EM16"/>
  <c r="EN16"/>
  <c r="EO16"/>
  <c r="EP16"/>
  <c r="EQ16"/>
  <c r="ER16"/>
  <c r="ES16"/>
  <c r="ET16"/>
  <c r="EU16"/>
  <c r="EV16"/>
  <c r="EW16"/>
  <c r="EX16"/>
  <c r="EY16"/>
  <c r="EZ16"/>
  <c r="FA16"/>
  <c r="FB16"/>
  <c r="FC16"/>
  <c r="FD16"/>
  <c r="FE16"/>
  <c r="FF16"/>
  <c r="FG16"/>
  <c r="FH16"/>
  <c r="FI16"/>
  <c r="FJ16"/>
  <c r="FK16"/>
  <c r="FL16"/>
  <c r="FM16"/>
  <c r="FN16"/>
  <c r="FO16"/>
  <c r="FP16"/>
  <c r="FQ16"/>
  <c r="FR16"/>
  <c r="FS16"/>
  <c r="FT16"/>
  <c r="FU16"/>
  <c r="FV16"/>
  <c r="FW16"/>
  <c r="FX16"/>
  <c r="FY16"/>
  <c r="FZ16"/>
  <c r="GA16"/>
  <c r="GB16"/>
  <c r="GC16"/>
  <c r="GD16"/>
  <c r="GE16"/>
  <c r="GF16"/>
  <c r="GG16"/>
  <c r="GH16"/>
  <c r="GI16"/>
  <c r="GJ16"/>
  <c r="GK16"/>
  <c r="GL16"/>
  <c r="GM16"/>
  <c r="GN16"/>
  <c r="GO16"/>
  <c r="GP16"/>
  <c r="GQ16"/>
  <c r="GR16"/>
  <c r="GS16"/>
  <c r="GT16"/>
  <c r="GU16"/>
  <c r="GV16"/>
  <c r="GW16"/>
  <c r="GX16"/>
  <c r="GY16"/>
  <c r="GZ16"/>
  <c r="HA16"/>
  <c r="HB16"/>
  <c r="HC16"/>
  <c r="HD16"/>
  <c r="HE16"/>
  <c r="HF16"/>
  <c r="HG16"/>
  <c r="HH16"/>
  <c r="HI16"/>
  <c r="HJ16"/>
  <c r="HK16"/>
  <c r="HL16"/>
  <c r="HM16"/>
  <c r="HN16"/>
  <c r="HO16"/>
  <c r="HP16"/>
  <c r="HQ16"/>
  <c r="HR16"/>
  <c r="HS16"/>
  <c r="HT16"/>
  <c r="HU16"/>
  <c r="HV16"/>
  <c r="HW16"/>
  <c r="HX16"/>
  <c r="HY16"/>
  <c r="HZ16"/>
  <c r="IA16"/>
  <c r="IB16"/>
  <c r="IC16"/>
  <c r="ID16"/>
  <c r="IE16"/>
  <c r="IF16"/>
  <c r="IG16"/>
  <c r="IH16"/>
  <c r="II16"/>
  <c r="IJ16"/>
  <c r="IK16"/>
  <c r="IL16"/>
  <c r="IM16"/>
  <c r="IN16"/>
  <c r="IO16"/>
  <c r="IP16"/>
  <c r="IQ16"/>
  <c r="IR16"/>
  <c r="IS16"/>
  <c r="IT16"/>
  <c r="IU16"/>
  <c r="IV16"/>
  <c r="A15"/>
  <c r="B15"/>
  <c r="C15"/>
  <c r="D1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W15"/>
  <c r="AX15"/>
  <c r="AY15"/>
  <c r="AZ15"/>
  <c r="BA15"/>
  <c r="BB15"/>
  <c r="BC15"/>
  <c r="BD15"/>
  <c r="BE15"/>
  <c r="BF15"/>
  <c r="BG15"/>
  <c r="BH15"/>
  <c r="BI15"/>
  <c r="BJ15"/>
  <c r="BK15"/>
  <c r="BL15"/>
  <c r="BM15"/>
  <c r="BN15"/>
  <c r="BO15"/>
  <c r="BP15"/>
  <c r="BQ15"/>
  <c r="BR15"/>
  <c r="BS15"/>
  <c r="BT15"/>
  <c r="BU15"/>
  <c r="BV15"/>
  <c r="BW15"/>
  <c r="BX15"/>
  <c r="BY15"/>
  <c r="BZ15"/>
  <c r="CA15"/>
  <c r="CB15"/>
  <c r="CC15"/>
  <c r="CD15"/>
  <c r="CE15"/>
  <c r="CF15"/>
  <c r="CG15"/>
  <c r="CH15"/>
  <c r="CI15"/>
  <c r="CJ15"/>
  <c r="CK15"/>
  <c r="CL15"/>
  <c r="CM15"/>
  <c r="CN15"/>
  <c r="CO15"/>
  <c r="CP15"/>
  <c r="CQ15"/>
  <c r="CR15"/>
  <c r="CS15"/>
  <c r="CT15"/>
  <c r="CU15"/>
  <c r="CV15"/>
  <c r="CW15"/>
  <c r="CX15"/>
  <c r="CY15"/>
  <c r="CZ15"/>
  <c r="DA15"/>
  <c r="DB15"/>
  <c r="DC15"/>
  <c r="DD15"/>
  <c r="DE15"/>
  <c r="DF15"/>
  <c r="DG15"/>
  <c r="DH15"/>
  <c r="DI15"/>
  <c r="DJ15"/>
  <c r="DK15"/>
  <c r="DL15"/>
  <c r="DM15"/>
  <c r="DN15"/>
  <c r="DO15"/>
  <c r="DP15"/>
  <c r="DQ15"/>
  <c r="DR15"/>
  <c r="DS15"/>
  <c r="DT15"/>
  <c r="DU15"/>
  <c r="DV15"/>
  <c r="DW15"/>
  <c r="DX15"/>
  <c r="DY15"/>
  <c r="DZ15"/>
  <c r="EA15"/>
  <c r="EB15"/>
  <c r="EC15"/>
  <c r="ED15"/>
  <c r="EE15"/>
  <c r="EF15"/>
  <c r="EG15"/>
  <c r="EH15"/>
  <c r="EI15"/>
  <c r="EJ15"/>
  <c r="EK15"/>
  <c r="EL15"/>
  <c r="EM15"/>
  <c r="EN15"/>
  <c r="EO15"/>
  <c r="EP15"/>
  <c r="EQ15"/>
  <c r="ER15"/>
  <c r="ES15"/>
  <c r="ET15"/>
  <c r="EU15"/>
  <c r="EV15"/>
  <c r="EW15"/>
  <c r="EX15"/>
  <c r="EY15"/>
  <c r="EZ15"/>
  <c r="FA15"/>
  <c r="FB15"/>
  <c r="FC15"/>
  <c r="FD15"/>
  <c r="FE15"/>
  <c r="FF15"/>
  <c r="FG15"/>
  <c r="FH15"/>
  <c r="FI15"/>
  <c r="FJ15"/>
  <c r="FK15"/>
  <c r="FL15"/>
  <c r="FM15"/>
  <c r="FN15"/>
  <c r="FO15"/>
  <c r="FP15"/>
  <c r="FQ15"/>
  <c r="FR15"/>
  <c r="FS15"/>
  <c r="FT15"/>
  <c r="FU15"/>
  <c r="FV15"/>
  <c r="FW15"/>
  <c r="FX15"/>
  <c r="FY15"/>
  <c r="FZ15"/>
  <c r="GA15"/>
  <c r="GB15"/>
  <c r="GC15"/>
  <c r="GD15"/>
  <c r="GE15"/>
  <c r="GF15"/>
  <c r="GG15"/>
  <c r="GH15"/>
  <c r="GI15"/>
  <c r="GJ15"/>
  <c r="GK15"/>
  <c r="GL15"/>
  <c r="GM15"/>
  <c r="GN15"/>
  <c r="GO15"/>
  <c r="GP15"/>
  <c r="GQ15"/>
  <c r="GR15"/>
  <c r="GS15"/>
  <c r="GT15"/>
  <c r="GU15"/>
  <c r="GV15"/>
  <c r="GW15"/>
  <c r="GX15"/>
  <c r="GY15"/>
  <c r="GZ15"/>
  <c r="HA15"/>
  <c r="HB15"/>
  <c r="HC15"/>
  <c r="HD15"/>
  <c r="HE15"/>
  <c r="HF15"/>
  <c r="HG15"/>
  <c r="HH15"/>
  <c r="HI15"/>
  <c r="HJ15"/>
  <c r="HK15"/>
  <c r="HL15"/>
  <c r="HM15"/>
  <c r="HN15"/>
  <c r="HO15"/>
  <c r="HP15"/>
  <c r="HQ15"/>
  <c r="HR15"/>
  <c r="HS15"/>
  <c r="HT15"/>
  <c r="HU15"/>
  <c r="HV15"/>
  <c r="HW15"/>
  <c r="HX15"/>
  <c r="HY15"/>
  <c r="HZ15"/>
  <c r="IA15"/>
  <c r="IB15"/>
  <c r="IC15"/>
  <c r="ID15"/>
  <c r="IE15"/>
  <c r="IF15"/>
  <c r="IG15"/>
  <c r="IH15"/>
  <c r="II15"/>
  <c r="IJ15"/>
  <c r="IK15"/>
  <c r="IL15"/>
  <c r="IM15"/>
  <c r="IN15"/>
  <c r="IO15"/>
  <c r="IP15"/>
  <c r="IQ15"/>
  <c r="IR15"/>
  <c r="IS15"/>
  <c r="IT15"/>
  <c r="IU15"/>
  <c r="IV15"/>
  <c r="A14"/>
  <c r="B14"/>
  <c r="C14"/>
  <c r="D14"/>
  <c r="E14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AR14"/>
  <c r="AS14"/>
  <c r="AT14"/>
  <c r="AU14"/>
  <c r="AV14"/>
  <c r="AW14"/>
  <c r="AX14"/>
  <c r="AY14"/>
  <c r="AZ14"/>
  <c r="BA14"/>
  <c r="BB14"/>
  <c r="BC14"/>
  <c r="BD14"/>
  <c r="BE14"/>
  <c r="BF14"/>
  <c r="BG14"/>
  <c r="BH14"/>
  <c r="BI14"/>
  <c r="BJ14"/>
  <c r="BK14"/>
  <c r="BL14"/>
  <c r="BM14"/>
  <c r="BN14"/>
  <c r="BO14"/>
  <c r="BP14"/>
  <c r="BQ14"/>
  <c r="BR14"/>
  <c r="BS14"/>
  <c r="BT14"/>
  <c r="BU14"/>
  <c r="BV14"/>
  <c r="BW14"/>
  <c r="BX14"/>
  <c r="BY14"/>
  <c r="BZ14"/>
  <c r="CA14"/>
  <c r="CB14"/>
  <c r="CC14"/>
  <c r="CD14"/>
  <c r="CE14"/>
  <c r="CF14"/>
  <c r="CG14"/>
  <c r="CH14"/>
  <c r="CI14"/>
  <c r="CJ14"/>
  <c r="CK14"/>
  <c r="CL14"/>
  <c r="CM14"/>
  <c r="CN14"/>
  <c r="CO14"/>
  <c r="CP14"/>
  <c r="CQ14"/>
  <c r="CR14"/>
  <c r="CS14"/>
  <c r="CT14"/>
  <c r="CU14"/>
  <c r="CV14"/>
  <c r="CW14"/>
  <c r="CX14"/>
  <c r="CY14"/>
  <c r="CZ14"/>
  <c r="DA14"/>
  <c r="DB14"/>
  <c r="DC14"/>
  <c r="DD14"/>
  <c r="DE14"/>
  <c r="DF14"/>
  <c r="DG14"/>
  <c r="DH14"/>
  <c r="DI14"/>
  <c r="DJ14"/>
  <c r="DK14"/>
  <c r="DL14"/>
  <c r="DM14"/>
  <c r="DN14"/>
  <c r="DO14"/>
  <c r="DP14"/>
  <c r="DQ14"/>
  <c r="DR14"/>
  <c r="DS14"/>
  <c r="DT14"/>
  <c r="DU14"/>
  <c r="DV14"/>
  <c r="DW14"/>
  <c r="DX14"/>
  <c r="DY14"/>
  <c r="DZ14"/>
  <c r="EA14"/>
  <c r="EB14"/>
  <c r="EC14"/>
  <c r="ED14"/>
  <c r="EE14"/>
  <c r="EF14"/>
  <c r="EG14"/>
  <c r="EH14"/>
  <c r="EI14"/>
  <c r="EJ14"/>
  <c r="EK14"/>
  <c r="EL14"/>
  <c r="EM14"/>
  <c r="EN14"/>
  <c r="EO14"/>
  <c r="EP14"/>
  <c r="EQ14"/>
  <c r="ER14"/>
  <c r="ES14"/>
  <c r="ET14"/>
  <c r="EU14"/>
  <c r="EV14"/>
  <c r="EW14"/>
  <c r="EX14"/>
  <c r="EY14"/>
  <c r="EZ14"/>
  <c r="FA14"/>
  <c r="FB14"/>
  <c r="FC14"/>
  <c r="FD14"/>
  <c r="FE14"/>
  <c r="FF14"/>
  <c r="FG14"/>
  <c r="FH14"/>
  <c r="FI14"/>
  <c r="FJ14"/>
  <c r="FK14"/>
  <c r="FL14"/>
  <c r="FM14"/>
  <c r="FN14"/>
  <c r="FO14"/>
  <c r="FP14"/>
  <c r="FQ14"/>
  <c r="FR14"/>
  <c r="FS14"/>
  <c r="FT14"/>
  <c r="FU14"/>
  <c r="FV14"/>
  <c r="FW14"/>
  <c r="FX14"/>
  <c r="FY14"/>
  <c r="FZ14"/>
  <c r="GA14"/>
  <c r="GB14"/>
  <c r="GC14"/>
  <c r="GD14"/>
  <c r="GE14"/>
  <c r="GF14"/>
  <c r="GG14"/>
  <c r="GH14"/>
  <c r="GI14"/>
  <c r="GJ14"/>
  <c r="GK14"/>
  <c r="GL14"/>
  <c r="GM14"/>
  <c r="GN14"/>
  <c r="GO14"/>
  <c r="GP14"/>
  <c r="GQ14"/>
  <c r="GR14"/>
  <c r="GS14"/>
  <c r="GT14"/>
  <c r="GU14"/>
  <c r="GV14"/>
  <c r="GW14"/>
  <c r="GX14"/>
  <c r="GY14"/>
  <c r="GZ14"/>
  <c r="HA14"/>
  <c r="HB14"/>
  <c r="HC14"/>
  <c r="HD14"/>
  <c r="HE14"/>
  <c r="HF14"/>
  <c r="HG14"/>
  <c r="HH14"/>
  <c r="HI14"/>
  <c r="HJ14"/>
  <c r="HK14"/>
  <c r="HL14"/>
  <c r="HM14"/>
  <c r="HN14"/>
  <c r="HO14"/>
  <c r="HP14"/>
  <c r="HQ14"/>
  <c r="HR14"/>
  <c r="HS14"/>
  <c r="HT14"/>
  <c r="HU14"/>
  <c r="HV14"/>
  <c r="HW14"/>
  <c r="HX14"/>
  <c r="HY14"/>
  <c r="HZ14"/>
  <c r="IA14"/>
  <c r="IB14"/>
  <c r="IC14"/>
  <c r="ID14"/>
  <c r="IE14"/>
  <c r="IF14"/>
  <c r="IG14"/>
  <c r="IH14"/>
  <c r="II14"/>
  <c r="IJ14"/>
  <c r="IK14"/>
  <c r="IL14"/>
  <c r="IM14"/>
  <c r="IN14"/>
  <c r="IO14"/>
  <c r="IP14"/>
  <c r="IQ14"/>
  <c r="IR14"/>
  <c r="IS14"/>
  <c r="IT14"/>
  <c r="IU14"/>
  <c r="IV14"/>
  <c r="A13"/>
  <c r="B13"/>
  <c r="C13"/>
  <c r="D13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AR13"/>
  <c r="AS13"/>
  <c r="AT13"/>
  <c r="AU13"/>
  <c r="AV13"/>
  <c r="AW13"/>
  <c r="AX13"/>
  <c r="AY13"/>
  <c r="AZ13"/>
  <c r="BA13"/>
  <c r="BB13"/>
  <c r="BC13"/>
  <c r="BD13"/>
  <c r="BE13"/>
  <c r="BF13"/>
  <c r="BG13"/>
  <c r="BH13"/>
  <c r="BI13"/>
  <c r="BJ13"/>
  <c r="BK13"/>
  <c r="BL13"/>
  <c r="BM13"/>
  <c r="BN13"/>
  <c r="BO13"/>
  <c r="BP13"/>
  <c r="BQ13"/>
  <c r="BR13"/>
  <c r="BS13"/>
  <c r="BT13"/>
  <c r="BU13"/>
  <c r="BV13"/>
  <c r="BW13"/>
  <c r="BX13"/>
  <c r="BY13"/>
  <c r="BZ13"/>
  <c r="CA13"/>
  <c r="CB13"/>
  <c r="CC13"/>
  <c r="CD13"/>
  <c r="CE13"/>
  <c r="CF13"/>
  <c r="CG13"/>
  <c r="CH13"/>
  <c r="CI13"/>
  <c r="CJ13"/>
  <c r="CK13"/>
  <c r="CL13"/>
  <c r="CM13"/>
  <c r="CN13"/>
  <c r="CO13"/>
  <c r="CP13"/>
  <c r="CQ13"/>
  <c r="CR13"/>
  <c r="CS13"/>
  <c r="CT13"/>
  <c r="CU13"/>
  <c r="CV13"/>
  <c r="CW13"/>
  <c r="CX13"/>
  <c r="CY13"/>
  <c r="CZ13"/>
  <c r="DA13"/>
  <c r="DB13"/>
  <c r="DC13"/>
  <c r="DD13"/>
  <c r="DE13"/>
  <c r="DF13"/>
  <c r="DG13"/>
  <c r="DH13"/>
  <c r="DI13"/>
  <c r="DJ13"/>
  <c r="DK13"/>
  <c r="DL13"/>
  <c r="DM13"/>
  <c r="DN13"/>
  <c r="DO13"/>
  <c r="DP13"/>
  <c r="DQ13"/>
  <c r="DR13"/>
  <c r="DS13"/>
  <c r="DT13"/>
  <c r="DU13"/>
  <c r="DV13"/>
  <c r="DW13"/>
  <c r="DX13"/>
  <c r="DY13"/>
  <c r="DZ13"/>
  <c r="EA13"/>
  <c r="EB13"/>
  <c r="EC13"/>
  <c r="ED13"/>
  <c r="EE13"/>
  <c r="EF13"/>
  <c r="EG13"/>
  <c r="EH13"/>
  <c r="EI13"/>
  <c r="EJ13"/>
  <c r="EK13"/>
  <c r="EL13"/>
  <c r="EM13"/>
  <c r="EN13"/>
  <c r="EO13"/>
  <c r="EP13"/>
  <c r="EQ13"/>
  <c r="ER13"/>
  <c r="ES13"/>
  <c r="ET13"/>
  <c r="EU13"/>
  <c r="EV13"/>
  <c r="EW13"/>
  <c r="EX13"/>
  <c r="EY13"/>
  <c r="EZ13"/>
  <c r="FA13"/>
  <c r="FB13"/>
  <c r="FC13"/>
  <c r="FD13"/>
  <c r="FE13"/>
  <c r="FF13"/>
  <c r="FG13"/>
  <c r="FH13"/>
  <c r="FI13"/>
  <c r="FJ13"/>
  <c r="FK13"/>
  <c r="FL13"/>
  <c r="FM13"/>
  <c r="FN13"/>
  <c r="FO13"/>
  <c r="FP13"/>
  <c r="FQ13"/>
  <c r="FR13"/>
  <c r="FS13"/>
  <c r="FT13"/>
  <c r="FU13"/>
  <c r="FV13"/>
  <c r="FW13"/>
  <c r="FX13"/>
  <c r="FY13"/>
  <c r="FZ13"/>
  <c r="GA13"/>
  <c r="GB13"/>
  <c r="GC13"/>
  <c r="GD13"/>
  <c r="GE13"/>
  <c r="GF13"/>
  <c r="GG13"/>
  <c r="GH13"/>
  <c r="GI13"/>
  <c r="GJ13"/>
  <c r="GK13"/>
  <c r="GL13"/>
  <c r="GM13"/>
  <c r="GN13"/>
  <c r="GO13"/>
  <c r="GP13"/>
  <c r="GQ13"/>
  <c r="GR13"/>
  <c r="GS13"/>
  <c r="GT13"/>
  <c r="GU13"/>
  <c r="GV13"/>
  <c r="GW13"/>
  <c r="GX13"/>
  <c r="GY13"/>
  <c r="GZ13"/>
  <c r="HA13"/>
  <c r="HB13"/>
  <c r="HC13"/>
  <c r="HD13"/>
  <c r="HE13"/>
  <c r="HF13"/>
  <c r="HG13"/>
  <c r="HH13"/>
  <c r="HI13"/>
  <c r="HJ13"/>
  <c r="HK13"/>
  <c r="HL13"/>
  <c r="HM13"/>
  <c r="HN13"/>
  <c r="HO13"/>
  <c r="HP13"/>
  <c r="HQ13"/>
  <c r="HR13"/>
  <c r="HS13"/>
  <c r="HT13"/>
  <c r="HU13"/>
  <c r="HV13"/>
  <c r="HW13"/>
  <c r="HX13"/>
  <c r="HY13"/>
  <c r="HZ13"/>
  <c r="IA13"/>
  <c r="IB13"/>
  <c r="IC13"/>
  <c r="ID13"/>
  <c r="IE13"/>
  <c r="IF13"/>
  <c r="IG13"/>
  <c r="IH13"/>
  <c r="II13"/>
  <c r="IJ13"/>
  <c r="IK13"/>
  <c r="IL13"/>
  <c r="IM13"/>
  <c r="IN13"/>
  <c r="IO13"/>
  <c r="IP13"/>
  <c r="IQ13"/>
  <c r="IR13"/>
  <c r="IS13"/>
  <c r="IT13"/>
  <c r="IU13"/>
  <c r="IV13"/>
  <c r="A12"/>
  <c r="B12"/>
  <c r="C12"/>
  <c r="D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AR12"/>
  <c r="AS12"/>
  <c r="AT12"/>
  <c r="AU12"/>
  <c r="AV12"/>
  <c r="AW12"/>
  <c r="AX12"/>
  <c r="AY12"/>
  <c r="AZ12"/>
  <c r="BA12"/>
  <c r="BB12"/>
  <c r="BC12"/>
  <c r="BD12"/>
  <c r="BE12"/>
  <c r="BF12"/>
  <c r="BG12"/>
  <c r="BH12"/>
  <c r="BI12"/>
  <c r="BJ12"/>
  <c r="BK12"/>
  <c r="BL12"/>
  <c r="BM12"/>
  <c r="BN12"/>
  <c r="BO12"/>
  <c r="BP12"/>
  <c r="BQ12"/>
  <c r="BR12"/>
  <c r="BS12"/>
  <c r="BT12"/>
  <c r="BU12"/>
  <c r="BV12"/>
  <c r="BW12"/>
  <c r="BX12"/>
  <c r="BY12"/>
  <c r="BZ12"/>
  <c r="CA12"/>
  <c r="CB12"/>
  <c r="CC12"/>
  <c r="CD12"/>
  <c r="CE12"/>
  <c r="CF12"/>
  <c r="CG12"/>
  <c r="CH12"/>
  <c r="CI12"/>
  <c r="CJ12"/>
  <c r="CK12"/>
  <c r="CL12"/>
  <c r="CM12"/>
  <c r="CN12"/>
  <c r="CO12"/>
  <c r="CP12"/>
  <c r="CQ12"/>
  <c r="CR12"/>
  <c r="CS12"/>
  <c r="CT12"/>
  <c r="CU12"/>
  <c r="CV12"/>
  <c r="CW12"/>
  <c r="CX12"/>
  <c r="CY12"/>
  <c r="CZ12"/>
  <c r="DA12"/>
  <c r="DB12"/>
  <c r="DC12"/>
  <c r="DD12"/>
  <c r="DE12"/>
  <c r="DF12"/>
  <c r="DG12"/>
  <c r="DH12"/>
  <c r="DI12"/>
  <c r="DJ12"/>
  <c r="DK12"/>
  <c r="DL12"/>
  <c r="DM12"/>
  <c r="DN12"/>
  <c r="DO12"/>
  <c r="DP12"/>
  <c r="DQ12"/>
  <c r="DR12"/>
  <c r="DS12"/>
  <c r="DT12"/>
  <c r="DU12"/>
  <c r="DV12"/>
  <c r="DW12"/>
  <c r="DX12"/>
  <c r="DY12"/>
  <c r="DZ12"/>
  <c r="EA12"/>
  <c r="EB12"/>
  <c r="EC12"/>
  <c r="ED12"/>
  <c r="EE12"/>
  <c r="EF12"/>
  <c r="EG12"/>
  <c r="EH12"/>
  <c r="EI12"/>
  <c r="EJ12"/>
  <c r="EK12"/>
  <c r="EL12"/>
  <c r="EM12"/>
  <c r="EN12"/>
  <c r="EO12"/>
  <c r="EP12"/>
  <c r="EQ12"/>
  <c r="ER12"/>
  <c r="ES12"/>
  <c r="ET12"/>
  <c r="EU12"/>
  <c r="EV12"/>
  <c r="EW12"/>
  <c r="EX12"/>
  <c r="EY12"/>
  <c r="EZ12"/>
  <c r="FA12"/>
  <c r="FB12"/>
  <c r="FC12"/>
  <c r="FD12"/>
  <c r="FE12"/>
  <c r="FF12"/>
  <c r="FG12"/>
  <c r="FH12"/>
  <c r="FI12"/>
  <c r="FJ12"/>
  <c r="FK12"/>
  <c r="FL12"/>
  <c r="FM12"/>
  <c r="FN12"/>
  <c r="FO12"/>
  <c r="FP12"/>
  <c r="FQ12"/>
  <c r="FR12"/>
  <c r="FS12"/>
  <c r="FT12"/>
  <c r="FU12"/>
  <c r="FV12"/>
  <c r="FW12"/>
  <c r="FX12"/>
  <c r="FY12"/>
  <c r="FZ12"/>
  <c r="GA12"/>
  <c r="GB12"/>
  <c r="GC12"/>
  <c r="GD12"/>
  <c r="GE12"/>
  <c r="GF12"/>
  <c r="GG12"/>
  <c r="GH12"/>
  <c r="GI12"/>
  <c r="GJ12"/>
  <c r="GK12"/>
  <c r="GL12"/>
  <c r="GM12"/>
  <c r="GN12"/>
  <c r="GO12"/>
  <c r="GP12"/>
  <c r="GQ12"/>
  <c r="GR12"/>
  <c r="GS12"/>
  <c r="GT12"/>
  <c r="GU12"/>
  <c r="GV12"/>
  <c r="GW12"/>
  <c r="GX12"/>
  <c r="GY12"/>
  <c r="GZ12"/>
  <c r="HA12"/>
  <c r="HB12"/>
  <c r="HC12"/>
  <c r="HD12"/>
  <c r="HE12"/>
  <c r="HF12"/>
  <c r="HG12"/>
  <c r="HH12"/>
  <c r="HI12"/>
  <c r="HJ12"/>
  <c r="HK12"/>
  <c r="HL12"/>
  <c r="HM12"/>
  <c r="HN12"/>
  <c r="HO12"/>
  <c r="HP12"/>
  <c r="HQ12"/>
  <c r="HR12"/>
  <c r="HS12"/>
  <c r="HT12"/>
  <c r="HU12"/>
  <c r="HV12"/>
  <c r="HW12"/>
  <c r="HX12"/>
  <c r="HY12"/>
  <c r="HZ12"/>
  <c r="IA12"/>
  <c r="IB12"/>
  <c r="IC12"/>
  <c r="ID12"/>
  <c r="IE12"/>
  <c r="IF12"/>
  <c r="IG12"/>
  <c r="IH12"/>
  <c r="II12"/>
  <c r="IJ12"/>
  <c r="IK12"/>
  <c r="IL12"/>
  <c r="IM12"/>
  <c r="IN12"/>
  <c r="IO12"/>
  <c r="IP12"/>
  <c r="IQ12"/>
  <c r="IR12"/>
  <c r="IS12"/>
  <c r="IT12"/>
  <c r="IU12"/>
  <c r="IV12"/>
  <c r="A11"/>
  <c r="B11"/>
  <c r="C11"/>
  <c r="D11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AR11"/>
  <c r="AS11"/>
  <c r="AT11"/>
  <c r="AU11"/>
  <c r="AV11"/>
  <c r="AW11"/>
  <c r="AX11"/>
  <c r="AY11"/>
  <c r="AZ11"/>
  <c r="BA11"/>
  <c r="BB11"/>
  <c r="BC11"/>
  <c r="BD11"/>
  <c r="BE11"/>
  <c r="BF11"/>
  <c r="BG11"/>
  <c r="BH11"/>
  <c r="BI11"/>
  <c r="BJ11"/>
  <c r="BK11"/>
  <c r="BL11"/>
  <c r="BM11"/>
  <c r="BN11"/>
  <c r="BO11"/>
  <c r="BP11"/>
  <c r="BQ11"/>
  <c r="BR11"/>
  <c r="BS11"/>
  <c r="BT11"/>
  <c r="BU11"/>
  <c r="BV11"/>
  <c r="BW11"/>
  <c r="BX11"/>
  <c r="BY11"/>
  <c r="BZ11"/>
  <c r="CA11"/>
  <c r="CB11"/>
  <c r="CC11"/>
  <c r="CD11"/>
  <c r="CE11"/>
  <c r="CF11"/>
  <c r="CG11"/>
  <c r="CH11"/>
  <c r="CI11"/>
  <c r="CJ11"/>
  <c r="CK11"/>
  <c r="CL11"/>
  <c r="CM11"/>
  <c r="CN11"/>
  <c r="CO11"/>
  <c r="CP11"/>
  <c r="CQ11"/>
  <c r="CR11"/>
  <c r="CS11"/>
  <c r="CT11"/>
  <c r="CU11"/>
  <c r="CV11"/>
  <c r="CW11"/>
  <c r="CX11"/>
  <c r="CY11"/>
  <c r="CZ11"/>
  <c r="DA11"/>
  <c r="DB11"/>
  <c r="DC11"/>
  <c r="DD11"/>
  <c r="DE11"/>
  <c r="DF11"/>
  <c r="DG11"/>
  <c r="DH11"/>
  <c r="DI11"/>
  <c r="DJ11"/>
  <c r="DK11"/>
  <c r="DL11"/>
  <c r="DM11"/>
  <c r="DN11"/>
  <c r="DO11"/>
  <c r="DP11"/>
  <c r="DQ11"/>
  <c r="DR11"/>
  <c r="DS11"/>
  <c r="DT11"/>
  <c r="DU11"/>
  <c r="DV11"/>
  <c r="DW11"/>
  <c r="DX11"/>
  <c r="DY11"/>
  <c r="DZ11"/>
  <c r="EA11"/>
  <c r="EB11"/>
  <c r="EC11"/>
  <c r="ED11"/>
  <c r="EE11"/>
  <c r="EF11"/>
  <c r="EG11"/>
  <c r="EH11"/>
  <c r="EI11"/>
  <c r="EJ11"/>
  <c r="EK11"/>
  <c r="EL11"/>
  <c r="EM11"/>
  <c r="EN11"/>
  <c r="EO11"/>
  <c r="EP11"/>
  <c r="EQ11"/>
  <c r="ER11"/>
  <c r="ES11"/>
  <c r="ET11"/>
  <c r="EU11"/>
  <c r="EV11"/>
  <c r="EW11"/>
  <c r="EX11"/>
  <c r="EY11"/>
  <c r="EZ11"/>
  <c r="FA11"/>
  <c r="FB11"/>
  <c r="FC11"/>
  <c r="FD11"/>
  <c r="FE11"/>
  <c r="FF11"/>
  <c r="FG11"/>
  <c r="FH11"/>
  <c r="FI11"/>
  <c r="FJ11"/>
  <c r="FK11"/>
  <c r="FL11"/>
  <c r="FM11"/>
  <c r="FN11"/>
  <c r="FO11"/>
  <c r="FP11"/>
  <c r="FQ11"/>
  <c r="FR11"/>
  <c r="FS11"/>
  <c r="FT11"/>
  <c r="FU11"/>
  <c r="FV11"/>
  <c r="FW11"/>
  <c r="FX11"/>
  <c r="FY11"/>
  <c r="FZ11"/>
  <c r="GA11"/>
  <c r="GB11"/>
  <c r="GC11"/>
  <c r="GD11"/>
  <c r="GE11"/>
  <c r="GF11"/>
  <c r="GG11"/>
  <c r="GH11"/>
  <c r="GI11"/>
  <c r="GJ11"/>
  <c r="GK11"/>
  <c r="GL11"/>
  <c r="GM11"/>
  <c r="GN11"/>
  <c r="GO11"/>
  <c r="GP11"/>
  <c r="GQ11"/>
  <c r="GR11"/>
  <c r="GS11"/>
  <c r="GT11"/>
  <c r="GU11"/>
  <c r="GV11"/>
  <c r="GW11"/>
  <c r="GX11"/>
  <c r="GY11"/>
  <c r="GZ11"/>
  <c r="HA11"/>
  <c r="HB11"/>
  <c r="HC11"/>
  <c r="HD11"/>
  <c r="HE11"/>
  <c r="HF11"/>
  <c r="HG11"/>
  <c r="HH11"/>
  <c r="HI11"/>
  <c r="HJ11"/>
  <c r="HK11"/>
  <c r="HL11"/>
  <c r="HM11"/>
  <c r="HN11"/>
  <c r="HO11"/>
  <c r="HP11"/>
  <c r="HQ11"/>
  <c r="HR11"/>
  <c r="HS11"/>
  <c r="HT11"/>
  <c r="HU11"/>
  <c r="HV11"/>
  <c r="HW11"/>
  <c r="HX11"/>
  <c r="HY11"/>
  <c r="HZ11"/>
  <c r="IA11"/>
  <c r="IB11"/>
  <c r="IC11"/>
  <c r="ID11"/>
  <c r="IE11"/>
  <c r="IF11"/>
  <c r="IG11"/>
  <c r="IH11"/>
  <c r="II11"/>
  <c r="IJ11"/>
  <c r="IK11"/>
  <c r="IL11"/>
  <c r="IM11"/>
  <c r="IN11"/>
  <c r="IO11"/>
  <c r="IP11"/>
  <c r="IQ11"/>
  <c r="IR11"/>
  <c r="IS11"/>
  <c r="IT11"/>
  <c r="IU11"/>
  <c r="IV11"/>
  <c r="N22" i="1"/>
  <c r="A4" i="14" l="1"/>
  <c r="E5"/>
  <c r="F9" i="152"/>
  <c r="C4"/>
  <c r="C16" s="1"/>
  <c r="F6"/>
  <c r="F10"/>
  <c r="F8"/>
  <c r="C15" i="146"/>
  <c r="E6"/>
  <c r="C7"/>
  <c r="E9"/>
  <c r="E10"/>
  <c r="C8"/>
  <c r="E7"/>
  <c r="E8"/>
  <c r="C9"/>
  <c r="C6"/>
  <c r="C4"/>
  <c r="C16" s="1" a="1"/>
  <c r="E4"/>
  <c r="C5"/>
  <c r="C10"/>
  <c r="E5"/>
  <c r="N18" i="1"/>
  <c r="G2" i="114"/>
  <c r="F4" i="152" l="1"/>
  <c r="F10" i="146"/>
  <c r="C16"/>
  <c r="F6"/>
  <c r="F7"/>
  <c r="F8"/>
  <c r="F9"/>
  <c r="F4"/>
  <c r="F5"/>
  <c r="C1" i="14" l="1"/>
  <c r="B1"/>
  <c r="A1"/>
  <c r="C2" i="114" l="1"/>
  <c r="C3"/>
  <c r="C4"/>
  <c r="C5"/>
  <c r="C6"/>
  <c r="C7"/>
  <c r="C8"/>
  <c r="C9"/>
  <c r="C10"/>
  <c r="C11"/>
  <c r="C12"/>
  <c r="C13"/>
  <c r="C14"/>
  <c r="C15"/>
  <c r="C16"/>
  <c r="C17"/>
  <c r="C35"/>
  <c r="C36"/>
  <c r="C37"/>
  <c r="C38"/>
  <c r="C39"/>
  <c r="C40"/>
  <c r="C41"/>
  <c r="C42"/>
  <c r="C43"/>
  <c r="C44"/>
  <c r="C45"/>
  <c r="C46"/>
  <c r="C47"/>
  <c r="C48"/>
  <c r="C49"/>
  <c r="C50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316" a="1"/>
  <c r="C316" s="1"/>
  <c r="C317" a="1"/>
  <c r="C317" s="1"/>
  <c r="C318" a="1"/>
  <c r="C318" s="1"/>
  <c r="C203" s="1"/>
  <c r="C319" a="1"/>
  <c r="C319" s="1"/>
  <c r="C204" s="1"/>
  <c r="C320" a="1"/>
  <c r="C320" s="1"/>
  <c r="C205" s="1"/>
  <c r="C321" a="1"/>
  <c r="C321" s="1"/>
  <c r="C206" s="1"/>
  <c r="C322" a="1"/>
  <c r="C322" s="1"/>
  <c r="C323" a="1"/>
  <c r="C323" s="1"/>
  <c r="C208" s="1"/>
  <c r="C324" a="1"/>
  <c r="C324" s="1"/>
  <c r="C325" a="1"/>
  <c r="C325" s="1"/>
  <c r="C326" a="1"/>
  <c r="C326" s="1"/>
  <c r="C210" s="1"/>
  <c r="C53" i="80" s="1"/>
  <c r="C327" i="114" a="1"/>
  <c r="C327" s="1"/>
  <c r="C211" s="1"/>
  <c r="C328" a="1"/>
  <c r="C328" s="1"/>
  <c r="C212" s="1"/>
  <c r="C329" a="1"/>
  <c r="C329" s="1"/>
  <c r="C213" s="1"/>
  <c r="C330" a="1"/>
  <c r="C330" s="1"/>
  <c r="C331" a="1"/>
  <c r="C331" s="1"/>
  <c r="C215" s="1"/>
  <c r="C332" a="1"/>
  <c r="C332" s="1"/>
  <c r="C333" a="1"/>
  <c r="C333" s="1"/>
  <c r="C216" s="1"/>
  <c r="C334" a="1"/>
  <c r="C334" s="1"/>
  <c r="C217" s="1"/>
  <c r="C335" a="1"/>
  <c r="C335" s="1"/>
  <c r="C218" s="1"/>
  <c r="C336" a="1"/>
  <c r="C336" s="1"/>
  <c r="C219" s="1"/>
  <c r="C337" a="1"/>
  <c r="C337" s="1"/>
  <c r="C338" a="1"/>
  <c r="C338" s="1"/>
  <c r="C57" i="80" s="1"/>
  <c r="C339" i="114" a="1"/>
  <c r="C339" s="1"/>
  <c r="C222" s="1"/>
  <c r="C340" a="1"/>
  <c r="C340" s="1"/>
  <c r="C341" a="1"/>
  <c r="C341" s="1"/>
  <c r="C342" a="1"/>
  <c r="C342" s="1"/>
  <c r="C139" s="1"/>
  <c r="G6" s="1"/>
  <c r="C343" a="1"/>
  <c r="C343" s="1"/>
  <c r="C167" s="1"/>
  <c r="C344" a="1"/>
  <c r="C344" s="1"/>
  <c r="C140" s="1"/>
  <c r="C345" a="1"/>
  <c r="C345" s="1"/>
  <c r="C168" s="1"/>
  <c r="C346" a="1"/>
  <c r="C346" s="1"/>
  <c r="C141" s="1"/>
  <c r="C347" a="1"/>
  <c r="C347" s="1"/>
  <c r="C169" s="1"/>
  <c r="C348" a="1"/>
  <c r="C348" s="1"/>
  <c r="C142" s="1"/>
  <c r="C349" a="1"/>
  <c r="C349" s="1"/>
  <c r="C350" a="1"/>
  <c r="C350" s="1"/>
  <c r="C143" s="1"/>
  <c r="C351" a="1"/>
  <c r="C351" s="1"/>
  <c r="C171" s="1"/>
  <c r="C352" a="1"/>
  <c r="C352" s="1"/>
  <c r="C144" s="1"/>
  <c r="C353" a="1"/>
  <c r="C353" s="1"/>
  <c r="C172" s="1"/>
  <c r="C354" a="1"/>
  <c r="C354" s="1"/>
  <c r="C355" a="1"/>
  <c r="C355" s="1"/>
  <c r="C173" s="1"/>
  <c r="C356" a="1"/>
  <c r="C356" s="1"/>
  <c r="C357" a="1"/>
  <c r="C357" s="1"/>
  <c r="C223" s="1"/>
  <c r="C358" a="1"/>
  <c r="C358" s="1"/>
  <c r="C224" s="1"/>
  <c r="C359" a="1"/>
  <c r="C359" s="1"/>
  <c r="C225" s="1"/>
  <c r="C360" a="1"/>
  <c r="C360" s="1"/>
  <c r="C226" s="1"/>
  <c r="C361" a="1"/>
  <c r="C361" s="1"/>
  <c r="C362" a="1"/>
  <c r="C362" s="1"/>
  <c r="C363" a="1"/>
  <c r="C363" s="1"/>
  <c r="C229" s="1"/>
  <c r="C364" a="1"/>
  <c r="C364" s="1"/>
  <c r="C365" a="1"/>
  <c r="C365" s="1"/>
  <c r="C366" a="1"/>
  <c r="C366" s="1"/>
  <c r="C367" a="1"/>
  <c r="C367" s="1"/>
  <c r="C368" a="1"/>
  <c r="C368" s="1"/>
  <c r="C233" s="1"/>
  <c r="C369" a="1"/>
  <c r="C369" s="1"/>
  <c r="C370" a="1"/>
  <c r="C370" s="1"/>
  <c r="C58" i="80" s="1"/>
  <c r="C371" i="114" a="1"/>
  <c r="C371" s="1"/>
  <c r="C372" a="1"/>
  <c r="C372" s="1"/>
  <c r="C373" a="1"/>
  <c r="C373" s="1"/>
  <c r="C374" a="1"/>
  <c r="C374" s="1"/>
  <c r="C146" s="1"/>
  <c r="C51" i="80" s="1"/>
  <c r="C375" i="114" a="1"/>
  <c r="C375" s="1"/>
  <c r="C174" s="1"/>
  <c r="C376" a="1"/>
  <c r="C376" s="1"/>
  <c r="C147" s="1"/>
  <c r="C377" a="1"/>
  <c r="C377" s="1"/>
  <c r="C175" s="1"/>
  <c r="C378" a="1"/>
  <c r="C378" s="1"/>
  <c r="C148" s="1"/>
  <c r="C379" a="1"/>
  <c r="C379" s="1"/>
  <c r="C176" s="1"/>
  <c r="C380" a="1"/>
  <c r="C380" s="1"/>
  <c r="C149" s="1"/>
  <c r="C381" a="1"/>
  <c r="C381" s="1"/>
  <c r="C382" a="1"/>
  <c r="C382" s="1"/>
  <c r="C150" s="1"/>
  <c r="C383" a="1"/>
  <c r="C383" s="1"/>
  <c r="C178" s="1"/>
  <c r="C52" i="80" s="1"/>
  <c r="C384" i="114" a="1"/>
  <c r="C384" s="1"/>
  <c r="C151" s="1"/>
  <c r="C385" a="1"/>
  <c r="C385" s="1"/>
  <c r="C179" s="1"/>
  <c r="C386" a="1"/>
  <c r="C386" s="1"/>
  <c r="C152" s="1"/>
  <c r="C387" a="1"/>
  <c r="C387" s="1"/>
  <c r="C180" s="1"/>
  <c r="C388" a="1"/>
  <c r="C388" s="1"/>
  <c r="C389" a="1"/>
  <c r="C389" s="1"/>
  <c r="C390" a="1"/>
  <c r="C390" s="1"/>
  <c r="C238" s="1"/>
  <c r="C391" a="1"/>
  <c r="C391" s="1"/>
  <c r="C392" a="1"/>
  <c r="C392" s="1"/>
  <c r="C240" s="1"/>
  <c r="C393" a="1"/>
  <c r="C393" s="1"/>
  <c r="C241" s="1"/>
  <c r="C394" a="1"/>
  <c r="C394" s="1"/>
  <c r="C395" a="1"/>
  <c r="C395" s="1"/>
  <c r="C243" s="1"/>
  <c r="C396" a="1"/>
  <c r="C396" s="1"/>
  <c r="C397" a="1"/>
  <c r="C397" s="1"/>
  <c r="C398" a="1"/>
  <c r="C398" s="1"/>
  <c r="C399" a="1"/>
  <c r="C399" s="1"/>
  <c r="C400" a="1"/>
  <c r="C400" s="1"/>
  <c r="C247" s="1"/>
  <c r="C401" a="1"/>
  <c r="C401" s="1"/>
  <c r="C402" a="1"/>
  <c r="C402" s="1"/>
  <c r="C59" i="80" s="1"/>
  <c r="C403" i="114" a="1"/>
  <c r="C403" s="1"/>
  <c r="C404" a="1"/>
  <c r="C404" s="1"/>
  <c r="C405" a="1"/>
  <c r="C405" s="1"/>
  <c r="C406" a="1"/>
  <c r="C406" s="1"/>
  <c r="C153" s="1"/>
  <c r="C407" a="1"/>
  <c r="C407" s="1"/>
  <c r="C181" s="1"/>
  <c r="C408" a="1"/>
  <c r="C408" s="1"/>
  <c r="C154" s="1"/>
  <c r="C409" a="1"/>
  <c r="C409" s="1"/>
  <c r="C182" s="1"/>
  <c r="C410" a="1"/>
  <c r="C410" s="1"/>
  <c r="C155" s="1"/>
  <c r="C411" a="1"/>
  <c r="C411" s="1"/>
  <c r="C183" s="1"/>
  <c r="C412" a="1"/>
  <c r="C412" s="1"/>
  <c r="C156" s="1"/>
  <c r="C413" a="1"/>
  <c r="C413" s="1"/>
  <c r="C414" a="1"/>
  <c r="C414" s="1"/>
  <c r="C157" s="1"/>
  <c r="C415" a="1"/>
  <c r="C415" s="1"/>
  <c r="C185" s="1"/>
  <c r="C416" a="1"/>
  <c r="C416" s="1"/>
  <c r="C158" s="1"/>
  <c r="C417" a="1"/>
  <c r="C417" s="1"/>
  <c r="C186" s="1"/>
  <c r="C418" a="1"/>
  <c r="C418" s="1"/>
  <c r="C419" a="1"/>
  <c r="C419" s="1"/>
  <c r="C187" s="1"/>
  <c r="C420" a="1"/>
  <c r="C420" s="1"/>
  <c r="C421" a="1"/>
  <c r="C421" s="1"/>
  <c r="C422" a="1"/>
  <c r="C422" s="1"/>
  <c r="C423" a="1"/>
  <c r="C423" s="1"/>
  <c r="C424" a="1"/>
  <c r="C424" s="1"/>
  <c r="C254" s="1"/>
  <c r="C425" a="1"/>
  <c r="C425" s="1"/>
  <c r="C255" s="1"/>
  <c r="C426" a="1"/>
  <c r="C426" s="1"/>
  <c r="C256" s="1"/>
  <c r="C427" a="1"/>
  <c r="C427" s="1"/>
  <c r="C428" a="1"/>
  <c r="C428" s="1"/>
  <c r="C429" a="1"/>
  <c r="C429" s="1"/>
  <c r="C258" s="1"/>
  <c r="C430" a="1"/>
  <c r="C430" s="1"/>
  <c r="C259" s="1"/>
  <c r="C431" a="1"/>
  <c r="C431" s="1"/>
  <c r="C432" a="1"/>
  <c r="C432" s="1"/>
  <c r="C261" s="1"/>
  <c r="C433" a="1"/>
  <c r="C433" s="1"/>
  <c r="C434" a="1"/>
  <c r="C434" s="1"/>
  <c r="C435" a="1"/>
  <c r="C435" s="1"/>
  <c r="C264" s="1"/>
  <c r="C436" a="1"/>
  <c r="C436" s="1"/>
  <c r="C437" a="1"/>
  <c r="C437" s="1"/>
  <c r="C265" s="1"/>
  <c r="C438" a="1"/>
  <c r="C438" s="1"/>
  <c r="C266" s="1"/>
  <c r="C439" a="1"/>
  <c r="C439" s="1"/>
  <c r="C440" a="1"/>
  <c r="C440" s="1"/>
  <c r="C268" s="1"/>
  <c r="C441" a="1"/>
  <c r="C441" s="1"/>
  <c r="C442" a="1"/>
  <c r="C442" s="1"/>
  <c r="C270" s="1"/>
  <c r="C443" a="1"/>
  <c r="C443" s="1"/>
  <c r="C271" s="1"/>
  <c r="C444" a="1"/>
  <c r="C444" s="1"/>
  <c r="C445" a="1"/>
  <c r="C445" s="1"/>
  <c r="C446" a="1"/>
  <c r="C446" s="1"/>
  <c r="C273" s="1"/>
  <c r="C447" a="1"/>
  <c r="C447" s="1"/>
  <c r="C274" s="1"/>
  <c r="C55" i="80" s="1"/>
  <c r="C448" i="114" a="1"/>
  <c r="C448" s="1"/>
  <c r="C275" s="1"/>
  <c r="C449" a="1"/>
  <c r="C449" s="1"/>
  <c r="C450" a="1"/>
  <c r="C450" s="1"/>
  <c r="C451" a="1"/>
  <c r="C451" s="1"/>
  <c r="C278" s="1"/>
  <c r="C452" a="1"/>
  <c r="C452" s="1"/>
  <c r="C453" a="1"/>
  <c r="C453" s="1"/>
  <c r="C279" s="1"/>
  <c r="C454" a="1"/>
  <c r="C454" s="1"/>
  <c r="C280" s="1"/>
  <c r="C455" a="1"/>
  <c r="C455" s="1"/>
  <c r="C281" s="1"/>
  <c r="C456" a="1"/>
  <c r="C456" s="1"/>
  <c r="C282" s="1"/>
  <c r="C457" a="1"/>
  <c r="C457" s="1"/>
  <c r="C458" a="1"/>
  <c r="C458" s="1"/>
  <c r="C459" a="1"/>
  <c r="C459" s="1"/>
  <c r="C285" s="1"/>
  <c r="C460" a="1"/>
  <c r="C460" s="1"/>
  <c r="C461" a="1"/>
  <c r="C461" s="1"/>
  <c r="C286" s="1"/>
  <c r="C462" a="1"/>
  <c r="C462" s="1"/>
  <c r="C287" s="1"/>
  <c r="C463" a="1"/>
  <c r="C463" s="1"/>
  <c r="C288" s="1"/>
  <c r="C464" a="1"/>
  <c r="C464" s="1"/>
  <c r="C289" s="1"/>
  <c r="C465" a="1"/>
  <c r="C465" s="1"/>
  <c r="C290" s="1"/>
  <c r="C466" a="1"/>
  <c r="C466" s="1"/>
  <c r="C467" a="1"/>
  <c r="C467" s="1"/>
  <c r="C292" s="1"/>
  <c r="C468" a="1"/>
  <c r="C468" s="1"/>
  <c r="C469" a="1"/>
  <c r="C469" s="1"/>
  <c r="C470" a="1"/>
  <c r="C470" s="1"/>
  <c r="C294" s="1"/>
  <c r="C471" a="1"/>
  <c r="C471" s="1"/>
  <c r="C472" a="1"/>
  <c r="C472" s="1"/>
  <c r="C296" s="1"/>
  <c r="C473" a="1"/>
  <c r="C473" s="1"/>
  <c r="C297" s="1"/>
  <c r="C474" a="1"/>
  <c r="C474" s="1"/>
  <c r="C475" a="1"/>
  <c r="C475" s="1"/>
  <c r="C299" s="1"/>
  <c r="C476" a="1"/>
  <c r="C476" s="1"/>
  <c r="C477" a="1"/>
  <c r="C477" s="1"/>
  <c r="C478" a="1"/>
  <c r="C478" s="1"/>
  <c r="C479" a="1"/>
  <c r="C479" s="1"/>
  <c r="C480" a="1"/>
  <c r="C480" s="1"/>
  <c r="C481" a="1"/>
  <c r="C481" s="1"/>
  <c r="C482" a="1"/>
  <c r="C482" s="1"/>
  <c r="C483" a="1"/>
  <c r="C483" s="1"/>
  <c r="C484" a="1"/>
  <c r="C484" s="1"/>
  <c r="C485" a="1"/>
  <c r="C485" s="1"/>
  <c r="C486" a="1"/>
  <c r="C486" s="1"/>
  <c r="C487" a="1"/>
  <c r="C487" s="1"/>
  <c r="C488" a="1"/>
  <c r="C488" s="1"/>
  <c r="C310" s="1"/>
  <c r="C489" a="1"/>
  <c r="C489" s="1"/>
  <c r="C311" s="1"/>
  <c r="C490" a="1"/>
  <c r="C490" s="1"/>
  <c r="C491" a="1"/>
  <c r="C491" s="1"/>
  <c r="C492" a="1"/>
  <c r="C492" s="1"/>
  <c r="C493" a="1"/>
  <c r="C493" s="1"/>
  <c r="C494" a="1"/>
  <c r="C494" s="1"/>
  <c r="C495" a="1"/>
  <c r="C495" s="1"/>
  <c r="C188" s="1"/>
  <c r="C496" a="1"/>
  <c r="C496" s="1"/>
  <c r="C161" s="1"/>
  <c r="C497" a="1"/>
  <c r="C497" s="1"/>
  <c r="C189" s="1"/>
  <c r="C498" a="1"/>
  <c r="C498" s="1"/>
  <c r="C499" a="1"/>
  <c r="C499" s="1"/>
  <c r="C190" s="1"/>
  <c r="C500" a="1"/>
  <c r="C500" s="1"/>
  <c r="C163" s="1"/>
  <c r="C501" a="1"/>
  <c r="C501" s="1"/>
  <c r="C502" a="1"/>
  <c r="C502" s="1"/>
  <c r="C164" s="1"/>
  <c r="C503" a="1"/>
  <c r="C503" s="1"/>
  <c r="C192" s="1"/>
  <c r="C504" a="1"/>
  <c r="C504" s="1"/>
  <c r="C165" s="1"/>
  <c r="C505" a="1"/>
  <c r="C505" s="1"/>
  <c r="C193" s="1"/>
  <c r="C506" a="1"/>
  <c r="C506" s="1"/>
  <c r="C507" a="1"/>
  <c r="C507" s="1"/>
  <c r="C194" s="1"/>
  <c r="C510" a="1"/>
  <c r="C510" s="1"/>
  <c r="C195" s="1"/>
  <c r="C511" a="1"/>
  <c r="C511" s="1"/>
  <c r="C196" s="1"/>
  <c r="C512" a="1"/>
  <c r="C512" s="1"/>
  <c r="C197" s="1"/>
  <c r="C513" a="1"/>
  <c r="C513" s="1"/>
  <c r="C198" s="1"/>
  <c r="C514" a="1"/>
  <c r="C514" s="1"/>
  <c r="C199" s="1"/>
  <c r="C515" a="1"/>
  <c r="C515" s="1"/>
  <c r="C200" s="1"/>
  <c r="C516" a="1"/>
  <c r="C516" s="1"/>
  <c r="C201" s="1"/>
  <c r="G3" l="1"/>
  <c r="C132"/>
  <c r="C162"/>
  <c r="C62" i="80"/>
  <c r="C263" i="114"/>
  <c r="C60" i="80"/>
  <c r="C291" i="114"/>
  <c r="C61" i="80"/>
  <c r="E6" i="114"/>
  <c r="E5"/>
  <c r="E9"/>
  <c r="E7"/>
  <c r="E3"/>
  <c r="E8"/>
  <c r="E4"/>
  <c r="C120"/>
  <c r="C18"/>
  <c r="C47" i="80" s="1"/>
  <c r="C116" i="114"/>
  <c r="C34"/>
  <c r="C26"/>
  <c r="E88"/>
  <c r="C90"/>
  <c r="C128"/>
  <c r="E85"/>
  <c r="C103"/>
  <c r="C184"/>
  <c r="E16"/>
  <c r="E24"/>
  <c r="E72"/>
  <c r="C131"/>
  <c r="C303"/>
  <c r="E75"/>
  <c r="E80"/>
  <c r="E59"/>
  <c r="E60"/>
  <c r="E35"/>
  <c r="E36"/>
  <c r="E43"/>
  <c r="E44"/>
  <c r="C93"/>
  <c r="C112"/>
  <c r="C108"/>
  <c r="E11"/>
  <c r="E83"/>
  <c r="E27"/>
  <c r="C115"/>
  <c r="E19"/>
  <c r="E67"/>
  <c r="E91"/>
  <c r="E51"/>
  <c r="E76"/>
  <c r="E28"/>
  <c r="E61"/>
  <c r="E37"/>
  <c r="C166"/>
  <c r="C94"/>
  <c r="C305"/>
  <c r="C133"/>
  <c r="C130"/>
  <c r="C302"/>
  <c r="C301"/>
  <c r="C129"/>
  <c r="E81"/>
  <c r="C298"/>
  <c r="C257"/>
  <c r="C106"/>
  <c r="C253"/>
  <c r="C102"/>
  <c r="E45"/>
  <c r="C246"/>
  <c r="C123"/>
  <c r="C242"/>
  <c r="C54" i="80" s="1"/>
  <c r="E33" i="114"/>
  <c r="C119"/>
  <c r="C145"/>
  <c r="C22"/>
  <c r="C110"/>
  <c r="C191"/>
  <c r="C293"/>
  <c r="E77"/>
  <c r="C269"/>
  <c r="E65"/>
  <c r="C237"/>
  <c r="E29"/>
  <c r="C114"/>
  <c r="C50" i="80" s="1"/>
  <c r="C230" i="114"/>
  <c r="E25"/>
  <c r="C295"/>
  <c r="C239"/>
  <c r="C231"/>
  <c r="E64"/>
  <c r="C53"/>
  <c r="E52"/>
  <c r="C92"/>
  <c r="C125"/>
  <c r="C121"/>
  <c r="C28"/>
  <c r="C308"/>
  <c r="C300"/>
  <c r="C160"/>
  <c r="C312"/>
  <c r="C304"/>
  <c r="C272"/>
  <c r="C248"/>
  <c r="C232"/>
  <c r="E40"/>
  <c r="C313"/>
  <c r="C113"/>
  <c r="C309"/>
  <c r="C109"/>
  <c r="C134"/>
  <c r="C306"/>
  <c r="C56" i="80" s="1"/>
  <c r="C277" i="114"/>
  <c r="E89"/>
  <c r="C54"/>
  <c r="C159"/>
  <c r="C127"/>
  <c r="C250"/>
  <c r="C249"/>
  <c r="C126"/>
  <c r="C245"/>
  <c r="C122"/>
  <c r="C221"/>
  <c r="E73"/>
  <c r="E97"/>
  <c r="C214"/>
  <c r="E57"/>
  <c r="C207"/>
  <c r="E41"/>
  <c r="C262"/>
  <c r="E49"/>
  <c r="C104"/>
  <c r="C177"/>
  <c r="C124"/>
  <c r="C234"/>
  <c r="C118"/>
  <c r="C117"/>
  <c r="C170"/>
  <c r="C209"/>
  <c r="E93"/>
  <c r="E53"/>
  <c r="C202"/>
  <c r="E17"/>
  <c r="C105"/>
  <c r="C101"/>
  <c r="C30"/>
  <c r="E92"/>
  <c r="C29"/>
  <c r="C21"/>
  <c r="E20"/>
  <c r="C111"/>
  <c r="C107"/>
  <c r="E13"/>
  <c r="C100"/>
  <c r="G5" s="1"/>
  <c r="C52"/>
  <c r="E21"/>
  <c r="C20"/>
  <c r="E69"/>
  <c r="C284"/>
  <c r="C276"/>
  <c r="C260"/>
  <c r="C252"/>
  <c r="C244"/>
  <c r="C236"/>
  <c r="C228"/>
  <c r="C220"/>
  <c r="E84"/>
  <c r="E68"/>
  <c r="E48"/>
  <c r="E12"/>
  <c r="C307"/>
  <c r="C283"/>
  <c r="C267"/>
  <c r="C251"/>
  <c r="C235"/>
  <c r="C227"/>
  <c r="C97"/>
  <c r="E96"/>
  <c r="C57"/>
  <c r="E56"/>
  <c r="C33"/>
  <c r="E32"/>
  <c r="C25"/>
  <c r="C95"/>
  <c r="E94"/>
  <c r="C91"/>
  <c r="E90"/>
  <c r="E86"/>
  <c r="E82"/>
  <c r="E78"/>
  <c r="E74"/>
  <c r="E70"/>
  <c r="E66"/>
  <c r="E62"/>
  <c r="DS62" i="80" s="1"/>
  <c r="E58" i="114"/>
  <c r="C55"/>
  <c r="E54"/>
  <c r="C51"/>
  <c r="E50"/>
  <c r="E46"/>
  <c r="E42"/>
  <c r="E38"/>
  <c r="E34"/>
  <c r="C31"/>
  <c r="E30"/>
  <c r="C27"/>
  <c r="E26"/>
  <c r="C23"/>
  <c r="E22"/>
  <c r="C19"/>
  <c r="E18"/>
  <c r="E14"/>
  <c r="E10"/>
  <c r="E2"/>
  <c r="G4" s="1"/>
  <c r="C96"/>
  <c r="E95"/>
  <c r="E87"/>
  <c r="E79"/>
  <c r="E71"/>
  <c r="E63"/>
  <c r="C56"/>
  <c r="E55"/>
  <c r="E47"/>
  <c r="E39"/>
  <c r="C32"/>
  <c r="E31"/>
  <c r="C24"/>
  <c r="E23"/>
  <c r="E15"/>
  <c r="B27" i="79"/>
  <c r="B26" a="1"/>
  <c r="B25" a="1"/>
  <c r="B24" a="1"/>
  <c r="B23" a="1"/>
  <c r="K39" i="1"/>
  <c r="B21" i="79" l="1"/>
  <c r="IS3" i="80" l="1"/>
  <c r="A10"/>
  <c r="B10"/>
  <c r="C10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X10"/>
  <c r="AY10"/>
  <c r="AZ10"/>
  <c r="BA10"/>
  <c r="BB10"/>
  <c r="BC10"/>
  <c r="BD10"/>
  <c r="BE10"/>
  <c r="BF10"/>
  <c r="BG10"/>
  <c r="BH10"/>
  <c r="BI10"/>
  <c r="BJ10"/>
  <c r="BK10"/>
  <c r="BL10"/>
  <c r="BM10"/>
  <c r="BN10"/>
  <c r="BO10"/>
  <c r="BP10"/>
  <c r="BQ10"/>
  <c r="BR10"/>
  <c r="BS10"/>
  <c r="BT10"/>
  <c r="BU10"/>
  <c r="BV10"/>
  <c r="BW10"/>
  <c r="BX10"/>
  <c r="BY10"/>
  <c r="BZ10"/>
  <c r="CA10"/>
  <c r="CB10"/>
  <c r="CC10"/>
  <c r="CD10"/>
  <c r="CE10"/>
  <c r="CF10"/>
  <c r="CG10"/>
  <c r="CH10"/>
  <c r="CI10"/>
  <c r="CJ10"/>
  <c r="CK10"/>
  <c r="CL10"/>
  <c r="CM10"/>
  <c r="CN10"/>
  <c r="CO10"/>
  <c r="CP10"/>
  <c r="CQ10"/>
  <c r="CR10"/>
  <c r="CS10"/>
  <c r="CT10"/>
  <c r="CU10"/>
  <c r="CV10"/>
  <c r="CW10"/>
  <c r="CX10"/>
  <c r="CY10"/>
  <c r="CZ10"/>
  <c r="DA10"/>
  <c r="DB10"/>
  <c r="DC10"/>
  <c r="DD10"/>
  <c r="DE10"/>
  <c r="A9"/>
  <c r="B9"/>
  <c r="C9"/>
  <c r="D9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AR9"/>
  <c r="AS9"/>
  <c r="AT9"/>
  <c r="AU9"/>
  <c r="AV9"/>
  <c r="AW9"/>
  <c r="AX9"/>
  <c r="AY9"/>
  <c r="AZ9"/>
  <c r="BA9"/>
  <c r="BB9"/>
  <c r="BC9"/>
  <c r="BD9"/>
  <c r="BE9"/>
  <c r="BF9"/>
  <c r="BG9"/>
  <c r="BH9"/>
  <c r="BI9"/>
  <c r="BJ9"/>
  <c r="BK9"/>
  <c r="BL9"/>
  <c r="BM9"/>
  <c r="BN9"/>
  <c r="BO9"/>
  <c r="BP9"/>
  <c r="BQ9"/>
  <c r="BR9"/>
  <c r="BS9"/>
  <c r="BT9"/>
  <c r="BU9"/>
  <c r="BV9"/>
  <c r="BW9"/>
  <c r="BX9"/>
  <c r="BY9"/>
  <c r="BZ9"/>
  <c r="CA9"/>
  <c r="CB9"/>
  <c r="CC9"/>
  <c r="CD9"/>
  <c r="CE9"/>
  <c r="CF9"/>
  <c r="CG9"/>
  <c r="CH9"/>
  <c r="CI9"/>
  <c r="CJ9"/>
  <c r="CK9"/>
  <c r="CL9"/>
  <c r="CM9"/>
  <c r="CN9"/>
  <c r="CO9"/>
  <c r="CP9"/>
  <c r="CQ9"/>
  <c r="CR9"/>
  <c r="CS9"/>
  <c r="CT9"/>
  <c r="CU9"/>
  <c r="CV9"/>
  <c r="CW9"/>
  <c r="CX9"/>
  <c r="CY9"/>
  <c r="CZ9"/>
  <c r="DA9"/>
  <c r="DB9"/>
  <c r="DC9"/>
  <c r="DD9"/>
  <c r="DE9"/>
  <c r="DF9"/>
  <c r="DG9"/>
  <c r="DH9"/>
  <c r="DI9"/>
  <c r="DJ9"/>
  <c r="DK9"/>
  <c r="DL9"/>
  <c r="DM9"/>
  <c r="DN9"/>
  <c r="DO9"/>
  <c r="DP9"/>
  <c r="DQ9"/>
  <c r="DR9"/>
  <c r="DS9"/>
  <c r="DT9"/>
  <c r="DU9"/>
  <c r="DV9"/>
  <c r="DW9"/>
  <c r="DX9"/>
  <c r="DY9"/>
  <c r="DZ9"/>
  <c r="EA9"/>
  <c r="EB9"/>
  <c r="EC9"/>
  <c r="ED9"/>
  <c r="EE9"/>
  <c r="EF9"/>
  <c r="EG9"/>
  <c r="EH9"/>
  <c r="EI9"/>
  <c r="EJ9"/>
  <c r="EK9"/>
  <c r="EL9"/>
  <c r="EM9"/>
  <c r="EN9"/>
  <c r="EO9"/>
  <c r="EP9"/>
  <c r="EQ9"/>
  <c r="ER9"/>
  <c r="ES9"/>
  <c r="ET9"/>
  <c r="EU9"/>
  <c r="EV9"/>
  <c r="EW9"/>
  <c r="EX9"/>
  <c r="EY9"/>
  <c r="EZ9"/>
  <c r="FA9"/>
  <c r="FB9"/>
  <c r="FC9"/>
  <c r="FD9"/>
  <c r="FE9"/>
  <c r="FF9"/>
  <c r="FG9"/>
  <c r="FH9"/>
  <c r="FI9"/>
  <c r="FJ9"/>
  <c r="FK9"/>
  <c r="FL9"/>
  <c r="FM9"/>
  <c r="FN9"/>
  <c r="FO9"/>
  <c r="FP9"/>
  <c r="FQ9"/>
  <c r="FR9"/>
  <c r="FS9"/>
  <c r="FT9"/>
  <c r="FU9"/>
  <c r="FV9"/>
  <c r="FW9"/>
  <c r="FX9"/>
  <c r="FY9"/>
  <c r="FZ9"/>
  <c r="GA9"/>
  <c r="GB9"/>
  <c r="GC9"/>
  <c r="GD9"/>
  <c r="GE9"/>
  <c r="GF9"/>
  <c r="GG9"/>
  <c r="GH9"/>
  <c r="GI9"/>
  <c r="GJ9"/>
  <c r="GK9"/>
  <c r="GL9"/>
  <c r="GM9"/>
  <c r="GN9"/>
  <c r="GO9"/>
  <c r="GP9"/>
  <c r="GQ9"/>
  <c r="GR9"/>
  <c r="GS9"/>
  <c r="GT9"/>
  <c r="GU9"/>
  <c r="GV9"/>
  <c r="GW9"/>
  <c r="GX9"/>
  <c r="GY9"/>
  <c r="GZ9"/>
  <c r="HA9"/>
  <c r="HB9"/>
  <c r="HC9"/>
  <c r="HD9"/>
  <c r="HE9"/>
  <c r="HF9"/>
  <c r="HG9"/>
  <c r="HH9"/>
  <c r="HI9"/>
  <c r="HJ9"/>
  <c r="HK9"/>
  <c r="HL9"/>
  <c r="HM9"/>
  <c r="HN9"/>
  <c r="HO9"/>
  <c r="HP9"/>
  <c r="HQ9"/>
  <c r="HR9"/>
  <c r="HS9"/>
  <c r="HT9"/>
  <c r="HV9"/>
  <c r="HY9"/>
  <c r="HZ9"/>
  <c r="IB9"/>
  <c r="IC9"/>
  <c r="ID9"/>
  <c r="IE9"/>
  <c r="IF9"/>
  <c r="IG9"/>
  <c r="IH9"/>
  <c r="II9"/>
  <c r="IJ9"/>
  <c r="IK9"/>
  <c r="IL9"/>
  <c r="IM9"/>
  <c r="IN9"/>
  <c r="IO9"/>
  <c r="IP9"/>
  <c r="IQ9"/>
  <c r="IR9"/>
  <c r="IS9"/>
  <c r="IT9"/>
  <c r="IU9"/>
  <c r="IV9"/>
  <c r="A8"/>
  <c r="B8"/>
  <c r="C8"/>
  <c r="D8"/>
  <c r="E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AZ8"/>
  <c r="BA8"/>
  <c r="BB8"/>
  <c r="BC8"/>
  <c r="BD8"/>
  <c r="BE8"/>
  <c r="BF8"/>
  <c r="BG8"/>
  <c r="BH8"/>
  <c r="BJ8"/>
  <c r="BK8"/>
  <c r="BL8"/>
  <c r="BN8"/>
  <c r="BO8"/>
  <c r="BP8"/>
  <c r="BR8"/>
  <c r="BS8"/>
  <c r="BT8"/>
  <c r="BV8"/>
  <c r="BW8"/>
  <c r="BX8"/>
  <c r="BY8"/>
  <c r="BZ8"/>
  <c r="CA8"/>
  <c r="CB8"/>
  <c r="CC8"/>
  <c r="CD8"/>
  <c r="CE8"/>
  <c r="CF8"/>
  <c r="CG8"/>
  <c r="CH8"/>
  <c r="CI8"/>
  <c r="CJ8"/>
  <c r="CK8"/>
  <c r="CL8"/>
  <c r="CM8"/>
  <c r="CN8"/>
  <c r="CO8"/>
  <c r="CP8"/>
  <c r="CQ8"/>
  <c r="CR8"/>
  <c r="CS8"/>
  <c r="CT8"/>
  <c r="CU8"/>
  <c r="CV8"/>
  <c r="CW8"/>
  <c r="CX8"/>
  <c r="CY8"/>
  <c r="CZ8"/>
  <c r="DA8"/>
  <c r="DB8"/>
  <c r="DC8"/>
  <c r="DD8"/>
  <c r="DE8"/>
  <c r="DF8"/>
  <c r="DG8"/>
  <c r="DH8"/>
  <c r="DI8"/>
  <c r="DJ8"/>
  <c r="DK8"/>
  <c r="DL8"/>
  <c r="DM8"/>
  <c r="DN8"/>
  <c r="DO8"/>
  <c r="DP8"/>
  <c r="DQ8"/>
  <c r="DR8"/>
  <c r="DS8"/>
  <c r="DT8"/>
  <c r="DU8"/>
  <c r="DV8"/>
  <c r="DW8"/>
  <c r="DX8"/>
  <c r="DY8"/>
  <c r="DZ8"/>
  <c r="EA8"/>
  <c r="EB8"/>
  <c r="EC8"/>
  <c r="ED8"/>
  <c r="EE8"/>
  <c r="EF8"/>
  <c r="EG8"/>
  <c r="EH8"/>
  <c r="EI8"/>
  <c r="EJ8"/>
  <c r="EK8"/>
  <c r="EL8"/>
  <c r="EM8"/>
  <c r="EN8"/>
  <c r="EO8"/>
  <c r="EP8"/>
  <c r="EQ8"/>
  <c r="ER8"/>
  <c r="ES8"/>
  <c r="ET8"/>
  <c r="EU8"/>
  <c r="EV8"/>
  <c r="EW8"/>
  <c r="EX8"/>
  <c r="EY8"/>
  <c r="EZ8"/>
  <c r="FA8"/>
  <c r="FB8"/>
  <c r="FC8"/>
  <c r="FD8"/>
  <c r="FE8"/>
  <c r="FF8"/>
  <c r="FG8"/>
  <c r="FH8"/>
  <c r="FI8"/>
  <c r="FJ8"/>
  <c r="FK8"/>
  <c r="FL8"/>
  <c r="FM8"/>
  <c r="FN8"/>
  <c r="FO8"/>
  <c r="FP8"/>
  <c r="FQ8"/>
  <c r="FR8"/>
  <c r="FS8"/>
  <c r="FT8"/>
  <c r="FU8"/>
  <c r="FV8"/>
  <c r="FW8"/>
  <c r="FX8"/>
  <c r="FY8"/>
  <c r="FZ8"/>
  <c r="GA8"/>
  <c r="GB8"/>
  <c r="GC8"/>
  <c r="GD8"/>
  <c r="GE8"/>
  <c r="GF8"/>
  <c r="GG8"/>
  <c r="GH8"/>
  <c r="GI8"/>
  <c r="GJ8"/>
  <c r="GK8"/>
  <c r="GL8"/>
  <c r="GM8"/>
  <c r="GN8"/>
  <c r="GO8"/>
  <c r="GP8"/>
  <c r="GQ8"/>
  <c r="GR8"/>
  <c r="GS8"/>
  <c r="GT8"/>
  <c r="GU8"/>
  <c r="GV8"/>
  <c r="GW8"/>
  <c r="GX8"/>
  <c r="GY8"/>
  <c r="GZ8"/>
  <c r="HA8"/>
  <c r="HB8"/>
  <c r="HC8"/>
  <c r="HD8"/>
  <c r="HE8"/>
  <c r="HF8"/>
  <c r="HG8"/>
  <c r="HH8"/>
  <c r="HI8"/>
  <c r="HJ8"/>
  <c r="HK8"/>
  <c r="HL8"/>
  <c r="HM8"/>
  <c r="HN8"/>
  <c r="HO8"/>
  <c r="HP8"/>
  <c r="HQ8"/>
  <c r="HR8"/>
  <c r="HS8"/>
  <c r="HT8"/>
  <c r="HU8"/>
  <c r="HV8"/>
  <c r="HW8"/>
  <c r="HX8"/>
  <c r="HY8"/>
  <c r="HZ8"/>
  <c r="IA8"/>
  <c r="IB8"/>
  <c r="IC8"/>
  <c r="ID8"/>
  <c r="IE8"/>
  <c r="IF8"/>
  <c r="IG8"/>
  <c r="IH8"/>
  <c r="II8"/>
  <c r="IJ8"/>
  <c r="IK8"/>
  <c r="IL8"/>
  <c r="IM8"/>
  <c r="IN8"/>
  <c r="IO8"/>
  <c r="IP8"/>
  <c r="IQ8"/>
  <c r="IR8"/>
  <c r="IS8"/>
  <c r="IT8"/>
  <c r="IU8"/>
  <c r="IV8"/>
  <c r="A7"/>
  <c r="B7"/>
  <c r="C7"/>
  <c r="D7"/>
  <c r="E7"/>
  <c r="F7"/>
  <c r="G7"/>
  <c r="H7"/>
  <c r="I7"/>
  <c r="J7"/>
  <c r="K7"/>
  <c r="L7"/>
  <c r="M7"/>
  <c r="N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X7"/>
  <c r="AY7"/>
  <c r="AZ7"/>
  <c r="BA7"/>
  <c r="BB7"/>
  <c r="BC7"/>
  <c r="BD7"/>
  <c r="BE7"/>
  <c r="BF7"/>
  <c r="BG7"/>
  <c r="BH7"/>
  <c r="BI7"/>
  <c r="BJ7"/>
  <c r="BK7"/>
  <c r="BL7"/>
  <c r="BM7"/>
  <c r="BN7"/>
  <c r="BO7"/>
  <c r="BP7"/>
  <c r="BQ7"/>
  <c r="BR7"/>
  <c r="BS7"/>
  <c r="BT7"/>
  <c r="BU7"/>
  <c r="BV7"/>
  <c r="BW7"/>
  <c r="BX7"/>
  <c r="BY7"/>
  <c r="BZ7"/>
  <c r="CA7"/>
  <c r="CB7"/>
  <c r="CC7"/>
  <c r="CD7"/>
  <c r="CE7"/>
  <c r="CF7"/>
  <c r="CG7"/>
  <c r="CH7"/>
  <c r="CI7"/>
  <c r="CJ7"/>
  <c r="CK7"/>
  <c r="CL7"/>
  <c r="CM7"/>
  <c r="CN7"/>
  <c r="CO7"/>
  <c r="CP7"/>
  <c r="CQ7"/>
  <c r="CR7"/>
  <c r="CS7"/>
  <c r="CT7"/>
  <c r="CU7"/>
  <c r="CV7"/>
  <c r="CW7"/>
  <c r="CX7"/>
  <c r="CY7"/>
  <c r="CZ7"/>
  <c r="DA7"/>
  <c r="DB7"/>
  <c r="DC7"/>
  <c r="DD7"/>
  <c r="DE7"/>
  <c r="DF7"/>
  <c r="DG7"/>
  <c r="DH7"/>
  <c r="DI7"/>
  <c r="DJ7"/>
  <c r="DK7"/>
  <c r="DL7"/>
  <c r="DM7"/>
  <c r="DN7"/>
  <c r="DO7"/>
  <c r="DP7"/>
  <c r="DQ7"/>
  <c r="DR7"/>
  <c r="DS7"/>
  <c r="DT7"/>
  <c r="DU7"/>
  <c r="DV7"/>
  <c r="DW7"/>
  <c r="DX7"/>
  <c r="DY7"/>
  <c r="DZ7"/>
  <c r="EA7"/>
  <c r="EB7"/>
  <c r="EC7"/>
  <c r="ED7"/>
  <c r="EE7"/>
  <c r="EF7"/>
  <c r="EG7"/>
  <c r="EH7"/>
  <c r="EI7"/>
  <c r="EJ7"/>
  <c r="EK7"/>
  <c r="EL7"/>
  <c r="EM7"/>
  <c r="EN7"/>
  <c r="EO7"/>
  <c r="EP7"/>
  <c r="EQ7"/>
  <c r="ER7"/>
  <c r="ES7"/>
  <c r="ET7"/>
  <c r="EU7"/>
  <c r="EV7"/>
  <c r="EW7"/>
  <c r="EX7"/>
  <c r="EY7"/>
  <c r="EZ7"/>
  <c r="FA7"/>
  <c r="FB7"/>
  <c r="FC7"/>
  <c r="FD7"/>
  <c r="FE7"/>
  <c r="FF7"/>
  <c r="FG7"/>
  <c r="FH7"/>
  <c r="FI7"/>
  <c r="FJ7"/>
  <c r="FK7"/>
  <c r="FL7"/>
  <c r="FM7"/>
  <c r="FN7"/>
  <c r="FO7"/>
  <c r="FP7"/>
  <c r="FQ7"/>
  <c r="FR7"/>
  <c r="FS7"/>
  <c r="FT7"/>
  <c r="FU7"/>
  <c r="FV7"/>
  <c r="FW7"/>
  <c r="FX7"/>
  <c r="FY7"/>
  <c r="FZ7"/>
  <c r="GA7"/>
  <c r="GB7"/>
  <c r="GC7"/>
  <c r="GD7"/>
  <c r="GE7"/>
  <c r="GF7"/>
  <c r="GG7"/>
  <c r="GH7"/>
  <c r="GI7"/>
  <c r="GJ7"/>
  <c r="GK7"/>
  <c r="GL7"/>
  <c r="GM7"/>
  <c r="GN7"/>
  <c r="GO7"/>
  <c r="GP7"/>
  <c r="GQ7"/>
  <c r="GR7"/>
  <c r="GS7"/>
  <c r="GT7"/>
  <c r="GU7"/>
  <c r="GV7"/>
  <c r="GW7"/>
  <c r="GX7"/>
  <c r="GY7"/>
  <c r="GZ7"/>
  <c r="HA7"/>
  <c r="HB7"/>
  <c r="HC7"/>
  <c r="HD7"/>
  <c r="HE7"/>
  <c r="HF7"/>
  <c r="HG7"/>
  <c r="HH7"/>
  <c r="HI7"/>
  <c r="HJ7"/>
  <c r="HK7"/>
  <c r="HL7"/>
  <c r="HM7"/>
  <c r="HN7"/>
  <c r="HO7"/>
  <c r="HP7"/>
  <c r="HQ7"/>
  <c r="HR7"/>
  <c r="HS7"/>
  <c r="HT7"/>
  <c r="HU7"/>
  <c r="HV7"/>
  <c r="HW7"/>
  <c r="HX7"/>
  <c r="HY7"/>
  <c r="HZ7"/>
  <c r="IA7"/>
  <c r="IB7"/>
  <c r="IC7"/>
  <c r="ID7"/>
  <c r="IE7"/>
  <c r="IF7"/>
  <c r="IG7"/>
  <c r="IH7"/>
  <c r="II7"/>
  <c r="IJ7"/>
  <c r="IK7"/>
  <c r="IL7"/>
  <c r="IM7"/>
  <c r="IN7"/>
  <c r="IO7"/>
  <c r="IP7"/>
  <c r="IQ7"/>
  <c r="IR7"/>
  <c r="IS7"/>
  <c r="IT7"/>
  <c r="IU7"/>
  <c r="IV7"/>
  <c r="A6"/>
  <c r="B6"/>
  <c r="C6"/>
  <c r="D6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AY6"/>
  <c r="AZ6"/>
  <c r="BA6"/>
  <c r="BB6"/>
  <c r="BC6"/>
  <c r="BD6"/>
  <c r="BE6"/>
  <c r="BF6"/>
  <c r="BG6"/>
  <c r="BH6"/>
  <c r="BI6"/>
  <c r="BJ6"/>
  <c r="BK6"/>
  <c r="BL6"/>
  <c r="BM6"/>
  <c r="BN6"/>
  <c r="BO6"/>
  <c r="BP6"/>
  <c r="BQ6"/>
  <c r="BR6"/>
  <c r="BS6"/>
  <c r="BT6"/>
  <c r="BU6"/>
  <c r="BV6"/>
  <c r="BW6"/>
  <c r="BX6"/>
  <c r="BY6"/>
  <c r="BZ6"/>
  <c r="CA6"/>
  <c r="CB6"/>
  <c r="CC6"/>
  <c r="CD6"/>
  <c r="CE6"/>
  <c r="CF6"/>
  <c r="CG6"/>
  <c r="CH6"/>
  <c r="CI6"/>
  <c r="CJ6"/>
  <c r="CK6"/>
  <c r="CL6"/>
  <c r="CM6"/>
  <c r="CN6"/>
  <c r="CO6"/>
  <c r="CP6"/>
  <c r="CQ6"/>
  <c r="CR6"/>
  <c r="CS6"/>
  <c r="CT6"/>
  <c r="CU6"/>
  <c r="CV6"/>
  <c r="CW6"/>
  <c r="CX6"/>
  <c r="CY6"/>
  <c r="CZ6"/>
  <c r="DA6"/>
  <c r="DB6"/>
  <c r="DC6"/>
  <c r="DD6"/>
  <c r="DE6"/>
  <c r="DF6"/>
  <c r="DG6"/>
  <c r="DH6"/>
  <c r="DI6"/>
  <c r="DJ6"/>
  <c r="DK6"/>
  <c r="DL6"/>
  <c r="DM6"/>
  <c r="DN6"/>
  <c r="DO6"/>
  <c r="DP6"/>
  <c r="DQ6"/>
  <c r="DR6"/>
  <c r="DS6"/>
  <c r="DT6"/>
  <c r="DU6"/>
  <c r="DV6"/>
  <c r="DW6"/>
  <c r="DX6"/>
  <c r="DY6"/>
  <c r="DZ6"/>
  <c r="EA6"/>
  <c r="EB6"/>
  <c r="EC6"/>
  <c r="ED6"/>
  <c r="EE6"/>
  <c r="EF6"/>
  <c r="EG6"/>
  <c r="EH6"/>
  <c r="EI6"/>
  <c r="EJ6"/>
  <c r="EK6"/>
  <c r="EL6"/>
  <c r="EM6"/>
  <c r="EN6"/>
  <c r="EO6"/>
  <c r="EP6"/>
  <c r="EQ6"/>
  <c r="ER6"/>
  <c r="ES6"/>
  <c r="ET6"/>
  <c r="EU6"/>
  <c r="EV6"/>
  <c r="EW6"/>
  <c r="EX6"/>
  <c r="EY6"/>
  <c r="EZ6"/>
  <c r="FA6"/>
  <c r="FB6"/>
  <c r="FC6"/>
  <c r="FD6"/>
  <c r="FE6"/>
  <c r="FF6"/>
  <c r="FG6"/>
  <c r="FH6"/>
  <c r="FI6"/>
  <c r="FJ6"/>
  <c r="FK6"/>
  <c r="FL6"/>
  <c r="FM6"/>
  <c r="FN6"/>
  <c r="FO6"/>
  <c r="FP6"/>
  <c r="FQ6"/>
  <c r="FR6"/>
  <c r="FS6"/>
  <c r="FT6"/>
  <c r="FU6"/>
  <c r="FV6"/>
  <c r="FW6"/>
  <c r="FX6"/>
  <c r="FY6"/>
  <c r="FZ6"/>
  <c r="GA6"/>
  <c r="GB6"/>
  <c r="GC6"/>
  <c r="GD6"/>
  <c r="GE6"/>
  <c r="GF6"/>
  <c r="GG6"/>
  <c r="GH6"/>
  <c r="GI6"/>
  <c r="GJ6"/>
  <c r="GK6"/>
  <c r="GL6"/>
  <c r="GM6"/>
  <c r="GN6"/>
  <c r="GO6"/>
  <c r="GP6"/>
  <c r="GQ6"/>
  <c r="GR6"/>
  <c r="GS6"/>
  <c r="GT6"/>
  <c r="GU6"/>
  <c r="GV6"/>
  <c r="GW6"/>
  <c r="GX6"/>
  <c r="GY6"/>
  <c r="GZ6"/>
  <c r="HA6"/>
  <c r="HB6"/>
  <c r="HC6"/>
  <c r="HD6"/>
  <c r="HE6"/>
  <c r="HF6"/>
  <c r="HG6"/>
  <c r="HH6"/>
  <c r="HI6"/>
  <c r="HJ6"/>
  <c r="HK6"/>
  <c r="HL6"/>
  <c r="HM6"/>
  <c r="HN6"/>
  <c r="HO6"/>
  <c r="HP6"/>
  <c r="HQ6"/>
  <c r="HR6"/>
  <c r="HS6"/>
  <c r="HT6"/>
  <c r="HU6"/>
  <c r="HV6"/>
  <c r="HW6"/>
  <c r="HX6"/>
  <c r="HY6"/>
  <c r="HZ6"/>
  <c r="IA6"/>
  <c r="IB6"/>
  <c r="IC6"/>
  <c r="ID6"/>
  <c r="IE6"/>
  <c r="IF6"/>
  <c r="IG6"/>
  <c r="IH6"/>
  <c r="II6"/>
  <c r="IJ6"/>
  <c r="IK6"/>
  <c r="IL6"/>
  <c r="IM6"/>
  <c r="IN6"/>
  <c r="IO6"/>
  <c r="IP6"/>
  <c r="IQ6"/>
  <c r="IR6"/>
  <c r="IS6"/>
  <c r="IT6"/>
  <c r="IU6"/>
  <c r="IV6"/>
  <c r="A5"/>
  <c r="B5"/>
  <c r="C5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AZ5"/>
  <c r="BA5"/>
  <c r="BB5"/>
  <c r="BC5"/>
  <c r="BD5"/>
  <c r="BE5"/>
  <c r="BF5"/>
  <c r="BG5"/>
  <c r="BH5"/>
  <c r="BI5"/>
  <c r="BJ5"/>
  <c r="BK5"/>
  <c r="BL5"/>
  <c r="BM5"/>
  <c r="BN5"/>
  <c r="BO5"/>
  <c r="BP5"/>
  <c r="BQ5"/>
  <c r="BR5"/>
  <c r="BS5"/>
  <c r="BT5"/>
  <c r="BU5"/>
  <c r="BV5"/>
  <c r="BW5"/>
  <c r="BX5"/>
  <c r="BY5"/>
  <c r="BZ5"/>
  <c r="CA5"/>
  <c r="CB5"/>
  <c r="CC5"/>
  <c r="CD5"/>
  <c r="CE5"/>
  <c r="CF5"/>
  <c r="CG5"/>
  <c r="CH5"/>
  <c r="CI5"/>
  <c r="CJ5"/>
  <c r="CK5"/>
  <c r="CL5"/>
  <c r="CM5"/>
  <c r="CN5"/>
  <c r="CO5"/>
  <c r="CP5"/>
  <c r="CQ5"/>
  <c r="CR5"/>
  <c r="CS5"/>
  <c r="CT5"/>
  <c r="CU5"/>
  <c r="CV5"/>
  <c r="CW5"/>
  <c r="CX5"/>
  <c r="CY5"/>
  <c r="CZ5"/>
  <c r="DA5"/>
  <c r="DB5"/>
  <c r="DC5"/>
  <c r="DD5"/>
  <c r="DE5"/>
  <c r="DF5"/>
  <c r="DG5"/>
  <c r="DH5"/>
  <c r="DI5"/>
  <c r="DJ5"/>
  <c r="DK5"/>
  <c r="DL5"/>
  <c r="DM5"/>
  <c r="DN5"/>
  <c r="DO5"/>
  <c r="DP5"/>
  <c r="DQ5"/>
  <c r="DR5"/>
  <c r="DS5"/>
  <c r="DT5"/>
  <c r="DU5"/>
  <c r="DV5"/>
  <c r="DW5"/>
  <c r="DX5"/>
  <c r="DY5"/>
  <c r="DZ5"/>
  <c r="EA5"/>
  <c r="EB5"/>
  <c r="EC5"/>
  <c r="ED5"/>
  <c r="EE5"/>
  <c r="EF5"/>
  <c r="EG5"/>
  <c r="EH5"/>
  <c r="EI5"/>
  <c r="EJ5"/>
  <c r="EK5"/>
  <c r="EL5"/>
  <c r="EM5"/>
  <c r="EN5"/>
  <c r="EO5"/>
  <c r="EP5"/>
  <c r="EQ5"/>
  <c r="ER5"/>
  <c r="ES5"/>
  <c r="ET5"/>
  <c r="EU5"/>
  <c r="EV5"/>
  <c r="EW5"/>
  <c r="EX5"/>
  <c r="EY5"/>
  <c r="EZ5"/>
  <c r="FA5"/>
  <c r="FB5"/>
  <c r="FC5"/>
  <c r="FD5"/>
  <c r="FE5"/>
  <c r="FF5"/>
  <c r="FG5"/>
  <c r="FH5"/>
  <c r="FI5"/>
  <c r="FJ5"/>
  <c r="FK5"/>
  <c r="FL5"/>
  <c r="FM5"/>
  <c r="FN5"/>
  <c r="FO5"/>
  <c r="FP5"/>
  <c r="FQ5"/>
  <c r="FR5"/>
  <c r="FS5"/>
  <c r="FT5"/>
  <c r="FU5"/>
  <c r="FV5"/>
  <c r="FW5"/>
  <c r="FX5"/>
  <c r="FY5"/>
  <c r="FZ5"/>
  <c r="GA5"/>
  <c r="GB5"/>
  <c r="GC5"/>
  <c r="GD5"/>
  <c r="GE5"/>
  <c r="GF5"/>
  <c r="GG5"/>
  <c r="GH5"/>
  <c r="GI5"/>
  <c r="GJ5"/>
  <c r="GK5"/>
  <c r="GL5"/>
  <c r="GM5"/>
  <c r="GN5"/>
  <c r="GO5"/>
  <c r="GP5"/>
  <c r="GQ5"/>
  <c r="GR5"/>
  <c r="GS5"/>
  <c r="GT5"/>
  <c r="GU5"/>
  <c r="GV5"/>
  <c r="GW5"/>
  <c r="GX5"/>
  <c r="GY5"/>
  <c r="GZ5"/>
  <c r="HA5"/>
  <c r="HB5"/>
  <c r="HC5"/>
  <c r="HD5"/>
  <c r="HE5"/>
  <c r="HF5"/>
  <c r="HG5"/>
  <c r="HH5"/>
  <c r="HI5"/>
  <c r="HJ5"/>
  <c r="HK5"/>
  <c r="HL5"/>
  <c r="HM5"/>
  <c r="HN5"/>
  <c r="HO5"/>
  <c r="HP5"/>
  <c r="HQ5"/>
  <c r="HR5"/>
  <c r="HS5"/>
  <c r="HT5"/>
  <c r="HU5"/>
  <c r="HV5"/>
  <c r="HW5"/>
  <c r="HX5"/>
  <c r="HY5"/>
  <c r="HZ5"/>
  <c r="IA5"/>
  <c r="IB5"/>
  <c r="IC5"/>
  <c r="ID5"/>
  <c r="IE5"/>
  <c r="IF5"/>
  <c r="IG5"/>
  <c r="IH5"/>
  <c r="II5"/>
  <c r="IJ5"/>
  <c r="IK5"/>
  <c r="IL5"/>
  <c r="IM5"/>
  <c r="IN5"/>
  <c r="IO5"/>
  <c r="IP5"/>
  <c r="IQ5"/>
  <c r="IR5"/>
  <c r="IS5"/>
  <c r="IT5"/>
  <c r="IU5"/>
  <c r="IV5"/>
  <c r="A4"/>
  <c r="B4"/>
  <c r="C4"/>
  <c r="D4"/>
  <c r="E4"/>
  <c r="F4"/>
  <c r="G4"/>
  <c r="H4"/>
  <c r="I4"/>
  <c r="J4"/>
  <c r="K4"/>
  <c r="L4"/>
  <c r="M4"/>
  <c r="N4"/>
  <c r="O4"/>
  <c r="P4"/>
  <c r="Q4"/>
  <c r="R4"/>
  <c r="S4"/>
  <c r="T4"/>
  <c r="U4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AR4"/>
  <c r="AS4"/>
  <c r="AT4"/>
  <c r="AU4"/>
  <c r="AV4"/>
  <c r="AW4"/>
  <c r="AX4"/>
  <c r="AY4"/>
  <c r="AZ4"/>
  <c r="BA4"/>
  <c r="BB4"/>
  <c r="BC4"/>
  <c r="BD4"/>
  <c r="BE4"/>
  <c r="BF4"/>
  <c r="BG4"/>
  <c r="BH4"/>
  <c r="BI4"/>
  <c r="BJ4"/>
  <c r="BK4"/>
  <c r="BL4"/>
  <c r="BM4"/>
  <c r="BN4"/>
  <c r="BO4"/>
  <c r="BP4"/>
  <c r="BQ4"/>
  <c r="BR4"/>
  <c r="BS4"/>
  <c r="BT4"/>
  <c r="BU4"/>
  <c r="BV4"/>
  <c r="BW4"/>
  <c r="BX4"/>
  <c r="BY4"/>
  <c r="BZ4"/>
  <c r="CA4"/>
  <c r="CB4"/>
  <c r="CC4"/>
  <c r="CD4"/>
  <c r="CE4"/>
  <c r="CF4"/>
  <c r="CG4"/>
  <c r="CH4"/>
  <c r="CI4"/>
  <c r="CJ4"/>
  <c r="CK4"/>
  <c r="CL4"/>
  <c r="CM4"/>
  <c r="CN4"/>
  <c r="CO4"/>
  <c r="CP4"/>
  <c r="CQ4"/>
  <c r="CR4"/>
  <c r="CS4"/>
  <c r="CT4"/>
  <c r="CU4"/>
  <c r="CV4"/>
  <c r="CW4"/>
  <c r="CX4"/>
  <c r="CY4"/>
  <c r="CZ4"/>
  <c r="DA4"/>
  <c r="DB4"/>
  <c r="DC4"/>
  <c r="DD4"/>
  <c r="DE4"/>
  <c r="DF4"/>
  <c r="DG4"/>
  <c r="DH4"/>
  <c r="DI4"/>
  <c r="DJ4"/>
  <c r="DK4"/>
  <c r="DL4"/>
  <c r="DM4"/>
  <c r="DN4"/>
  <c r="DO4"/>
  <c r="DP4"/>
  <c r="DQ4"/>
  <c r="DR4"/>
  <c r="DS4"/>
  <c r="DT4"/>
  <c r="DU4"/>
  <c r="DV4"/>
  <c r="DW4"/>
  <c r="DX4"/>
  <c r="DY4"/>
  <c r="DZ4"/>
  <c r="EA4"/>
  <c r="EB4"/>
  <c r="EC4"/>
  <c r="ED4"/>
  <c r="EE4"/>
  <c r="EF4"/>
  <c r="EG4"/>
  <c r="EH4"/>
  <c r="EI4"/>
  <c r="EJ4"/>
  <c r="EK4"/>
  <c r="EL4"/>
  <c r="EM4"/>
  <c r="EN4"/>
  <c r="EO4"/>
  <c r="EP4"/>
  <c r="EQ4"/>
  <c r="ER4"/>
  <c r="ES4"/>
  <c r="ET4"/>
  <c r="EU4"/>
  <c r="EV4"/>
  <c r="EW4"/>
  <c r="EX4"/>
  <c r="EY4"/>
  <c r="EZ4"/>
  <c r="FA4"/>
  <c r="FB4"/>
  <c r="FC4"/>
  <c r="FD4"/>
  <c r="FE4"/>
  <c r="FF4"/>
  <c r="FG4"/>
  <c r="FH4"/>
  <c r="FI4"/>
  <c r="FJ4"/>
  <c r="FK4"/>
  <c r="FL4"/>
  <c r="FM4"/>
  <c r="FN4"/>
  <c r="FO4"/>
  <c r="FP4"/>
  <c r="FQ4"/>
  <c r="FR4"/>
  <c r="FS4"/>
  <c r="FT4"/>
  <c r="FU4"/>
  <c r="FV4"/>
  <c r="FW4"/>
  <c r="FX4"/>
  <c r="FY4"/>
  <c r="FZ4"/>
  <c r="GA4"/>
  <c r="GB4"/>
  <c r="GC4"/>
  <c r="GD4"/>
  <c r="GE4"/>
  <c r="GF4"/>
  <c r="GG4"/>
  <c r="GH4"/>
  <c r="GI4"/>
  <c r="GJ4"/>
  <c r="GK4"/>
  <c r="GL4"/>
  <c r="GM4"/>
  <c r="GN4"/>
  <c r="GO4"/>
  <c r="GP4"/>
  <c r="GQ4"/>
  <c r="GR4"/>
  <c r="GS4"/>
  <c r="GT4"/>
  <c r="GU4"/>
  <c r="GV4"/>
  <c r="GW4"/>
  <c r="GX4"/>
  <c r="GY4"/>
  <c r="GZ4"/>
  <c r="HA4"/>
  <c r="HB4"/>
  <c r="HC4"/>
  <c r="HD4"/>
  <c r="HE4"/>
  <c r="HF4"/>
  <c r="HG4"/>
  <c r="HH4"/>
  <c r="HI4"/>
  <c r="HJ4"/>
  <c r="HK4"/>
  <c r="HL4"/>
  <c r="HM4"/>
  <c r="HN4"/>
  <c r="HO4"/>
  <c r="HP4"/>
  <c r="HQ4"/>
  <c r="HR4"/>
  <c r="HS4"/>
  <c r="HT4"/>
  <c r="HU4"/>
  <c r="HV4"/>
  <c r="HW4"/>
  <c r="HX4"/>
  <c r="HY4"/>
  <c r="HZ4"/>
  <c r="IA4"/>
  <c r="IB4"/>
  <c r="IC4"/>
  <c r="ID4"/>
  <c r="IE4"/>
  <c r="IF4"/>
  <c r="IG4"/>
  <c r="IH4"/>
  <c r="II4"/>
  <c r="IJ4"/>
  <c r="IK4"/>
  <c r="IL4"/>
  <c r="IM4"/>
  <c r="IN4"/>
  <c r="IO4"/>
  <c r="IP4"/>
  <c r="IQ4"/>
  <c r="IR4"/>
  <c r="IS4"/>
  <c r="IT4"/>
  <c r="IU4"/>
  <c r="IV4"/>
  <c r="A3"/>
  <c r="B3"/>
  <c r="C3"/>
  <c r="D3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AY3"/>
  <c r="AZ3"/>
  <c r="BA3"/>
  <c r="BB3"/>
  <c r="BC3"/>
  <c r="BD3"/>
  <c r="BE3"/>
  <c r="BF3"/>
  <c r="BG3"/>
  <c r="BH3"/>
  <c r="BI3"/>
  <c r="BJ3"/>
  <c r="BK3"/>
  <c r="BL3"/>
  <c r="BM3"/>
  <c r="BN3"/>
  <c r="BO3"/>
  <c r="BP3"/>
  <c r="BQ3"/>
  <c r="BR3"/>
  <c r="BS3"/>
  <c r="BT3"/>
  <c r="BU3"/>
  <c r="BV3"/>
  <c r="BW3"/>
  <c r="BX3"/>
  <c r="BY3"/>
  <c r="BZ3"/>
  <c r="CA3"/>
  <c r="CB3"/>
  <c r="CC3"/>
  <c r="CD3"/>
  <c r="CE3"/>
  <c r="CF3"/>
  <c r="CG3"/>
  <c r="CH3"/>
  <c r="CI3"/>
  <c r="CJ3"/>
  <c r="CK3"/>
  <c r="CL3"/>
  <c r="CM3"/>
  <c r="CN3"/>
  <c r="CO3"/>
  <c r="CP3"/>
  <c r="CQ3"/>
  <c r="CR3"/>
  <c r="CS3"/>
  <c r="CT3"/>
  <c r="CU3"/>
  <c r="CV3"/>
  <c r="CW3"/>
  <c r="CX3"/>
  <c r="CY3"/>
  <c r="CZ3"/>
  <c r="DA3"/>
  <c r="DB3"/>
  <c r="DC3"/>
  <c r="DD3"/>
  <c r="DE3"/>
  <c r="DF3"/>
  <c r="DG3"/>
  <c r="DH3"/>
  <c r="DI3"/>
  <c r="DJ3"/>
  <c r="DK3"/>
  <c r="DL3"/>
  <c r="DM3"/>
  <c r="DN3"/>
  <c r="DO3"/>
  <c r="DP3"/>
  <c r="DQ3"/>
  <c r="DR3"/>
  <c r="DS3"/>
  <c r="DT3"/>
  <c r="DU3"/>
  <c r="DV3"/>
  <c r="DW3"/>
  <c r="DX3"/>
  <c r="DY3"/>
  <c r="DZ3"/>
  <c r="EA3"/>
  <c r="EB3"/>
  <c r="EC3"/>
  <c r="ED3"/>
  <c r="EE3"/>
  <c r="EF3"/>
  <c r="EG3"/>
  <c r="EH3"/>
  <c r="EI3"/>
  <c r="EJ3"/>
  <c r="EK3"/>
  <c r="EL3"/>
  <c r="EM3"/>
  <c r="EN3"/>
  <c r="EO3"/>
  <c r="EP3"/>
  <c r="EQ3"/>
  <c r="ER3"/>
  <c r="ES3"/>
  <c r="ET3"/>
  <c r="EU3"/>
  <c r="EV3"/>
  <c r="EW3"/>
  <c r="EX3"/>
  <c r="EY3"/>
  <c r="EZ3"/>
  <c r="FA3"/>
  <c r="FB3"/>
  <c r="FC3"/>
  <c r="FD3"/>
  <c r="FE3"/>
  <c r="FF3"/>
  <c r="FG3"/>
  <c r="FH3"/>
  <c r="FI3"/>
  <c r="FJ3"/>
  <c r="FK3"/>
  <c r="FL3"/>
  <c r="FM3"/>
  <c r="FN3"/>
  <c r="FO3"/>
  <c r="FP3"/>
  <c r="FQ3"/>
  <c r="FR3"/>
  <c r="FS3"/>
  <c r="FT3"/>
  <c r="FU3"/>
  <c r="FV3"/>
  <c r="FW3"/>
  <c r="FX3"/>
  <c r="FY3"/>
  <c r="FZ3"/>
  <c r="GA3"/>
  <c r="GB3"/>
  <c r="GC3"/>
  <c r="GD3"/>
  <c r="GE3"/>
  <c r="GF3"/>
  <c r="GG3"/>
  <c r="GH3"/>
  <c r="GI3"/>
  <c r="GJ3"/>
  <c r="GK3"/>
  <c r="GL3"/>
  <c r="GM3"/>
  <c r="GN3"/>
  <c r="GO3"/>
  <c r="GP3"/>
  <c r="GQ3"/>
  <c r="GR3"/>
  <c r="GS3"/>
  <c r="GT3"/>
  <c r="GU3"/>
  <c r="GV3"/>
  <c r="GW3"/>
  <c r="GX3"/>
  <c r="GY3"/>
  <c r="GZ3"/>
  <c r="HA3"/>
  <c r="HB3"/>
  <c r="HC3"/>
  <c r="HD3"/>
  <c r="HE3"/>
  <c r="HF3"/>
  <c r="HG3"/>
  <c r="HH3"/>
  <c r="HI3"/>
  <c r="HJ3"/>
  <c r="HK3"/>
  <c r="HL3"/>
  <c r="HM3"/>
  <c r="HN3"/>
  <c r="HO3"/>
  <c r="HP3"/>
  <c r="HQ3"/>
  <c r="HR3"/>
  <c r="HS3"/>
  <c r="HT3"/>
  <c r="HU3"/>
  <c r="HV3"/>
  <c r="HW3"/>
  <c r="HX3"/>
  <c r="HY3"/>
  <c r="HZ3"/>
  <c r="IA3"/>
  <c r="IB3"/>
  <c r="IC3"/>
  <c r="ID3"/>
  <c r="IE3"/>
  <c r="IF3"/>
  <c r="IG3"/>
  <c r="IH3"/>
  <c r="II3"/>
  <c r="IJ3"/>
  <c r="IK3"/>
  <c r="IL3"/>
  <c r="IM3"/>
  <c r="IN3"/>
  <c r="IO3"/>
  <c r="IP3"/>
  <c r="IQ3"/>
  <c r="IR3"/>
  <c r="IT3"/>
  <c r="IU3"/>
  <c r="IV3"/>
  <c r="A2"/>
  <c r="B2"/>
  <c r="C2"/>
  <c r="D2"/>
  <c r="E2"/>
  <c r="F2"/>
  <c r="G2"/>
  <c r="H2"/>
  <c r="I2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AY2"/>
  <c r="AZ2"/>
  <c r="BA2"/>
  <c r="BB2"/>
  <c r="BC2"/>
  <c r="BD2"/>
  <c r="BE2"/>
  <c r="BF2"/>
  <c r="BG2"/>
  <c r="BH2"/>
  <c r="BI2"/>
  <c r="BJ2"/>
  <c r="BK2"/>
  <c r="BL2"/>
  <c r="BM2"/>
  <c r="BN2"/>
  <c r="BO2"/>
  <c r="BP2"/>
  <c r="BQ2"/>
  <c r="BR2"/>
  <c r="BS2"/>
  <c r="BT2"/>
  <c r="BU2"/>
  <c r="BV2"/>
  <c r="BW2"/>
  <c r="BX2"/>
  <c r="BY2"/>
  <c r="BZ2"/>
  <c r="CA2"/>
  <c r="CB2"/>
  <c r="CC2"/>
  <c r="CD2"/>
  <c r="CE2"/>
  <c r="CF2"/>
  <c r="CG2"/>
  <c r="CH2"/>
  <c r="CI2"/>
  <c r="CJ2"/>
  <c r="CK2"/>
  <c r="CL2"/>
  <c r="CM2"/>
  <c r="CN2"/>
  <c r="CO2"/>
  <c r="CP2"/>
  <c r="CQ2"/>
  <c r="CR2"/>
  <c r="CS2"/>
  <c r="CT2"/>
  <c r="CU2"/>
  <c r="CV2"/>
  <c r="CW2"/>
  <c r="CX2"/>
  <c r="CY2"/>
  <c r="CZ2"/>
  <c r="DA2"/>
  <c r="DB2"/>
  <c r="DC2"/>
  <c r="DD2"/>
  <c r="DE2"/>
  <c r="DF2"/>
  <c r="DG2"/>
  <c r="DH2"/>
  <c r="DI2"/>
  <c r="DJ2"/>
  <c r="DK2"/>
  <c r="DL2"/>
  <c r="DM2"/>
  <c r="DN2"/>
  <c r="DO2"/>
  <c r="DP2"/>
  <c r="DQ2"/>
  <c r="DR2"/>
  <c r="DS2"/>
  <c r="DT2"/>
  <c r="DU2"/>
  <c r="DV2"/>
  <c r="DW2"/>
  <c r="DX2"/>
  <c r="DY2"/>
  <c r="DZ2"/>
  <c r="EA2"/>
  <c r="EB2"/>
  <c r="EC2"/>
  <c r="ED2"/>
  <c r="EE2"/>
  <c r="EF2"/>
  <c r="EG2"/>
  <c r="EH2"/>
  <c r="EI2"/>
  <c r="EJ2"/>
  <c r="EK2"/>
  <c r="EL2"/>
  <c r="EM2"/>
  <c r="EN2"/>
  <c r="EO2"/>
  <c r="EP2"/>
  <c r="EQ2"/>
  <c r="ER2"/>
  <c r="ES2"/>
  <c r="ET2"/>
  <c r="EU2"/>
  <c r="EV2"/>
  <c r="EW2"/>
  <c r="EX2"/>
  <c r="EY2"/>
  <c r="EZ2"/>
  <c r="FA2"/>
  <c r="FB2"/>
  <c r="FC2"/>
  <c r="FD2"/>
  <c r="FE2"/>
  <c r="FF2"/>
  <c r="FG2"/>
  <c r="FH2"/>
  <c r="FI2"/>
  <c r="FJ2"/>
  <c r="FK2"/>
  <c r="FL2"/>
  <c r="FM2"/>
  <c r="FN2"/>
  <c r="FO2"/>
  <c r="FP2"/>
  <c r="FQ2"/>
  <c r="FR2"/>
  <c r="FS2"/>
  <c r="FT2"/>
  <c r="FU2"/>
  <c r="FV2"/>
  <c r="FW2"/>
  <c r="FX2"/>
  <c r="FY2"/>
  <c r="FZ2"/>
  <c r="GA2"/>
  <c r="GB2"/>
  <c r="GC2"/>
  <c r="GD2"/>
  <c r="GE2"/>
  <c r="GF2"/>
  <c r="GG2"/>
  <c r="GH2"/>
  <c r="GI2"/>
  <c r="GJ2"/>
  <c r="GK2"/>
  <c r="GL2"/>
  <c r="GM2"/>
  <c r="GN2"/>
  <c r="GO2"/>
  <c r="GP2"/>
  <c r="GQ2"/>
  <c r="GR2"/>
  <c r="GS2"/>
  <c r="GT2"/>
  <c r="GU2"/>
  <c r="GV2"/>
  <c r="GW2"/>
  <c r="GX2"/>
  <c r="GY2"/>
  <c r="GZ2"/>
  <c r="HA2"/>
  <c r="HB2"/>
  <c r="HC2"/>
  <c r="HD2"/>
  <c r="HE2"/>
  <c r="HF2"/>
  <c r="HG2"/>
  <c r="HH2"/>
  <c r="HI2"/>
  <c r="HJ2"/>
  <c r="HK2"/>
  <c r="HL2"/>
  <c r="HM2"/>
  <c r="HN2"/>
  <c r="HO2"/>
  <c r="HP2"/>
  <c r="HQ2"/>
  <c r="HR2"/>
  <c r="HS2"/>
  <c r="HT2"/>
  <c r="HU2"/>
  <c r="HV2"/>
  <c r="HW2"/>
  <c r="HX2"/>
  <c r="HY2"/>
  <c r="HZ2"/>
  <c r="IA2"/>
  <c r="IB2"/>
  <c r="IC2"/>
  <c r="ID2"/>
  <c r="IE2"/>
  <c r="IF2"/>
  <c r="IG2"/>
  <c r="IH2"/>
  <c r="II2"/>
  <c r="IJ2"/>
  <c r="IK2"/>
  <c r="IL2"/>
  <c r="IM2"/>
  <c r="IN2"/>
  <c r="IO2"/>
  <c r="IP2"/>
  <c r="IQ2"/>
  <c r="IR2"/>
  <c r="IS2"/>
  <c r="IT2"/>
  <c r="IU2"/>
  <c r="IV2"/>
  <c r="A1"/>
  <c r="B1"/>
  <c r="C1"/>
  <c r="D1"/>
  <c r="E1"/>
  <c r="F1"/>
  <c r="G1"/>
  <c r="H1"/>
  <c r="I1"/>
  <c r="J1"/>
  <c r="K1"/>
  <c r="L1"/>
  <c r="M1"/>
  <c r="N1"/>
  <c r="O1"/>
  <c r="P1"/>
  <c r="Q1"/>
  <c r="R1"/>
  <c r="S1"/>
  <c r="T1"/>
  <c r="U1"/>
  <c r="V1"/>
  <c r="W1"/>
  <c r="X1"/>
  <c r="Y1"/>
  <c r="Z1"/>
  <c r="AA1"/>
  <c r="AB1"/>
  <c r="AC1"/>
  <c r="AD1"/>
  <c r="AE1"/>
  <c r="AF1"/>
  <c r="AG1"/>
  <c r="AH1"/>
  <c r="AI1"/>
  <c r="AJ1"/>
  <c r="AK1"/>
  <c r="AL1"/>
  <c r="AM1"/>
  <c r="AN1"/>
  <c r="AO1"/>
  <c r="AP1"/>
  <c r="AQ1"/>
  <c r="AR1"/>
  <c r="AS1"/>
  <c r="AT1"/>
  <c r="AU1"/>
  <c r="AV1"/>
  <c r="AW1"/>
  <c r="AX1"/>
  <c r="AY1"/>
  <c r="AZ1"/>
  <c r="BA1"/>
  <c r="BB1"/>
  <c r="BC1"/>
  <c r="BD1"/>
  <c r="BE1"/>
  <c r="BF1"/>
  <c r="BG1"/>
  <c r="BH1"/>
  <c r="BI1"/>
  <c r="BJ1"/>
  <c r="BK1"/>
  <c r="BL1"/>
  <c r="BM1"/>
  <c r="BN1"/>
  <c r="BO1"/>
  <c r="BP1"/>
  <c r="BQ1"/>
  <c r="BR1"/>
  <c r="BS1"/>
  <c r="BT1"/>
  <c r="BU1"/>
  <c r="BV1"/>
  <c r="BW1"/>
  <c r="BX1"/>
  <c r="BY1"/>
  <c r="BZ1"/>
  <c r="CA1"/>
  <c r="CB1"/>
  <c r="CC1"/>
  <c r="CD1"/>
  <c r="CE1"/>
  <c r="CF1"/>
  <c r="CG1"/>
  <c r="CH1"/>
  <c r="CI1"/>
  <c r="CJ1"/>
  <c r="CK1"/>
  <c r="CL1"/>
  <c r="CM1"/>
  <c r="CN1"/>
  <c r="CO1"/>
  <c r="CP1"/>
  <c r="CQ1"/>
  <c r="CR1"/>
  <c r="CS1"/>
  <c r="CT1"/>
  <c r="CU1"/>
  <c r="CV1"/>
  <c r="CW1"/>
  <c r="CX1"/>
  <c r="CY1"/>
  <c r="CZ1"/>
  <c r="DA1"/>
  <c r="DB1"/>
  <c r="DC1"/>
  <c r="DD1"/>
  <c r="DE1"/>
  <c r="DF1"/>
  <c r="DG1"/>
  <c r="DH1"/>
  <c r="DI1"/>
  <c r="DJ1"/>
  <c r="DK1"/>
  <c r="DL1"/>
  <c r="DM1"/>
  <c r="DN1"/>
  <c r="DO1"/>
  <c r="DP1"/>
  <c r="DQ1"/>
  <c r="DR1"/>
  <c r="DS1"/>
  <c r="DT1"/>
  <c r="DU1"/>
  <c r="DV1"/>
  <c r="DW1"/>
  <c r="DX1"/>
  <c r="DY1"/>
  <c r="DZ1"/>
  <c r="EA1"/>
  <c r="EB1"/>
  <c r="EC1"/>
  <c r="ED1"/>
  <c r="EE1"/>
  <c r="EF1"/>
  <c r="EG1"/>
  <c r="EH1"/>
  <c r="EI1"/>
  <c r="EJ1"/>
  <c r="EK1"/>
  <c r="EL1"/>
  <c r="EM1"/>
  <c r="EN1"/>
  <c r="EO1"/>
  <c r="EP1"/>
  <c r="EQ1"/>
  <c r="ER1"/>
  <c r="ES1"/>
  <c r="ET1"/>
  <c r="EU1"/>
  <c r="EV1"/>
  <c r="EW1"/>
  <c r="EX1"/>
  <c r="EY1"/>
  <c r="EZ1"/>
  <c r="FA1"/>
  <c r="FB1"/>
  <c r="FC1"/>
  <c r="FD1"/>
  <c r="FE1"/>
  <c r="FF1"/>
  <c r="FG1"/>
  <c r="FH1"/>
  <c r="FI1"/>
  <c r="FJ1"/>
  <c r="FK1"/>
  <c r="FL1"/>
  <c r="FM1"/>
  <c r="FN1"/>
  <c r="FO1"/>
  <c r="FP1"/>
  <c r="FQ1"/>
  <c r="FR1"/>
  <c r="FS1"/>
  <c r="FT1"/>
  <c r="FU1"/>
  <c r="FV1"/>
  <c r="FW1"/>
  <c r="FX1"/>
  <c r="FY1"/>
  <c r="FZ1"/>
  <c r="GA1"/>
  <c r="GB1"/>
  <c r="GC1"/>
  <c r="GD1"/>
  <c r="GE1"/>
  <c r="GF1"/>
  <c r="GG1"/>
  <c r="GH1"/>
  <c r="GI1"/>
  <c r="GJ1"/>
  <c r="GK1"/>
  <c r="GL1"/>
  <c r="GM1"/>
  <c r="GN1"/>
  <c r="GO1"/>
  <c r="GP1"/>
  <c r="GQ1"/>
  <c r="GR1"/>
  <c r="GS1"/>
  <c r="GT1"/>
  <c r="GU1"/>
  <c r="GV1"/>
  <c r="GW1"/>
  <c r="GX1"/>
  <c r="GY1"/>
  <c r="GZ1"/>
  <c r="HA1"/>
  <c r="HB1"/>
  <c r="HC1"/>
  <c r="HD1"/>
  <c r="HE1"/>
  <c r="HF1"/>
  <c r="HG1"/>
  <c r="HH1"/>
  <c r="HI1"/>
  <c r="HJ1"/>
  <c r="HK1"/>
  <c r="HL1"/>
  <c r="HM1"/>
  <c r="HN1"/>
  <c r="HO1"/>
  <c r="HP1"/>
  <c r="HQ1"/>
  <c r="HR1"/>
  <c r="HS1"/>
  <c r="HT1"/>
  <c r="HU1"/>
  <c r="HV1"/>
  <c r="HW1"/>
  <c r="HX1"/>
  <c r="HY1"/>
  <c r="HZ1"/>
  <c r="IA1"/>
  <c r="IB1"/>
  <c r="IC1"/>
  <c r="ID1"/>
  <c r="IE1"/>
  <c r="IF1"/>
  <c r="IG1"/>
  <c r="IH1"/>
  <c r="II1"/>
  <c r="IJ1"/>
  <c r="IK1"/>
  <c r="IL1"/>
  <c r="IM1"/>
  <c r="IN1"/>
  <c r="IO1"/>
  <c r="IP1"/>
  <c r="IQ1"/>
  <c r="IR1"/>
  <c r="IS1"/>
  <c r="IT1"/>
  <c r="IU1"/>
  <c r="IV1"/>
  <c r="C11" i="79" a="1"/>
  <c r="C11"/>
  <c r="C12" a="1"/>
  <c r="C12" s="1"/>
  <c r="O5" a="1"/>
  <c r="O5" s="1"/>
  <c r="O6" a="1"/>
  <c r="O6" s="1"/>
  <c r="P17" s="1"/>
  <c r="O7" a="1"/>
  <c r="O7" s="1"/>
  <c r="R17" s="1"/>
  <c r="O8" a="1"/>
  <c r="O8" s="1"/>
  <c r="O9" a="1"/>
  <c r="O9" s="1"/>
  <c r="BU8" i="80" s="1"/>
  <c r="O10" i="79" a="1"/>
  <c r="O10" s="1"/>
  <c r="O4" a="1"/>
  <c r="O4" s="1"/>
  <c r="O7" i="80" s="1"/>
  <c r="K5" i="79" a="1"/>
  <c r="K5" s="1"/>
  <c r="N15" s="1"/>
  <c r="K6" a="1"/>
  <c r="K6" s="1"/>
  <c r="N16" s="1"/>
  <c r="K7" a="1"/>
  <c r="K7" s="1"/>
  <c r="K8" a="1"/>
  <c r="K8" s="1"/>
  <c r="K9" a="1"/>
  <c r="K9" s="1"/>
  <c r="L19" s="1"/>
  <c r="K10" a="1"/>
  <c r="K10" s="1"/>
  <c r="K4" a="1"/>
  <c r="K4" s="1"/>
  <c r="G5" a="1"/>
  <c r="G5" s="1"/>
  <c r="J15" s="1"/>
  <c r="G6" a="1"/>
  <c r="G6" s="1"/>
  <c r="H17" s="1"/>
  <c r="G7" a="1"/>
  <c r="G7" s="1"/>
  <c r="G8" a="1"/>
  <c r="G8" s="1"/>
  <c r="G9" a="1"/>
  <c r="G9" s="1"/>
  <c r="G10" a="1"/>
  <c r="G10" s="1"/>
  <c r="G4" a="1"/>
  <c r="G4" s="1"/>
  <c r="C5" a="1"/>
  <c r="C5" s="1"/>
  <c r="C6" a="1"/>
  <c r="C6" s="1"/>
  <c r="D17" s="1"/>
  <c r="C7" a="1"/>
  <c r="C7" s="1"/>
  <c r="C8" a="1"/>
  <c r="C8" s="1"/>
  <c r="F17" s="1"/>
  <c r="F8" i="80" s="1"/>
  <c r="C9" i="79" a="1"/>
  <c r="C9" s="1"/>
  <c r="C10" a="1"/>
  <c r="C10" s="1"/>
  <c r="C4" a="1"/>
  <c r="C4" s="1"/>
  <c r="I15" i="1" a="1"/>
  <c r="I15" s="1"/>
  <c r="I14" a="1"/>
  <c r="I14" s="1"/>
  <c r="I13" a="1"/>
  <c r="I13" s="1"/>
  <c r="I12" a="1"/>
  <c r="I12" s="1"/>
  <c r="I11" a="1"/>
  <c r="I11" s="1"/>
  <c r="I10" a="1"/>
  <c r="I10" s="1"/>
  <c r="I9" a="1"/>
  <c r="I9" s="1"/>
  <c r="I8" a="1"/>
  <c r="I8" s="1"/>
  <c r="I7" a="1"/>
  <c r="I7" s="1"/>
  <c r="E6" s="1"/>
  <c r="I6" a="1"/>
  <c r="I6" s="1"/>
  <c r="I5" a="1"/>
  <c r="I5" s="1"/>
  <c r="I4" a="1"/>
  <c r="I4" s="1"/>
  <c r="IA9" i="80" l="1"/>
  <c r="N19" i="1"/>
  <c r="BM8" i="80"/>
  <c r="C4" i="1"/>
  <c r="B22" i="79"/>
  <c r="C5" i="1"/>
  <c r="L15" i="79"/>
  <c r="B25" s="1"/>
  <c r="J19"/>
  <c r="N19"/>
  <c r="J16"/>
  <c r="D15"/>
  <c r="H15"/>
  <c r="B24" s="1"/>
  <c r="J18"/>
  <c r="F18"/>
  <c r="BI8" i="80"/>
  <c r="D19" i="79"/>
  <c r="D18"/>
  <c r="F19"/>
  <c r="L17"/>
  <c r="BQ8" i="80"/>
  <c r="N18" i="79"/>
  <c r="N17"/>
  <c r="L18"/>
  <c r="R16"/>
  <c r="B26" s="1"/>
  <c r="H16"/>
  <c r="H19"/>
  <c r="F16"/>
  <c r="D16"/>
  <c r="L16"/>
  <c r="J17"/>
  <c r="H18"/>
  <c r="F15"/>
  <c r="E5" i="1"/>
  <c r="E4"/>
  <c r="E8"/>
  <c r="C8"/>
  <c r="D13"/>
  <c r="D15" s="1"/>
  <c r="C6" s="1"/>
  <c r="D14"/>
  <c r="E9" s="1"/>
  <c r="C9"/>
  <c r="E7"/>
  <c r="C7"/>
  <c r="E10"/>
  <c r="HW9" i="80" s="1"/>
  <c r="N20" i="1" l="1"/>
  <c r="B23" i="79"/>
  <c r="C10" i="1"/>
  <c r="HU9" i="80" s="1"/>
  <c r="F10" i="1" l="1"/>
  <c r="F7"/>
  <c r="F8"/>
  <c r="F6"/>
  <c r="F4"/>
  <c r="F5"/>
  <c r="F9"/>
  <c r="HX9" i="80" l="1"/>
</calcChain>
</file>

<file path=xl/sharedStrings.xml><?xml version="1.0" encoding="utf-8"?>
<sst xmlns="http://schemas.openxmlformats.org/spreadsheetml/2006/main" count="4919" uniqueCount="2415">
  <si>
    <t>=</t>
  </si>
  <si>
    <t>acid_gas</t>
  </si>
  <si>
    <t>treat_gas</t>
  </si>
  <si>
    <t>abs_btm</t>
  </si>
  <si>
    <t>recycle</t>
  </si>
  <si>
    <t>lean_oil</t>
  </si>
  <si>
    <t>abs_ovhd</t>
  </si>
  <si>
    <t>fat_oil</t>
  </si>
  <si>
    <t>sep_ovhd</t>
  </si>
  <si>
    <t>sour_gas</t>
  </si>
  <si>
    <t>fuel_gas</t>
  </si>
  <si>
    <t>condensate</t>
  </si>
  <si>
    <t>bypass</t>
  </si>
  <si>
    <t>Node</t>
  </si>
  <si>
    <t>J_4</t>
  </si>
  <si>
    <t>J_6</t>
  </si>
  <si>
    <t>T_5</t>
  </si>
  <si>
    <t>T_3</t>
  </si>
  <si>
    <t>D_7</t>
  </si>
  <si>
    <t>world</t>
  </si>
  <si>
    <t>Equality</t>
  </si>
  <si>
    <t>Feed Flow</t>
  </si>
  <si>
    <t>Product Flow</t>
  </si>
  <si>
    <t>Node test</t>
  </si>
  <si>
    <t>Variable</t>
  </si>
  <si>
    <t>Solution</t>
  </si>
  <si>
    <t>Tolerance</t>
  </si>
  <si>
    <t>Estimate</t>
  </si>
  <si>
    <t>Labeled Variable</t>
  </si>
  <si>
    <t>Constraints</t>
  </si>
  <si>
    <t>Measurement</t>
  </si>
  <si>
    <t>D_4</t>
  </si>
  <si>
    <t>Stream</t>
  </si>
  <si>
    <t>Stream 1</t>
  </si>
  <si>
    <t>Stream 2</t>
  </si>
  <si>
    <t>Stream 3</t>
  </si>
  <si>
    <t>Stream 4</t>
  </si>
  <si>
    <t>Stream 5</t>
  </si>
  <si>
    <t>Stream 6</t>
  </si>
  <si>
    <t>Stream 7</t>
  </si>
  <si>
    <t>Meas.</t>
  </si>
  <si>
    <t>Tol.</t>
  </si>
  <si>
    <t>Nitrogen</t>
  </si>
  <si>
    <t>Hydrogen</t>
  </si>
  <si>
    <t>Argon</t>
  </si>
  <si>
    <t>Ammonia</t>
  </si>
  <si>
    <t>Variables</t>
  </si>
  <si>
    <t>Recon.</t>
  </si>
  <si>
    <t>Node 1</t>
  </si>
  <si>
    <t>Node 2</t>
  </si>
  <si>
    <t>Node 3</t>
  </si>
  <si>
    <t>Node 4</t>
  </si>
  <si>
    <t>Reactor Eff.</t>
  </si>
  <si>
    <t>Splitter Eff.</t>
  </si>
  <si>
    <t>Splitter</t>
  </si>
  <si>
    <t>AAAAACvf/R4=</t>
  </si>
  <si>
    <t>AAAAACvf/R8=</t>
  </si>
  <si>
    <t>Var</t>
  </si>
  <si>
    <t/>
  </si>
  <si>
    <t>Problem Definition</t>
  </si>
  <si>
    <t>Test Dependent Expressions</t>
  </si>
  <si>
    <t>Ammonia Reconciliation Problem</t>
  </si>
  <si>
    <t xml:space="preserve">CrushedOreStream_F </t>
  </si>
  <si>
    <t>NNC_CrushedOreStream_F</t>
  </si>
  <si>
    <t xml:space="preserve">CrushedOreStream_U </t>
  </si>
  <si>
    <t>NNC_CrushedOreStream_U</t>
  </si>
  <si>
    <t xml:space="preserve">CrushedOreStream_S </t>
  </si>
  <si>
    <t>NNC_CrushedOreStream_S</t>
  </si>
  <si>
    <t xml:space="preserve">CrushedOreStream_Ag </t>
  </si>
  <si>
    <t>NNC_CrushedOreStream_Ag</t>
  </si>
  <si>
    <t xml:space="preserve">CrushedOreStream_Au </t>
  </si>
  <si>
    <t>NNC_CrushedOreStream_Au</t>
  </si>
  <si>
    <t xml:space="preserve">CrushedOreStream_Fe </t>
  </si>
  <si>
    <t>NNC_CrushedOreStream_Fe</t>
  </si>
  <si>
    <t xml:space="preserve">CrushedOreStream_Cu </t>
  </si>
  <si>
    <t>NNC_CrushedOreStream_Cu</t>
  </si>
  <si>
    <t>/* Measurement Constraint Equations - User-Defined */</t>
  </si>
  <si>
    <t>TailsThickening_open_F</t>
  </si>
  <si>
    <t>TailsThickening_open_F:$NORMAL(.0443543689, 0);</t>
  </si>
  <si>
    <t>TailsThickening_close_F</t>
  </si>
  <si>
    <t>TailsThickening_close_F:$NORMAL(0, 10000);</t>
  </si>
  <si>
    <t>TailsThickening_open_U</t>
  </si>
  <si>
    <t>TailsThickening_open_U:$NORMAL(.0058350421, 0);</t>
  </si>
  <si>
    <t>TailsThickening_close_U</t>
  </si>
  <si>
    <t>TailsThickening_close_U:$NORMAL(0, 10000);</t>
  </si>
  <si>
    <t>TailsThickening_open_S</t>
  </si>
  <si>
    <t>TailsThickening_open_S:$NORMAL(6.079655, 0);</t>
  </si>
  <si>
    <t>TailsThickening_close_S</t>
  </si>
  <si>
    <t>TailsThickening_close_S:$NORMAL(0, 100000000);</t>
  </si>
  <si>
    <t>TailsThickening_open_Ag</t>
  </si>
  <si>
    <t>TailsThickening_open_Ag:$NORMAL(.0002101291, 0);</t>
  </si>
  <si>
    <t>TailsThickening_close_Ag</t>
  </si>
  <si>
    <t>TailsThickening_close_Ag:$NORMAL(0, 10000);</t>
  </si>
  <si>
    <t>TailsThickening_open_Au</t>
  </si>
  <si>
    <t>TailsThickening_open_Au:$NORMAL(.000010257, 0);</t>
  </si>
  <si>
    <t>TailsThickening_close_Au</t>
  </si>
  <si>
    <t>TailsThickening_close_Au:$NORMAL(0, 10000);</t>
  </si>
  <si>
    <t>TailsThickening_open_Fe</t>
  </si>
  <si>
    <t>TailsThickening_open_Fe:$NORMAL(6.160552, 0);</t>
  </si>
  <si>
    <t>TailsThickening_close_Fe</t>
  </si>
  <si>
    <t>TailsThickening_close_Fe:$NORMAL(0, 100000000);</t>
  </si>
  <si>
    <t>TailsThickening_open_Cu</t>
  </si>
  <si>
    <t>TailsThickening_open_Cu:$NORMAL(.195048, 0);</t>
  </si>
  <si>
    <t>TailsThickening_close_Cu</t>
  </si>
  <si>
    <t>TailsThickening_close_Cu:$NORMAL(0, 100000000);</t>
  </si>
  <si>
    <t>TailsThickening_open_Mass</t>
  </si>
  <si>
    <t>TailsThickening_open_Mass:$NORMAL(2980.845823, 0);</t>
  </si>
  <si>
    <t>TailsThickening_close_Mass</t>
  </si>
  <si>
    <t>TailsThickening_close_Mass:$NORMAL(0, 100000000);</t>
  </si>
  <si>
    <t>TailsThickenerUnderflowStream_F</t>
  </si>
  <si>
    <t>TailsThickenerUnderflowStream_F:$NORMAL(0, 10000);</t>
  </si>
  <si>
    <t>TailsThickenerUnderflowStream_U</t>
  </si>
  <si>
    <t>TailsThickenerUnderflowStream_U:$NORMAL(0, 10000);</t>
  </si>
  <si>
    <t>TailsThickenerUnderflowStream_S</t>
  </si>
  <si>
    <t>TailsThickenerUnderflowStream_S:$NORMAL(0, 100000000);</t>
  </si>
  <si>
    <t>TailsThickenerUnderflowStream_Ag</t>
  </si>
  <si>
    <t>TailsThickenerUnderflowStream_Ag:$NORMAL(0, 10000);</t>
  </si>
  <si>
    <t>TailsThickenerUnderflowStream_Au</t>
  </si>
  <si>
    <t>TailsThickenerUnderflowStream_Au:$NORMAL(0, 10000);</t>
  </si>
  <si>
    <t>TailsThickenerUnderflowStream_Fe</t>
  </si>
  <si>
    <t>TailsThickenerUnderflowStream_Fe:$NORMAL(0, 100000000);</t>
  </si>
  <si>
    <t>TailsThickenerUnderflowStream_Cu</t>
  </si>
  <si>
    <t>TailsThickenerUnderflowStream_Cu:$NORMAL(0, 100000000);</t>
  </si>
  <si>
    <t>TailsThickenerUnderflowStream_Mass</t>
  </si>
  <si>
    <t>TailsThickenerUnderflowStream_Mass:$NORMAL(11566.65672, 1156.665672);</t>
  </si>
  <si>
    <t>SpillageReturnStream_F</t>
  </si>
  <si>
    <t>SpillageReturnStream_F:$NORMAL(0, 10000);</t>
  </si>
  <si>
    <t>SpillageReturnStream_U</t>
  </si>
  <si>
    <t>SpillageReturnStream_U:$NORMAL(0, 10000);</t>
  </si>
  <si>
    <t>SpillageReturnStream_S</t>
  </si>
  <si>
    <t>SpillageReturnStream_S:$NORMAL(0, 100000000);</t>
  </si>
  <si>
    <t>SpillageReturnStream_Ag</t>
  </si>
  <si>
    <t>SpillageReturnStream_Ag:$NORMAL(0, 10000);</t>
  </si>
  <si>
    <t>SpillageReturnStream_Au</t>
  </si>
  <si>
    <t>SpillageReturnStream_Au:$NORMAL(0, 10000);</t>
  </si>
  <si>
    <t>SpillageReturnStream_Fe</t>
  </si>
  <si>
    <t>SpillageReturnStream_Fe:$NORMAL(0, 100000000);</t>
  </si>
  <si>
    <t>SpillageReturnStream_Cu</t>
  </si>
  <si>
    <t>SpillageReturnStream_Cu:$NORMAL(0, 100000000);</t>
  </si>
  <si>
    <t>SpillageReturnStream_Mass</t>
  </si>
  <si>
    <t>SpillageReturnStream_Mass:$NORMAL(0, 0);</t>
  </si>
  <si>
    <t>SAGMillFeedStream_F</t>
  </si>
  <si>
    <t>SAGMillFeedStream_F:$NORMAL(0, 10000);</t>
  </si>
  <si>
    <t>SAGMillFeedStream_U</t>
  </si>
  <si>
    <t>SAGMillFeedStream_U:$NORMAL(0, 10000);</t>
  </si>
  <si>
    <t>SAGMillFeedStream_S</t>
  </si>
  <si>
    <t>SAGMillFeedStream_S:$NORMAL(0, 100000000);</t>
  </si>
  <si>
    <t>SAGMillFeedStream_Ag</t>
  </si>
  <si>
    <t>SAGMillFeedStream_Ag:$NORMAL(0, 10000);</t>
  </si>
  <si>
    <t>SAGMillFeedStream_Au</t>
  </si>
  <si>
    <t>SAGMillFeedStream_Au:$NORMAL(0, 10000);</t>
  </si>
  <si>
    <t>SAGMillFeedStream_Fe</t>
  </si>
  <si>
    <t>SAGMillFeedStream_Fe:$NORMAL(0, 100000000);</t>
  </si>
  <si>
    <t>SAGMillFeedStream_Cu</t>
  </si>
  <si>
    <t>SAGMillFeedStream_Cu:$NORMAL(0, 100000000);</t>
  </si>
  <si>
    <t>SAGMillFeedStream_Mass</t>
  </si>
  <si>
    <t>SAGMillFeedStream_Mass:$NORMAL(11865.27084, 237.3054168);</t>
  </si>
  <si>
    <t>PressureFilterUnderflowStream_F</t>
  </si>
  <si>
    <t>PressureFilterUnderflowStream_F:$NORMAL(0, 10000);</t>
  </si>
  <si>
    <t>PressureFilterUnderflowStream_U</t>
  </si>
  <si>
    <t>PressureFilterUnderflowStream_U:$NORMAL(0, 10000);</t>
  </si>
  <si>
    <t>PressureFilterUnderflowStream_S</t>
  </si>
  <si>
    <t>PressureFilterUnderflowStream_S:$NORMAL(0, 100000000);</t>
  </si>
  <si>
    <t>PressureFilterUnderflowStream_Ag</t>
  </si>
  <si>
    <t>PressureFilterUnderflowStream_Ag:$NORMAL(0, 10000);</t>
  </si>
  <si>
    <t>PressureFilterUnderflowStream_Au</t>
  </si>
  <si>
    <t>PressureFilterUnderflowStream_Au:$NORMAL(0, 10000);</t>
  </si>
  <si>
    <t>PressureFilterUnderflowStream_Fe</t>
  </si>
  <si>
    <t>PressureFilterUnderflowStream_Fe:$NORMAL(0, 100000000);</t>
  </si>
  <si>
    <t>PressureFilterUnderflowStream_Cu</t>
  </si>
  <si>
    <t>PressureFilterUnderflowStream_Cu:$NORMAL(0, 100000000);</t>
  </si>
  <si>
    <t>PressureFilterUnderflowStream_Mass</t>
  </si>
  <si>
    <t>PressureFilterUnderflowStream_Mass:$NORMAL(0, 1200000000);</t>
  </si>
  <si>
    <t>PressureFilterFeedStream_F</t>
  </si>
  <si>
    <t>PressureFilterFeedStream_F:$NORMAL(0, 10000);</t>
  </si>
  <si>
    <t>PressureFilterFeedStream_U</t>
  </si>
  <si>
    <t>PressureFilterFeedStream_U:$NORMAL(0, 10000);</t>
  </si>
  <si>
    <t>PressureFilterFeedStream_S</t>
  </si>
  <si>
    <t>PressureFilterFeedStream_S:$NORMAL(0, 100000000);</t>
  </si>
  <si>
    <t>PressureFilterFeedStream_Ag</t>
  </si>
  <si>
    <t>PressureFilterFeedStream_Ag:$NORMAL(0, 10000);</t>
  </si>
  <si>
    <t>PressureFilterFeedStream_Au</t>
  </si>
  <si>
    <t>PressureFilterFeedStream_Au:$NORMAL(0, 10000);</t>
  </si>
  <si>
    <t>PressureFilterFeedStream_Fe</t>
  </si>
  <si>
    <t>PressureFilterFeedStream_Fe:$NORMAL(0, 100000000);</t>
  </si>
  <si>
    <t>PressureFilterFeedStream_Cu</t>
  </si>
  <si>
    <t>PressureFilterFeedStream_Cu:$NORMAL(0, 100000000);</t>
  </si>
  <si>
    <t>PressureFilterFeedStream_Mass</t>
  </si>
  <si>
    <t>PressureFilterFeedStream_Mass:$NORMAL(418.9, 41.89);</t>
  </si>
  <si>
    <t>OSAStreamRougherFeedStream_F</t>
  </si>
  <si>
    <t>OSAStreamRougherFeedStream_F:$NORMAL(0, 10000);</t>
  </si>
  <si>
    <t>OSAStreamRougherFeedStream_U</t>
  </si>
  <si>
    <t>OSAStreamRougherFeedStream_U:$NORMAL(0, 10000);</t>
  </si>
  <si>
    <t>OSAStreamRougherFeedStream_S</t>
  </si>
  <si>
    <t>OSAStreamRougherFeedStream_S:$NORMAL(0, 100000000);</t>
  </si>
  <si>
    <t>OSAStreamRougherFeedStream_Ag</t>
  </si>
  <si>
    <t>OSAStreamRougherFeedStream_Ag:$NORMAL(0, 10000);</t>
  </si>
  <si>
    <t>OSAStreamRougherFeedStream_Au</t>
  </si>
  <si>
    <t>OSAStreamRougherFeedStream_Au:$NORMAL(0, 10000);</t>
  </si>
  <si>
    <t>OSAStreamRougherFeedStream_Fe</t>
  </si>
  <si>
    <t>OSAStreamRougherFeedStream_Fe:$NORMAL(6.38199, .638199);</t>
  </si>
  <si>
    <t>OSAStreamRougherFeedStream_Cu</t>
  </si>
  <si>
    <t>OSAStreamRougherFeedStream_Cu:$NORMAL(1.3679, .13679);</t>
  </si>
  <si>
    <t>OSAStreamRougherFeedStream_Mass</t>
  </si>
  <si>
    <t>OSAStreamRougherFeedStream_Mass:$NORMAL(0, 1200000000);</t>
  </si>
  <si>
    <t>OSAStreamFlotationTailsStream_F</t>
  </si>
  <si>
    <t>OSAStreamFlotationTailsStream_F:$NORMAL(0, 10000);</t>
  </si>
  <si>
    <t>OSAStreamFlotationTailsStream_U</t>
  </si>
  <si>
    <t>OSAStreamFlotationTailsStream_U:$NORMAL(0, 10000);</t>
  </si>
  <si>
    <t>OSAStreamFlotationTailsStream_S</t>
  </si>
  <si>
    <t>OSAStreamFlotationTailsStream_S:$NORMAL(0, 100000000);</t>
  </si>
  <si>
    <t>OSAStreamFlotationTailsStream_Ag</t>
  </si>
  <si>
    <t>OSAStreamFlotationTailsStream_Ag:$NORMAL(0, 10000);</t>
  </si>
  <si>
    <t>OSAStreamFlotationTailsStream_Au</t>
  </si>
  <si>
    <t>OSAStreamFlotationTailsStream_Au:$NORMAL(0, 10000);</t>
  </si>
  <si>
    <t>OSAStreamFlotationTailsStream_Fe</t>
  </si>
  <si>
    <t>OSAStreamFlotationTailsStream_Fe:$NORMAL(6.11496, .611496);</t>
  </si>
  <si>
    <t>OSAStreamFlotationTailsStream_Cu</t>
  </si>
  <si>
    <t>OSAStreamFlotationTailsStream_Cu:$NORMAL(.18337, .018337);</t>
  </si>
  <si>
    <t>OSAStreamFlotationTailsStream_Mass</t>
  </si>
  <si>
    <t>OSAStreamFlotationTailsStream_Mass:$NORMAL(0, 1200000000);</t>
  </si>
  <si>
    <t>OSAStreamConcThickenerFeedStream_F</t>
  </si>
  <si>
    <t>OSAStreamConcThickenerFeedStream_F:$NORMAL(0, 10000);</t>
  </si>
  <si>
    <t>OSAStreamConcThickenerFeedStream_U</t>
  </si>
  <si>
    <t>OSAStreamConcThickenerFeedStream_U:$NORMAL(0, 10000);</t>
  </si>
  <si>
    <t>OSAStreamConcThickenerFeedStream_S</t>
  </si>
  <si>
    <t>OSAStreamConcThickenerFeedStream_S:$NORMAL(0, 100000000);</t>
  </si>
  <si>
    <t>OSAStreamConcThickenerFeedStream_Ag</t>
  </si>
  <si>
    <t>OSAStreamConcThickenerFeedStream_Ag:$NORMAL(0, 10000);</t>
  </si>
  <si>
    <t>OSAStreamConcThickenerFeedStream_Au</t>
  </si>
  <si>
    <t>OSAStreamConcThickenerFeedStream_Au:$NORMAL(0, 10000);</t>
  </si>
  <si>
    <t>OSAStreamConcThickenerFeedStream_Fe</t>
  </si>
  <si>
    <t>OSAStreamConcThickenerFeedStream_Fe:$NORMAL(15.74202, 1.574202);</t>
  </si>
  <si>
    <t>OSAStreamConcThickenerFeedStream_Cu</t>
  </si>
  <si>
    <t>OSAStreamConcThickenerFeedStream_Cu:$NORMAL(47.08775, 4.708775);</t>
  </si>
  <si>
    <t>OSAStreamConcThickenerFeedStream_Mass</t>
  </si>
  <si>
    <t>OSAStreamConcThickenerFeedStream_Mass:$NORMAL(0, 1200000000);</t>
  </si>
  <si>
    <t>ConcThickenerUnderflowStream_F</t>
  </si>
  <si>
    <t>ConcThickenerUnderflowStream_F:$NORMAL(.068834343, .0068834343);</t>
  </si>
  <si>
    <t>ConcThickenerUnderflowStream_U</t>
  </si>
  <si>
    <t>ConcThickenerUnderflowStream_U:$NORMAL(.00566002, .000566002);</t>
  </si>
  <si>
    <t>ConcThickenerUnderflowStream_S</t>
  </si>
  <si>
    <t>ConcThickenerUnderflowStream_S:$NORMAL(17.97936, 1.797936);</t>
  </si>
  <si>
    <t>ConcThickenerUnderflowStream_Ag</t>
  </si>
  <si>
    <t>ConcThickenerUnderflowStream_Ag:$NORMAL(.014527066, .0014527066);</t>
  </si>
  <si>
    <t>ConcThickenerUnderflowStream_Au</t>
  </si>
  <si>
    <t>ConcThickenerUnderflowStream_Au:$NORMAL(.001353066, .0001353066);</t>
  </si>
  <si>
    <t>ConcThickenerUnderflowStream_Fe</t>
  </si>
  <si>
    <t>ConcThickenerUnderflowStream_Fe:$NORMAL(14.67245, 1.467245);</t>
  </si>
  <si>
    <t>ConcThickenerUnderflowStream_Cu</t>
  </si>
  <si>
    <t>ConcThickenerUnderflowStream_Cu:$NORMAL(47.90221, 4.790221);</t>
  </si>
  <si>
    <t>ConcThickenerUnderflowStream_Mass</t>
  </si>
  <si>
    <t>ConcThickenerUnderflowStream_Mass:$NORMAL(298.61424, 29.861424);</t>
  </si>
  <si>
    <t>ConcThickener_open_F</t>
  </si>
  <si>
    <t>ConcThickener_open_F:$NORMAL(.0664585441, 0);</t>
  </si>
  <si>
    <t>ConcThickener_close_F</t>
  </si>
  <si>
    <t>ConcThickener_close_F:$NORMAL(0, 10000);</t>
  </si>
  <si>
    <t>ConcThickener_open_U</t>
  </si>
  <si>
    <t>ConcThickener_open_U:$NORMAL(.0050968631, 0);</t>
  </si>
  <si>
    <t>ConcThickener_close_U</t>
  </si>
  <si>
    <t>ConcThickener_close_U:$NORMAL(0, 10000);</t>
  </si>
  <si>
    <t>ConcThickener_open_S</t>
  </si>
  <si>
    <t>ConcThickener_open_S:$NORMAL(17.756429, 0);</t>
  </si>
  <si>
    <t>ConcThickener_close_S</t>
  </si>
  <si>
    <t>ConcThickener_close_S:$NORMAL(0, 100000000);</t>
  </si>
  <si>
    <t>ConcThickener_open_Ag</t>
  </si>
  <si>
    <t>ConcThickener_open_Ag:$NORMAL(.0145066251, 0);</t>
  </si>
  <si>
    <t>ConcThickener_close_Ag</t>
  </si>
  <si>
    <t>ConcThickener_close_Ag:$NORMAL(0, 10000);</t>
  </si>
  <si>
    <t>ConcThickener_open_Au</t>
  </si>
  <si>
    <t>ConcThickener_open_Au:$NORMAL(.0013183448, 0);</t>
  </si>
  <si>
    <t>ConcThickener_close_Au</t>
  </si>
  <si>
    <t>ConcThickener_close_Au:$NORMAL(0, 10000);</t>
  </si>
  <si>
    <t>ConcThickener_open_Fe</t>
  </si>
  <si>
    <t>ConcThickener_open_Fe:$NORMAL(15.416853, 0);</t>
  </si>
  <si>
    <t>ConcThickener_close_Fe</t>
  </si>
  <si>
    <t>ConcThickener_close_Fe:$NORMAL(0, 100000000);</t>
  </si>
  <si>
    <t>ConcThickener_open_Cu</t>
  </si>
  <si>
    <t>ConcThickener_open_Cu:$NORMAL(46.817815, 0);</t>
  </si>
  <si>
    <t>ConcThickener_close_Cu</t>
  </si>
  <si>
    <t>ConcThickener_close_Cu:$NORMAL(0, 100000000);</t>
  </si>
  <si>
    <t>ConcThickener_open_Mass</t>
  </si>
  <si>
    <t>ConcThickener_open_Mass:$NORMAL(1002.307494, 0);</t>
  </si>
  <si>
    <t>ConcThickener_close_Mass</t>
  </si>
  <si>
    <t>ConcThickener_close_Mass:$NORMAL(0, 100000000);</t>
  </si>
  <si>
    <t>ConcStorageTank2UnderflowStream_F</t>
  </si>
  <si>
    <t>ConcStorageTank2UnderflowStream_F:$NORMAL(0, 10000);</t>
  </si>
  <si>
    <t>ConcStorageTank2UnderflowStream_U</t>
  </si>
  <si>
    <t>ConcStorageTank2UnderflowStream_U:$NORMAL(0, 10000);</t>
  </si>
  <si>
    <t>ConcStorageTank2UnderflowStream_S</t>
  </si>
  <si>
    <t>ConcStorageTank2UnderflowStream_S:$NORMAL(0, 100000000);</t>
  </si>
  <si>
    <t>ConcStorageTank2UnderflowStream_Ag</t>
  </si>
  <si>
    <t>ConcStorageTank2UnderflowStream_Ag:$NORMAL(0, 10000);</t>
  </si>
  <si>
    <t>ConcStorageTank2UnderflowStream_Au</t>
  </si>
  <si>
    <t>ConcStorageTank2UnderflowStream_Au:$NORMAL(0, 10000);</t>
  </si>
  <si>
    <t>ConcStorageTank2UnderflowStream_Fe</t>
  </si>
  <si>
    <t>ConcStorageTank2UnderflowStream_Fe:$NORMAL(0, 100000000);</t>
  </si>
  <si>
    <t>ConcStorageTank2UnderflowStream_Cu</t>
  </si>
  <si>
    <t>ConcStorageTank2UnderflowStream_Cu:$NORMAL(0, 100000000);</t>
  </si>
  <si>
    <t>ConcStorageTank2UnderflowStream_Mass</t>
  </si>
  <si>
    <t>ConcStorageTank2UnderflowStream_Mass:$NORMAL(0, 0);</t>
  </si>
  <si>
    <t>ConcStorageTank2FeedStream_F</t>
  </si>
  <si>
    <t>ConcStorageTank2FeedStream_F:$NORMAL(0, 10000);</t>
  </si>
  <si>
    <t>ConcStorageTank2FeedStream_U</t>
  </si>
  <si>
    <t>ConcStorageTank2FeedStream_U:$NORMAL(0, 10000);</t>
  </si>
  <si>
    <t>ConcStorageTank2FeedStream_S</t>
  </si>
  <si>
    <t>ConcStorageTank2FeedStream_S:$NORMAL(0, 100000000);</t>
  </si>
  <si>
    <t>ConcStorageTank2FeedStream_Ag</t>
  </si>
  <si>
    <t>ConcStorageTank2FeedStream_Ag:$NORMAL(0, 10000);</t>
  </si>
  <si>
    <t>ConcStorageTank2FeedStream_Au</t>
  </si>
  <si>
    <t>ConcStorageTank2FeedStream_Au:$NORMAL(0, 10000);</t>
  </si>
  <si>
    <t>ConcStorageTank2FeedStream_Fe</t>
  </si>
  <si>
    <t>ConcStorageTank2FeedStream_Fe:$NORMAL(0, 100000000);</t>
  </si>
  <si>
    <t>ConcStorageTank2FeedStream_Cu</t>
  </si>
  <si>
    <t>ConcStorageTank2FeedStream_Cu:$NORMAL(0, 100000000);</t>
  </si>
  <si>
    <t>ConcStorageTank2FeedStream_Mass</t>
  </si>
  <si>
    <t>ConcStorageTank2FeedStream_Mass:$NORMAL(298.61424, 29.861424);</t>
  </si>
  <si>
    <t>ConcStorageTank2_open_F</t>
  </si>
  <si>
    <t>ConcStorageTank2_open_F:$NORMAL(.0678291362, 0);</t>
  </si>
  <si>
    <t>ConcStorageTank2_close_F</t>
  </si>
  <si>
    <t>ConcStorageTank2_close_F:$NORMAL(.068559126, .0068559126);</t>
  </si>
  <si>
    <t>ConcStorageTank2_open_U</t>
  </si>
  <si>
    <t>ConcStorageTank2_open_U:$NORMAL(.0054770572, 0);</t>
  </si>
  <si>
    <t>ConcStorageTank2_close_U</t>
  </si>
  <si>
    <t>ConcStorageTank2_close_U:$NORMAL(.005595907, .0005595907);</t>
  </si>
  <si>
    <t>ConcStorageTank2_open_S</t>
  </si>
  <si>
    <t>ConcStorageTank2_open_S:$NORMAL(17.46523, 0);</t>
  </si>
  <si>
    <t>ConcStorageTank2_close_S</t>
  </si>
  <si>
    <t>ConcStorageTank2_close_S:$NORMAL(17.80425, 1.780425);</t>
  </si>
  <si>
    <t>ConcStorageTank2_open_Ag</t>
  </si>
  <si>
    <t>ConcStorageTank2_open_Ag:$NORMAL(.0145145034, 0);</t>
  </si>
  <si>
    <t>ConcStorageTank2_close_Ag</t>
  </si>
  <si>
    <t>ConcStorageTank2_close_Ag:$NORMAL(.014544872, .0014544872);</t>
  </si>
  <si>
    <t>ConcStorageTank2_open_Au</t>
  </si>
  <si>
    <t>ConcStorageTank2_open_Au:$NORMAL(.0012884338, 0);</t>
  </si>
  <si>
    <t>ConcStorageTank2_close_Au</t>
  </si>
  <si>
    <t>ConcStorageTank2_close_Au:$NORMAL(.001314217, .0001314217);</t>
  </si>
  <si>
    <t>ConcStorageTank2_open_Fe</t>
  </si>
  <si>
    <t>ConcStorageTank2_open_Fe:$NORMAL(14.991615, 0);</t>
  </si>
  <si>
    <t>ConcStorageTank2_close_Fe</t>
  </si>
  <si>
    <t>ConcStorageTank2_close_Fe:$NORMAL(14.81783, 1.481783);</t>
  </si>
  <si>
    <t>ConcStorageTank2_open_Cu</t>
  </si>
  <si>
    <t>ConcStorageTank2_open_Cu:$NORMAL(47.559143, 0);</t>
  </si>
  <si>
    <t>ConcStorageTank2_close_Cu</t>
  </si>
  <si>
    <t>ConcStorageTank2_close_Cu:$NORMAL(47.92096, 4.792096);</t>
  </si>
  <si>
    <t>ConcStorageTank2_open_Mass</t>
  </si>
  <si>
    <t>ConcStorageTank2_open_Mass:$NORMAL(200.863942, 0);</t>
  </si>
  <si>
    <t>ConcStorageTank2_close_Mass</t>
  </si>
  <si>
    <t>ConcStorageTank2_close_Mass:$NORMAL(501.40381, 50.140381);</t>
  </si>
  <si>
    <t>ConcStorageTank1UnderflowStream_F</t>
  </si>
  <si>
    <t>ConcStorageTank1UnderflowStream_F:$NORMAL(0, 10000);</t>
  </si>
  <si>
    <t>ConcStorageTank1UnderflowStream_U</t>
  </si>
  <si>
    <t>ConcStorageTank1UnderflowStream_U:$NORMAL(0, 10000);</t>
  </si>
  <si>
    <t>ConcStorageTank1UnderflowStream_S</t>
  </si>
  <si>
    <t>ConcStorageTank1UnderflowStream_S:$NORMAL(0, 100000000);</t>
  </si>
  <si>
    <t>ConcStorageTank1UnderflowStream_Ag</t>
  </si>
  <si>
    <t>ConcStorageTank1UnderflowStream_Ag:$NORMAL(0, 10000);</t>
  </si>
  <si>
    <t>ConcStorageTank1UnderflowStream_Au</t>
  </si>
  <si>
    <t>ConcStorageTank1UnderflowStream_Au:$NORMAL(0, 10000);</t>
  </si>
  <si>
    <t>ConcStorageTank1UnderflowStream_Fe</t>
  </si>
  <si>
    <t>ConcStorageTank1UnderflowStream_Fe:$NORMAL(0, 100000000);</t>
  </si>
  <si>
    <t>ConcStorageTank1UnderflowStream_Cu</t>
  </si>
  <si>
    <t>ConcStorageTank1UnderflowStream_Cu:$NORMAL(0, 100000000);</t>
  </si>
  <si>
    <t>ConcStorageTank1UnderflowStream_Mass</t>
  </si>
  <si>
    <t>ConcStorageTank1UnderflowStream_Mass:$NORMAL(418.8996, 41.88996);</t>
  </si>
  <si>
    <t>ConcStorageTank1FeedStream_F</t>
  </si>
  <si>
    <t>ConcStorageTank1FeedStream_F:$NORMAL(0, 10000);</t>
  </si>
  <si>
    <t>ConcStorageTank1FeedStream_U</t>
  </si>
  <si>
    <t>ConcStorageTank1FeedStream_U:$NORMAL(0, 10000);</t>
  </si>
  <si>
    <t>ConcStorageTank1FeedStream_S</t>
  </si>
  <si>
    <t>ConcStorageTank1FeedStream_S:$NORMAL(0, 100000000);</t>
  </si>
  <si>
    <t>ConcStorageTank1FeedStream_Ag</t>
  </si>
  <si>
    <t>ConcStorageTank1FeedStream_Ag:$NORMAL(0, 10000);</t>
  </si>
  <si>
    <t>ConcStorageTank1FeedStream_Au</t>
  </si>
  <si>
    <t>ConcStorageTank1FeedStream_Au:$NORMAL(0, 10000);</t>
  </si>
  <si>
    <t>ConcStorageTank1FeedStream_Fe</t>
  </si>
  <si>
    <t>ConcStorageTank1FeedStream_Fe:$NORMAL(0, 100000000);</t>
  </si>
  <si>
    <t>ConcStorageTank1FeedStream_Cu</t>
  </si>
  <si>
    <t>ConcStorageTank1FeedStream_Cu:$NORMAL(0, 100000000);</t>
  </si>
  <si>
    <t>ConcStorageTank1FeedStream_Mass</t>
  </si>
  <si>
    <t>ConcStorageTank1FeedStream_Mass:$NORMAL(0, 0);</t>
  </si>
  <si>
    <t>ConcStorageTank1_open_F</t>
  </si>
  <si>
    <t>ConcStorageTank1_open_F:$NORMAL(.0670017734, 0);</t>
  </si>
  <si>
    <t>ConcStorageTank1_close_F</t>
  </si>
  <si>
    <t>ConcStorageTank1_close_F:$NORMAL(.068473831, .0068473831);</t>
  </si>
  <si>
    <t>ConcStorageTank1_open_U</t>
  </si>
  <si>
    <t>ConcStorageTank1_open_U:$NORMAL(.0051087674, 0);</t>
  </si>
  <si>
    <t>ConcStorageTank1_close_U</t>
  </si>
  <si>
    <t>ConcStorageTank1_close_U:$NORMAL(.005216988, .0005216988);</t>
  </si>
  <si>
    <t>ConcStorageTank1_open_S</t>
  </si>
  <si>
    <t>ConcStorageTank1_open_S:$NORMAL(17.750843, 0);</t>
  </si>
  <si>
    <t>ConcStorageTank1_close_S</t>
  </si>
  <si>
    <t>ConcStorageTank1_close_S:$NORMAL(18.14812, 1.814812);</t>
  </si>
  <si>
    <t>ConcStorageTank1_open_Ag</t>
  </si>
  <si>
    <t>ConcStorageTank1_open_Ag:$NORMAL(.014585254, 0);</t>
  </si>
  <si>
    <t>ConcStorageTank1_close_Ag</t>
  </si>
  <si>
    <t>ConcStorageTank1_close_Ag:$NORMAL(.014855127, .0014855127);</t>
  </si>
  <si>
    <t>ConcStorageTank1_open_Au</t>
  </si>
  <si>
    <t>ConcStorageTank1_open_Au:$NORMAL(.0013139073, 0);</t>
  </si>
  <si>
    <t>ConcStorageTank1_close_Au</t>
  </si>
  <si>
    <t>ConcStorageTank1_close_Au:$NORMAL(.001335109, .0001335109);</t>
  </si>
  <si>
    <t>ConcStorageTank1_open_Fe</t>
  </si>
  <si>
    <t>ConcStorageTank1_open_Fe:$NORMAL(15.514926, 0);</t>
  </si>
  <si>
    <t>ConcStorageTank1_close_Fe</t>
  </si>
  <si>
    <t>ConcStorageTank1_close_Fe:$NORMAL(15.70195, 1.570195);</t>
  </si>
  <si>
    <t>ConcStorageTank1_open_Cu</t>
  </si>
  <si>
    <t>ConcStorageTank1_open_Cu:$NORMAL(46.803008, 0);</t>
  </si>
  <si>
    <t>ConcStorageTank1_close_Cu</t>
  </si>
  <si>
    <t>ConcStorageTank1_close_Cu:$NORMAL(48.61461, 4.861461);</t>
  </si>
  <si>
    <t>ConcStorageTank1_open_Mass</t>
  </si>
  <si>
    <t>ConcStorageTank1_open_Mass:$NORMAL(931.078978, 0);</t>
  </si>
  <si>
    <t>ConcStorageTank1_close_Mass</t>
  </si>
  <si>
    <t>ConcStorageTank1_close_Mass:$NORMAL(491.80713, 49.180713);</t>
  </si>
  <si>
    <t>CCLASStreamRougherFeedStream_F</t>
  </si>
  <si>
    <t>CCLASStreamRougherFeedStream_F:$NORMAL(.045901387, .0045901387);</t>
  </si>
  <si>
    <t>CCLASStreamRougherFeedStream_U</t>
  </si>
  <si>
    <t>CCLASStreamRougherFeedStream_U:$NORMAL(.005938209, .0005938209);</t>
  </si>
  <si>
    <t>CCLASStreamRougherFeedStream_S</t>
  </si>
  <si>
    <t>CCLASStreamRougherFeedStream_S:$NORMAL(6.29934, .629934);</t>
  </si>
  <si>
    <t>CCLASStreamRougherFeedStream_Ag</t>
  </si>
  <si>
    <t>CCLASStreamRougherFeedStream_Ag:$NORMAL(.000579352, .0000579352);</t>
  </si>
  <si>
    <t>CCLASStreamRougherFeedStream_Au</t>
  </si>
  <si>
    <t>CCLASStreamRougherFeedStream_Au:$NORMAL(.000043624, .0000043624);</t>
  </si>
  <si>
    <t>CCLASStreamRougherFeedStream_Fe</t>
  </si>
  <si>
    <t>CCLASStreamRougherFeedStream_Fe:$NORMAL(6.49355, .649355);</t>
  </si>
  <si>
    <t>CCLASStreamRougherFeedStream_Cu</t>
  </si>
  <si>
    <t>CCLASStreamRougherFeedStream_Cu:$NORMAL(1.38745, .138745);</t>
  </si>
  <si>
    <t>CCLASStreamRougherFeedStream_Mass</t>
  </si>
  <si>
    <t>CCLASStreamRougherFeedStream_Mass:$NORMAL(0, 1200000000);</t>
  </si>
  <si>
    <t>CCLASStreamFlotationTailsStream_F</t>
  </si>
  <si>
    <t>CCLASStreamFlotationTailsStream_F:$NORMAL(.04530937, .004530937);</t>
  </si>
  <si>
    <t>CCLASStreamFlotationTailsStream_U</t>
  </si>
  <si>
    <t>CCLASStreamFlotationTailsStream_U:$NORMAL(.00594541, .000594541);</t>
  </si>
  <si>
    <t>CCLASStreamFlotationTailsStream_S</t>
  </si>
  <si>
    <t>CCLASStreamFlotationTailsStream_S:$NORMAL(5.99782, .599782);</t>
  </si>
  <si>
    <t>CCLASStreamFlotationTailsStream_Ag</t>
  </si>
  <si>
    <t>CCLASStreamFlotationTailsStream_Ag:$NORMAL(.000219283, .0000219283);</t>
  </si>
  <si>
    <t>CCLASStreamFlotationTailsStream_Au</t>
  </si>
  <si>
    <t>CCLASStreamFlotationTailsStream_Au:$NORMAL(.000010442, .0000010442);</t>
  </si>
  <si>
    <t>CCLASStreamFlotationTailsStream_Fe</t>
  </si>
  <si>
    <t>CCLASStreamFlotationTailsStream_Fe:$NORMAL(6.28239, .628239);</t>
  </si>
  <si>
    <t>CCLASStreamFlotationTailsStream_Cu</t>
  </si>
  <si>
    <t>CCLASStreamFlotationTailsStream_Cu:$NORMAL(.18662, .018662);</t>
  </si>
  <si>
    <t>CCLASStreamFlotationTailsStream_Mass</t>
  </si>
  <si>
    <t>CCLASStreamFlotationTailsStream_Mass:$NORMAL(0, 1200000000);</t>
  </si>
  <si>
    <t>CCLASStreamConcThickenerFeedStream_F</t>
  </si>
  <si>
    <t>CCLASStreamConcThickenerFeedStream_F:$NORMAL(0, 10000);</t>
  </si>
  <si>
    <t>CCLASStreamConcThickenerFeedStream_U</t>
  </si>
  <si>
    <t>CCLASStreamConcThickenerFeedStream_U:$NORMAL(0, 10000);</t>
  </si>
  <si>
    <t>CCLASStreamConcThickenerFeedStream_S</t>
  </si>
  <si>
    <t>CCLASStreamConcThickenerFeedStream_S:$NORMAL(0, 100000000);</t>
  </si>
  <si>
    <t>CCLASStreamConcThickenerFeedStream_Ag</t>
  </si>
  <si>
    <t>CCLASStreamConcThickenerFeedStream_Ag:$NORMAL(0, 10000);</t>
  </si>
  <si>
    <t>CCLASStreamConcThickenerFeedStream_Au</t>
  </si>
  <si>
    <t>CCLASStreamConcThickenerFeedStream_Au:$NORMAL(0, 10000);</t>
  </si>
  <si>
    <t>CCLASStreamConcThickenerFeedStream_Fe</t>
  </si>
  <si>
    <t>CCLASStreamConcThickenerFeedStream_Fe:$NORMAL(0, 100000000);</t>
  </si>
  <si>
    <t>CCLASStreamConcThickenerFeedStream_Cu</t>
  </si>
  <si>
    <t>CCLASStreamConcThickenerFeedStream_Cu:$NORMAL(0, 100000000);</t>
  </si>
  <si>
    <t>CCLASStreamConcThickenerFeedStream_Mass</t>
  </si>
  <si>
    <t>CCLASStreamConcThickenerFeedStream_Mass:$NORMAL(0, 1200000000);</t>
  </si>
  <si>
    <t>VariableName</t>
  </si>
  <si>
    <t>/* Measurement Constraint Equations */</t>
  </si>
  <si>
    <t>&gt;=</t>
  </si>
  <si>
    <t>NNC_TailsThickenerUnderflowStream_F</t>
  </si>
  <si>
    <t>NNC_TailsThickenerUnderflowStream_F:(TailsThickenerUnderflowStream_F &gt;= 0.0);</t>
  </si>
  <si>
    <t>NNC_TailsThickenerUnderflowStream_U</t>
  </si>
  <si>
    <t>NNC_TailsThickenerUnderflowStream_U:(TailsThickenerUnderflowStream_U &gt;= 0.0);</t>
  </si>
  <si>
    <t>NNC_TailsThickenerUnderflowStream_S</t>
  </si>
  <si>
    <t>NNC_TailsThickenerUnderflowStream_S:(TailsThickenerUnderflowStream_S &gt;= 0.0);</t>
  </si>
  <si>
    <t>NNC_TailsThickenerUnderflowStream_Ag</t>
  </si>
  <si>
    <t>NNC_TailsThickenerUnderflowStream_Ag:(TailsThickenerUnderflowStream_Ag &gt;= 0.0);</t>
  </si>
  <si>
    <t>NNC_TailsThickenerUnderflowStream_Au</t>
  </si>
  <si>
    <t>NNC_TailsThickenerUnderflowStream_Au:(TailsThickenerUnderflowStream_Au &gt;= 0.0);</t>
  </si>
  <si>
    <t>NNC_TailsThickenerUnderflowStream_Fe</t>
  </si>
  <si>
    <t>NNC_TailsThickenerUnderflowStream_Fe:(TailsThickenerUnderflowStream_Fe &gt;= 0.0);</t>
  </si>
  <si>
    <t>NNC_TailsThickenerUnderflowStream_Cu</t>
  </si>
  <si>
    <t>NNC_TailsThickenerUnderflowStream_Cu:(TailsThickenerUnderflowStream_Cu &gt;= 0.0);</t>
  </si>
  <si>
    <t>NNC_SpillageReturnStream_F</t>
  </si>
  <si>
    <t>NNC_SpillageReturnStream_F:(SpillageReturnStream_F &gt;= 0.0);</t>
  </si>
  <si>
    <t>NNC_SpillageReturnStream_U</t>
  </si>
  <si>
    <t>NNC_SpillageReturnStream_U:(SpillageReturnStream_U &gt;= 0.0);</t>
  </si>
  <si>
    <t>NNC_SpillageReturnStream_S</t>
  </si>
  <si>
    <t>NNC_SpillageReturnStream_S:(SpillageReturnStream_S &gt;= 0.0);</t>
  </si>
  <si>
    <t>NNC_SpillageReturnStream_Ag</t>
  </si>
  <si>
    <t>NNC_SpillageReturnStream_Ag:(SpillageReturnStream_Ag &gt;= 0.0);</t>
  </si>
  <si>
    <t>NNC_SpillageReturnStream_Au</t>
  </si>
  <si>
    <t>NNC_SpillageReturnStream_Au:(SpillageReturnStream_Au &gt;= 0.0);</t>
  </si>
  <si>
    <t>NNC_SpillageReturnStream_Fe</t>
  </si>
  <si>
    <t>NNC_SpillageReturnStream_Fe:(SpillageReturnStream_Fe &gt;= 0.0);</t>
  </si>
  <si>
    <t>NNC_SpillageReturnStream_Cu</t>
  </si>
  <si>
    <t>NNC_SpillageReturnStream_Cu:(SpillageReturnStream_Cu &gt;= 0.0);</t>
  </si>
  <si>
    <t>NNC_SAGMillFeedStream_F</t>
  </si>
  <si>
    <t>NNC_SAGMillFeedStream_F:(SAGMillFeedStream_F &gt;= 0.0);</t>
  </si>
  <si>
    <t>NNC_SAGMillFeedStream_U</t>
  </si>
  <si>
    <t>NNC_SAGMillFeedStream_U:(SAGMillFeedStream_U &gt;= 0.0);</t>
  </si>
  <si>
    <t>NNC_SAGMillFeedStream_S</t>
  </si>
  <si>
    <t>NNC_SAGMillFeedStream_S:(SAGMillFeedStream_S &gt;= 0.0);</t>
  </si>
  <si>
    <t>NNC_SAGMillFeedStream_Ag</t>
  </si>
  <si>
    <t>NNC_SAGMillFeedStream_Ag:(SAGMillFeedStream_Ag &gt;= 0.0);</t>
  </si>
  <si>
    <t>NNC_SAGMillFeedStream_Au</t>
  </si>
  <si>
    <t>NNC_SAGMillFeedStream_Au:(SAGMillFeedStream_Au &gt;= 0.0);</t>
  </si>
  <si>
    <t>NNC_SAGMillFeedStream_Fe</t>
  </si>
  <si>
    <t>NNC_SAGMillFeedStream_Fe:(SAGMillFeedStream_Fe &gt;= 0.0);</t>
  </si>
  <si>
    <t>NNC_SAGMillFeedStream_Cu</t>
  </si>
  <si>
    <t>NNC_SAGMillFeedStream_Cu:(SAGMillFeedStream_Cu &gt;= 0.0);</t>
  </si>
  <si>
    <t>NNC_PressureFilterUnderflowStream_F</t>
  </si>
  <si>
    <t>NNC_PressureFilterUnderflowStream_F:(PressureFilterUnderflowStream_F &gt;= 0.0);</t>
  </si>
  <si>
    <t>NNC_PressureFilterUnderflowStream_U</t>
  </si>
  <si>
    <t>NNC_PressureFilterUnderflowStream_U:(PressureFilterUnderflowStream_U &gt;= 0.0);</t>
  </si>
  <si>
    <t>NNC_PressureFilterUnderflowStream_S</t>
  </si>
  <si>
    <t>NNC_PressureFilterUnderflowStream_S:(PressureFilterUnderflowStream_S &gt;= 0.0);</t>
  </si>
  <si>
    <t>NNC_PressureFilterUnderflowStream_Ag</t>
  </si>
  <si>
    <t>NNC_PressureFilterUnderflowStream_Ag:(PressureFilterUnderflowStream_Ag &gt;= 0.0);</t>
  </si>
  <si>
    <t>NNC_PressureFilterUnderflowStream_Au</t>
  </si>
  <si>
    <t>NNC_PressureFilterUnderflowStream_Au:(PressureFilterUnderflowStream_Au &gt;= 0.0);</t>
  </si>
  <si>
    <t>NNC_PressureFilterUnderflowStream_Fe</t>
  </si>
  <si>
    <t>NNC_PressureFilterUnderflowStream_Fe:(PressureFilterUnderflowStream_Fe &gt;= 0.0);</t>
  </si>
  <si>
    <t>NNC_PressureFilterUnderflowStream_Cu</t>
  </si>
  <si>
    <t>NNC_PressureFilterUnderflowStream_Cu:(PressureFilterUnderflowStream_Cu &gt;= 0.0);</t>
  </si>
  <si>
    <t>NNC_PressureFilterFeedStream_F</t>
  </si>
  <si>
    <t>NNC_PressureFilterFeedStream_F:(PressureFilterFeedStream_F &gt;= 0.0);</t>
  </si>
  <si>
    <t>NNC_PressureFilterFeedStream_U</t>
  </si>
  <si>
    <t>NNC_PressureFilterFeedStream_U:(PressureFilterFeedStream_U &gt;= 0.0);</t>
  </si>
  <si>
    <t>NNC_PressureFilterFeedStream_S</t>
  </si>
  <si>
    <t>NNC_PressureFilterFeedStream_S:(PressureFilterFeedStream_S &gt;= 0.0);</t>
  </si>
  <si>
    <t>NNC_PressureFilterFeedStream_Ag</t>
  </si>
  <si>
    <t>NNC_PressureFilterFeedStream_Ag:(PressureFilterFeedStream_Ag &gt;= 0.0);</t>
  </si>
  <si>
    <t>NNC_PressureFilterFeedStream_Au</t>
  </si>
  <si>
    <t>NNC_PressureFilterFeedStream_Au:(PressureFilterFeedStream_Au &gt;= 0.0);</t>
  </si>
  <si>
    <t>NNC_PressureFilterFeedStream_Fe</t>
  </si>
  <si>
    <t>NNC_PressureFilterFeedStream_Fe:(PressureFilterFeedStream_Fe &gt;= 0.0);</t>
  </si>
  <si>
    <t>NNC_PressureFilterFeedStream_Cu</t>
  </si>
  <si>
    <t>NNC_PressureFilterFeedStream_Cu:(PressureFilterFeedStream_Cu &gt;= 0.0);</t>
  </si>
  <si>
    <t>NNC_OSAStreamRougherFeedStream_F</t>
  </si>
  <si>
    <t>NNC_OSAStreamRougherFeedStream_F:(OSAStreamRougherFeedStream_F &gt;= 0.0);</t>
  </si>
  <si>
    <t>NNC_OSAStreamRougherFeedStream_U</t>
  </si>
  <si>
    <t>NNC_OSAStreamRougherFeedStream_U:(OSAStreamRougherFeedStream_U &gt;= 0.0);</t>
  </si>
  <si>
    <t>NNC_OSAStreamRougherFeedStream_S</t>
  </si>
  <si>
    <t>NNC_OSAStreamRougherFeedStream_S:(OSAStreamRougherFeedStream_S &gt;= 0.0);</t>
  </si>
  <si>
    <t>NNC_OSAStreamRougherFeedStream_Ag</t>
  </si>
  <si>
    <t>NNC_OSAStreamRougherFeedStream_Ag:(OSAStreamRougherFeedStream_Ag &gt;= 0.0);</t>
  </si>
  <si>
    <t>NNC_OSAStreamRougherFeedStream_Au</t>
  </si>
  <si>
    <t>NNC_OSAStreamRougherFeedStream_Au:(OSAStreamRougherFeedStream_Au &gt;= 0.0);</t>
  </si>
  <si>
    <t>NNC_OSAStreamRougherFeedStream_Fe</t>
  </si>
  <si>
    <t>NNC_OSAStreamRougherFeedStream_Fe:(OSAStreamRougherFeedStream_Fe &gt;= 0.0);</t>
  </si>
  <si>
    <t>NNC_OSAStreamRougherFeedStream_Cu</t>
  </si>
  <si>
    <t>NNC_OSAStreamRougherFeedStream_Cu:(OSAStreamRougherFeedStream_Cu &gt;= 0.0);</t>
  </si>
  <si>
    <t>NNC_OSAStreamFlotationTailsStream_F</t>
  </si>
  <si>
    <t>NNC_OSAStreamFlotationTailsStream_F:(OSAStreamFlotationTailsStream_F &gt;= 0.0);</t>
  </si>
  <si>
    <t>NNC_OSAStreamFlotationTailsStream_U</t>
  </si>
  <si>
    <t>NNC_OSAStreamFlotationTailsStream_U:(OSAStreamFlotationTailsStream_U &gt;= 0.0);</t>
  </si>
  <si>
    <t>NNC_OSAStreamFlotationTailsStream_S</t>
  </si>
  <si>
    <t>NNC_OSAStreamFlotationTailsStream_S:(OSAStreamFlotationTailsStream_S &gt;= 0.0);</t>
  </si>
  <si>
    <t>NNC_OSAStreamFlotationTailsStream_Ag</t>
  </si>
  <si>
    <t>NNC_OSAStreamFlotationTailsStream_Ag:(OSAStreamFlotationTailsStream_Ag &gt;= 0.0);</t>
  </si>
  <si>
    <t>NNC_OSAStreamFlotationTailsStream_Au</t>
  </si>
  <si>
    <t>NNC_OSAStreamFlotationTailsStream_Au:(OSAStreamFlotationTailsStream_Au &gt;= 0.0);</t>
  </si>
  <si>
    <t>NNC_OSAStreamFlotationTailsStream_Fe</t>
  </si>
  <si>
    <t>NNC_OSAStreamFlotationTailsStream_Fe:(OSAStreamFlotationTailsStream_Fe &gt;= 0.0);</t>
  </si>
  <si>
    <t>NNC_OSAStreamFlotationTailsStream_Cu</t>
  </si>
  <si>
    <t>NNC_OSAStreamFlotationTailsStream_Cu:(OSAStreamFlotationTailsStream_Cu &gt;= 0.0);</t>
  </si>
  <si>
    <t>NNC_OSAStreamConcThickenerFeedStream_F</t>
  </si>
  <si>
    <t>NNC_OSAStreamConcThickenerFeedStream_F:(OSAStreamConcThickenerFeedStream_F &gt;= 0.0);</t>
  </si>
  <si>
    <t>NNC_OSAStreamConcThickenerFeedStream_U</t>
  </si>
  <si>
    <t>NNC_OSAStreamConcThickenerFeedStream_U:(OSAStreamConcThickenerFeedStream_U &gt;= 0.0);</t>
  </si>
  <si>
    <t>NNC_OSAStreamConcThickenerFeedStream_S</t>
  </si>
  <si>
    <t>NNC_OSAStreamConcThickenerFeedStream_S:(OSAStreamConcThickenerFeedStream_S &gt;= 0.0);</t>
  </si>
  <si>
    <t>NNC_OSAStreamConcThickenerFeedStream_Ag</t>
  </si>
  <si>
    <t>NNC_OSAStreamConcThickenerFeedStream_Ag:(OSAStreamConcThickenerFeedStream_Ag &gt;= 0.0);</t>
  </si>
  <si>
    <t>NNC_OSAStreamConcThickenerFeedStream_Au</t>
  </si>
  <si>
    <t>NNC_OSAStreamConcThickenerFeedStream_Au:(OSAStreamConcThickenerFeedStream_Au &gt;= 0.0);</t>
  </si>
  <si>
    <t>NNC_OSAStreamConcThickenerFeedStream_Fe</t>
  </si>
  <si>
    <t>NNC_OSAStreamConcThickenerFeedStream_Fe:(OSAStreamConcThickenerFeedStream_Fe &gt;= 0.0);</t>
  </si>
  <si>
    <t>NNC_OSAStreamConcThickenerFeedStream_Cu</t>
  </si>
  <si>
    <t>NNC_OSAStreamConcThickenerFeedStream_Cu:(OSAStreamConcThickenerFeedStream_Cu &gt;= 0.0);</t>
  </si>
  <si>
    <t>NNC_ConcThickenerUnderflowStream_F</t>
  </si>
  <si>
    <t>NNC_ConcThickenerUnderflowStream_F:(ConcThickenerUnderflowStream_F &gt;= 0.0);</t>
  </si>
  <si>
    <t>NNC_ConcThickenerUnderflowStream_U</t>
  </si>
  <si>
    <t>NNC_ConcThickenerUnderflowStream_U:(ConcThickenerUnderflowStream_U &gt;= 0.0);</t>
  </si>
  <si>
    <t>NNC_ConcThickenerUnderflowStream_S</t>
  </si>
  <si>
    <t>NNC_ConcThickenerUnderflowStream_S:(ConcThickenerUnderflowStream_S &gt;= 0.0);</t>
  </si>
  <si>
    <t>NNC_ConcThickenerUnderflowStream_Ag</t>
  </si>
  <si>
    <t>NNC_ConcThickenerUnderflowStream_Ag:(ConcThickenerUnderflowStream_Ag &gt;= 0.0);</t>
  </si>
  <si>
    <t>NNC_ConcThickenerUnderflowStream_Au</t>
  </si>
  <si>
    <t>NNC_ConcThickenerUnderflowStream_Au:(ConcThickenerUnderflowStream_Au &gt;= 0.0);</t>
  </si>
  <si>
    <t>NNC_ConcThickenerUnderflowStream_Fe</t>
  </si>
  <si>
    <t>NNC_ConcThickenerUnderflowStream_Fe:(ConcThickenerUnderflowStream_Fe &gt;= 0.0);</t>
  </si>
  <si>
    <t>NNC_ConcThickenerUnderflowStream_Cu</t>
  </si>
  <si>
    <t>NNC_ConcThickenerUnderflowStream_Cu:(ConcThickenerUnderflowStream_Cu &gt;= 0.0);</t>
  </si>
  <si>
    <t>NNC_ConcStorageTank2UnderflowStream_F</t>
  </si>
  <si>
    <t>NNC_ConcStorageTank2UnderflowStream_F:(ConcStorageTank2UnderflowStream_F &gt;= 0.0);</t>
  </si>
  <si>
    <t>NNC_ConcStorageTank2UnderflowStream_U</t>
  </si>
  <si>
    <t>NNC_ConcStorageTank2UnderflowStream_U:(ConcStorageTank2UnderflowStream_U &gt;= 0.0);</t>
  </si>
  <si>
    <t>NNC_ConcStorageTank2UnderflowStream_S</t>
  </si>
  <si>
    <t>NNC_ConcStorageTank2UnderflowStream_S:(ConcStorageTank2UnderflowStream_S &gt;= 0.0);</t>
  </si>
  <si>
    <t>NNC_ConcStorageTank2UnderflowStream_Ag</t>
  </si>
  <si>
    <t>NNC_ConcStorageTank2UnderflowStream_Ag:(ConcStorageTank2UnderflowStream_Ag &gt;= 0.0);</t>
  </si>
  <si>
    <t>NNC_ConcStorageTank2UnderflowStream_Au</t>
  </si>
  <si>
    <t>NNC_ConcStorageTank2UnderflowStream_Au:(ConcStorageTank2UnderflowStream_Au &gt;= 0.0);</t>
  </si>
  <si>
    <t>NNC_ConcStorageTank2UnderflowStream_Fe</t>
  </si>
  <si>
    <t>NNC_ConcStorageTank2UnderflowStream_Fe:(ConcStorageTank2UnderflowStream_Fe &gt;= 0.0);</t>
  </si>
  <si>
    <t>NNC_ConcStorageTank2UnderflowStream_Cu</t>
  </si>
  <si>
    <t>NNC_ConcStorageTank2UnderflowStream_Cu:(ConcStorageTank2UnderflowStream_Cu &gt;= 0.0);</t>
  </si>
  <si>
    <t>NNC_ConcStorageTank2FeedStream_F</t>
  </si>
  <si>
    <t>NNC_ConcStorageTank2FeedStream_F:(ConcStorageTank2FeedStream_F &gt;= 0.0);</t>
  </si>
  <si>
    <t>NNC_ConcStorageTank2FeedStream_U</t>
  </si>
  <si>
    <t>NNC_ConcStorageTank2FeedStream_U:(ConcStorageTank2FeedStream_U &gt;= 0.0);</t>
  </si>
  <si>
    <t>NNC_ConcStorageTank2FeedStream_S</t>
  </si>
  <si>
    <t>NNC_ConcStorageTank2FeedStream_S:(ConcStorageTank2FeedStream_S &gt;= 0.0);</t>
  </si>
  <si>
    <t>NNC_ConcStorageTank2FeedStream_Ag</t>
  </si>
  <si>
    <t>NNC_ConcStorageTank2FeedStream_Ag:(ConcStorageTank2FeedStream_Ag &gt;= 0.0);</t>
  </si>
  <si>
    <t>NNC_ConcStorageTank2FeedStream_Au</t>
  </si>
  <si>
    <t>NNC_ConcStorageTank2FeedStream_Au:(ConcStorageTank2FeedStream_Au &gt;= 0.0);</t>
  </si>
  <si>
    <t>NNC_ConcStorageTank2FeedStream_Fe</t>
  </si>
  <si>
    <t>NNC_ConcStorageTank2FeedStream_Fe:(ConcStorageTank2FeedStream_Fe &gt;= 0.0);</t>
  </si>
  <si>
    <t>NNC_ConcStorageTank2FeedStream_Cu</t>
  </si>
  <si>
    <t>NNC_ConcStorageTank2FeedStream_Cu:(ConcStorageTank2FeedStream_Cu &gt;= 0.0);</t>
  </si>
  <si>
    <t>NNC_ConcStorageTank1UnderflowStream_F</t>
  </si>
  <si>
    <t>NNC_ConcStorageTank1UnderflowStream_F:(ConcStorageTank1UnderflowStream_F &gt;= 0.0);</t>
  </si>
  <si>
    <t>NNC_ConcStorageTank1UnderflowStream_U</t>
  </si>
  <si>
    <t>NNC_ConcStorageTank1UnderflowStream_U:(ConcStorageTank1UnderflowStream_U &gt;= 0.0);</t>
  </si>
  <si>
    <t>NNC_ConcStorageTank1UnderflowStream_S</t>
  </si>
  <si>
    <t>NNC_ConcStorageTank1UnderflowStream_S:(ConcStorageTank1UnderflowStream_S &gt;= 0.0);</t>
  </si>
  <si>
    <t>NNC_ConcStorageTank1UnderflowStream_Ag</t>
  </si>
  <si>
    <t>NNC_ConcStorageTank1UnderflowStream_Ag:(ConcStorageTank1UnderflowStream_Ag &gt;= 0.0);</t>
  </si>
  <si>
    <t>NNC_ConcStorageTank1UnderflowStream_Au</t>
  </si>
  <si>
    <t>NNC_ConcStorageTank1UnderflowStream_Au:(ConcStorageTank1UnderflowStream_Au &gt;= 0.0);</t>
  </si>
  <si>
    <t>NNC_ConcStorageTank1UnderflowStream_Fe</t>
  </si>
  <si>
    <t>NNC_ConcStorageTank1UnderflowStream_Fe:(ConcStorageTank1UnderflowStream_Fe &gt;= 0.0);</t>
  </si>
  <si>
    <t>NNC_ConcStorageTank1UnderflowStream_Cu</t>
  </si>
  <si>
    <t>NNC_ConcStorageTank1UnderflowStream_Cu:(ConcStorageTank1UnderflowStream_Cu &gt;= 0.0);</t>
  </si>
  <si>
    <t>NNC_ConcStorageTank1FeedStream_F</t>
  </si>
  <si>
    <t>NNC_ConcStorageTank1FeedStream_F:(ConcStorageTank1FeedStream_F &gt;= 0.0);</t>
  </si>
  <si>
    <t>NNC_ConcStorageTank1FeedStream_U</t>
  </si>
  <si>
    <t>NNC_ConcStorageTank1FeedStream_U:(ConcStorageTank1FeedStream_U &gt;= 0.0);</t>
  </si>
  <si>
    <t>NNC_ConcStorageTank1FeedStream_S</t>
  </si>
  <si>
    <t>NNC_ConcStorageTank1FeedStream_S:(ConcStorageTank1FeedStream_S &gt;= 0.0);</t>
  </si>
  <si>
    <t>NNC_ConcStorageTank1FeedStream_Ag</t>
  </si>
  <si>
    <t>NNC_ConcStorageTank1FeedStream_Ag:(ConcStorageTank1FeedStream_Ag &gt;= 0.0);</t>
  </si>
  <si>
    <t>NNC_ConcStorageTank1FeedStream_Au</t>
  </si>
  <si>
    <t>NNC_ConcStorageTank1FeedStream_Au:(ConcStorageTank1FeedStream_Au &gt;= 0.0);</t>
  </si>
  <si>
    <t>NNC_ConcStorageTank1FeedStream_Fe</t>
  </si>
  <si>
    <t>NNC_ConcStorageTank1FeedStream_Fe:(ConcStorageTank1FeedStream_Fe &gt;= 0.0);</t>
  </si>
  <si>
    <t>NNC_ConcStorageTank1FeedStream_Cu</t>
  </si>
  <si>
    <t>NNC_ConcStorageTank1FeedStream_Cu:(ConcStorageTank1FeedStream_Cu &gt;= 0.0);</t>
  </si>
  <si>
    <t>NNC_CCLASStreamRougherFeedStream_F</t>
  </si>
  <si>
    <t>NNC_CCLASStreamRougherFeedStream_F:(CCLASStreamRougherFeedStream_F &gt;= 0.0);</t>
  </si>
  <si>
    <t>NNC_CCLASStreamRougherFeedStream_U</t>
  </si>
  <si>
    <t>NNC_CCLASStreamRougherFeedStream_U:(CCLASStreamRougherFeedStream_U &gt;= 0.0);</t>
  </si>
  <si>
    <t>NNC_CCLASStreamRougherFeedStream_S</t>
  </si>
  <si>
    <t>NNC_CCLASStreamRougherFeedStream_S:(CCLASStreamRougherFeedStream_S &gt;= 0.0);</t>
  </si>
  <si>
    <t>NNC_CCLASStreamRougherFeedStream_Ag</t>
  </si>
  <si>
    <t>NNC_CCLASStreamRougherFeedStream_Ag:(CCLASStreamRougherFeedStream_Ag &gt;= 0.0);</t>
  </si>
  <si>
    <t>NNC_CCLASStreamRougherFeedStream_Au</t>
  </si>
  <si>
    <t>NNC_CCLASStreamRougherFeedStream_Au:(CCLASStreamRougherFeedStream_Au &gt;= 0.0);</t>
  </si>
  <si>
    <t>NNC_CCLASStreamRougherFeedStream_Fe</t>
  </si>
  <si>
    <t>NNC_CCLASStreamRougherFeedStream_Fe:(CCLASStreamRougherFeedStream_Fe &gt;= 0.0);</t>
  </si>
  <si>
    <t>NNC_CCLASStreamRougherFeedStream_Cu</t>
  </si>
  <si>
    <t>NNC_CCLASStreamRougherFeedStream_Cu:(CCLASStreamRougherFeedStream_Cu &gt;= 0.0);</t>
  </si>
  <si>
    <t>NNC_CCLASStreamFlotationTailsStream_F</t>
  </si>
  <si>
    <t>NNC_CCLASStreamFlotationTailsStream_F:(CCLASStreamFlotationTailsStream_F &gt;= 0.0);</t>
  </si>
  <si>
    <t>NNC_CCLASStreamFlotationTailsStream_U</t>
  </si>
  <si>
    <t>NNC_CCLASStreamFlotationTailsStream_U:(CCLASStreamFlotationTailsStream_U &gt;= 0.0);</t>
  </si>
  <si>
    <t>NNC_CCLASStreamFlotationTailsStream_S</t>
  </si>
  <si>
    <t>NNC_CCLASStreamFlotationTailsStream_S:(CCLASStreamFlotationTailsStream_S &gt;= 0.0);</t>
  </si>
  <si>
    <t>NNC_CCLASStreamFlotationTailsStream_Ag</t>
  </si>
  <si>
    <t>NNC_CCLASStreamFlotationTailsStream_Ag:(CCLASStreamFlotationTailsStream_Ag &gt;= 0.0);</t>
  </si>
  <si>
    <t>NNC_CCLASStreamFlotationTailsStream_Au</t>
  </si>
  <si>
    <t>NNC_CCLASStreamFlotationTailsStream_Au:(CCLASStreamFlotationTailsStream_Au &gt;= 0.0);</t>
  </si>
  <si>
    <t>NNC_CCLASStreamFlotationTailsStream_Fe</t>
  </si>
  <si>
    <t>NNC_CCLASStreamFlotationTailsStream_Fe:(CCLASStreamFlotationTailsStream_Fe &gt;= 0.0);</t>
  </si>
  <si>
    <t>NNC_CCLASStreamFlotationTailsStream_Cu</t>
  </si>
  <si>
    <t>NNC_CCLASStreamFlotationTailsStream_Cu:(CCLASStreamFlotationTailsStream_Cu &gt;= 0.0);</t>
  </si>
  <si>
    <t>NNC_CCLASStreamConcThickenerFeedStream_F</t>
  </si>
  <si>
    <t>NNC_CCLASStreamConcThickenerFeedStream_F:(CCLASStreamConcThickenerFeedStream_F &gt;= 0.0);</t>
  </si>
  <si>
    <t>NNC_CCLASStreamConcThickenerFeedStream_U</t>
  </si>
  <si>
    <t>NNC_CCLASStreamConcThickenerFeedStream_U:(CCLASStreamConcThickenerFeedStream_U &gt;= 0.0);</t>
  </si>
  <si>
    <t>NNC_CCLASStreamConcThickenerFeedStream_S</t>
  </si>
  <si>
    <t>NNC_CCLASStreamConcThickenerFeedStream_S:(CCLASStreamConcThickenerFeedStream_S &gt;= 0.0);</t>
  </si>
  <si>
    <t>NNC_CCLASStreamConcThickenerFeedStream_Ag</t>
  </si>
  <si>
    <t>NNC_CCLASStreamConcThickenerFeedStream_Ag:(CCLASStreamConcThickenerFeedStream_Ag &gt;= 0.0);</t>
  </si>
  <si>
    <t>NNC_CCLASStreamConcThickenerFeedStream_Au</t>
  </si>
  <si>
    <t>NNC_CCLASStreamConcThickenerFeedStream_Au:(CCLASStreamConcThickenerFeedStream_Au &gt;= 0.0);</t>
  </si>
  <si>
    <t>NNC_CCLASStreamConcThickenerFeedStream_Fe</t>
  </si>
  <si>
    <t>NNC_CCLASStreamConcThickenerFeedStream_Fe:(CCLASStreamConcThickenerFeedStream_Fe &gt;= 0.0);</t>
  </si>
  <si>
    <t>NNC_CCLASStreamConcThickenerFeedStream_Cu</t>
  </si>
  <si>
    <t>NNC_CCLASStreamConcThickenerFeedStream_Cu:(CCLASStreamConcThickenerFeedStream_Cu &gt;= 0.0);</t>
  </si>
  <si>
    <t>NNC_CrushedOreStream_F:(CrushedOreStream_F &gt;= 0.0);</t>
  </si>
  <si>
    <t>NNC_CrushedOreStream_U:(CrushedOreStream_U &gt;= 0.0);</t>
  </si>
  <si>
    <t>NNC_CrushedOreStream_S:(CrushedOreStream_S &gt;= 0.0);</t>
  </si>
  <si>
    <t>NNC_CrushedOreStream_Ag:(CrushedOreStream_Ag &gt;= 0.0);</t>
  </si>
  <si>
    <t>NNC_CrushedOreStream_Au:(CrushedOreStream_Au &gt;= 0.0);</t>
  </si>
  <si>
    <t>NNC_CrushedOreStream_Fe:(CrushedOreStream_Fe &gt;= 0.0);</t>
  </si>
  <si>
    <t>NNC_CrushedOreStream_Cu:(CrushedOreStream_Cu &gt;= 0.0);</t>
  </si>
  <si>
    <t>NNC_TailsThickening_open_F</t>
  </si>
  <si>
    <t>NNC_TailsThickening_open_F:(TailsThickening_open_F &gt;= 0.0);</t>
  </si>
  <si>
    <t>NNC_TailsThickening_open_U</t>
  </si>
  <si>
    <t>NNC_TailsThickening_open_U:(TailsThickening_open_U &gt;= 0.0);</t>
  </si>
  <si>
    <t>NNC_TailsThickening_open_S</t>
  </si>
  <si>
    <t>NNC_TailsThickening_open_S:(TailsThickening_open_S &gt;= 0.0);</t>
  </si>
  <si>
    <t>NNC_TailsThickening_open_Ag</t>
  </si>
  <si>
    <t>NNC_TailsThickening_open_Ag:(TailsThickening_open_Ag &gt;= 0.0);</t>
  </si>
  <si>
    <t>NNC_TailsThickening_open_Au</t>
  </si>
  <si>
    <t>NNC_TailsThickening_open_Au:(TailsThickening_open_Au &gt;= 0.0);</t>
  </si>
  <si>
    <t>NNC_TailsThickening_open_Fe</t>
  </si>
  <si>
    <t>NNC_TailsThickening_open_Fe:(TailsThickening_open_Fe &gt;= 0.0);</t>
  </si>
  <si>
    <t>NNC_TailsThickening_open_Cu</t>
  </si>
  <si>
    <t>NNC_TailsThickening_open_Cu:(TailsThickening_open_Cu &gt;= 0.0);</t>
  </si>
  <si>
    <t>NNC_ConcThickener_open_F</t>
  </si>
  <si>
    <t>NNC_ConcThickener_open_F:(ConcThickener_open_F &gt;= 0.0);</t>
  </si>
  <si>
    <t>NNC_ConcThickener_open_U</t>
  </si>
  <si>
    <t>NNC_ConcThickener_open_U:(ConcThickener_open_U &gt;= 0.0);</t>
  </si>
  <si>
    <t>NNC_ConcThickener_open_S</t>
  </si>
  <si>
    <t>NNC_ConcThickener_open_S:(ConcThickener_open_S &gt;= 0.0);</t>
  </si>
  <si>
    <t>NNC_ConcThickener_open_Ag</t>
  </si>
  <si>
    <t>NNC_ConcThickener_open_Ag:(ConcThickener_open_Ag &gt;= 0.0);</t>
  </si>
  <si>
    <t>NNC_ConcThickener_open_Au</t>
  </si>
  <si>
    <t>NNC_ConcThickener_open_Au:(ConcThickener_open_Au &gt;= 0.0);</t>
  </si>
  <si>
    <t>NNC_ConcThickener_open_Fe</t>
  </si>
  <si>
    <t>NNC_ConcThickener_open_Fe:(ConcThickener_open_Fe &gt;= 0.0);</t>
  </si>
  <si>
    <t>NNC_ConcThickener_open_Cu</t>
  </si>
  <si>
    <t>NNC_ConcThickener_open_Cu:(ConcThickener_open_Cu &gt;= 0.0);</t>
  </si>
  <si>
    <t>NNC_ConcStorageTank2_open_F</t>
  </si>
  <si>
    <t>NNC_ConcStorageTank2_open_F:(ConcStorageTank2_open_F &gt;= 0.0);</t>
  </si>
  <si>
    <t>NNC_ConcStorageTank2_open_U</t>
  </si>
  <si>
    <t>NNC_ConcStorageTank2_open_U:(ConcStorageTank2_open_U &gt;= 0.0);</t>
  </si>
  <si>
    <t>NNC_ConcStorageTank2_open_S</t>
  </si>
  <si>
    <t>NNC_ConcStorageTank2_open_S:(ConcStorageTank2_open_S &gt;= 0.0);</t>
  </si>
  <si>
    <t>NNC_ConcStorageTank2_open_Ag</t>
  </si>
  <si>
    <t>NNC_ConcStorageTank2_open_Ag:(ConcStorageTank2_open_Ag &gt;= 0.0);</t>
  </si>
  <si>
    <t>NNC_ConcStorageTank2_open_Au</t>
  </si>
  <si>
    <t>NNC_ConcStorageTank2_open_Au:(ConcStorageTank2_open_Au &gt;= 0.0);</t>
  </si>
  <si>
    <t>NNC_ConcStorageTank2_open_Fe</t>
  </si>
  <si>
    <t>NNC_ConcStorageTank2_open_Fe:(ConcStorageTank2_open_Fe &gt;= 0.0);</t>
  </si>
  <si>
    <t>NNC_ConcStorageTank2_open_Cu</t>
  </si>
  <si>
    <t>NNC_ConcStorageTank2_open_Cu:(ConcStorageTank2_open_Cu &gt;= 0.0);</t>
  </si>
  <si>
    <t>NNC_ConcStorageTank1_open_F</t>
  </si>
  <si>
    <t>NNC_ConcStorageTank1_open_F:(ConcStorageTank1_open_F &gt;= 0.0);</t>
  </si>
  <si>
    <t>NNC_ConcStorageTank1_open_U</t>
  </si>
  <si>
    <t>NNC_ConcStorageTank1_open_U:(ConcStorageTank1_open_U &gt;= 0.0);</t>
  </si>
  <si>
    <t>NNC_ConcStorageTank1_open_S</t>
  </si>
  <si>
    <t>NNC_ConcStorageTank1_open_S:(ConcStorageTank1_open_S &gt;= 0.0);</t>
  </si>
  <si>
    <t>NNC_ConcStorageTank1_open_Ag</t>
  </si>
  <si>
    <t>NNC_ConcStorageTank1_open_Ag:(ConcStorageTank1_open_Ag &gt;= 0.0);</t>
  </si>
  <si>
    <t>NNC_ConcStorageTank1_open_Au</t>
  </si>
  <si>
    <t>NNC_ConcStorageTank1_open_Au:(ConcStorageTank1_open_Au &gt;= 0.0);</t>
  </si>
  <si>
    <t>NNC_ConcStorageTank1_open_Fe</t>
  </si>
  <si>
    <t>NNC_ConcStorageTank1_open_Fe:(ConcStorageTank1_open_Fe &gt;= 0.0);</t>
  </si>
  <si>
    <t>NNC_ConcStorageTank1_open_Cu</t>
  </si>
  <si>
    <t>NNC_ConcStorageTank1_open_Cu:(ConcStorageTank1_open_Cu &gt;= 0.0);</t>
  </si>
  <si>
    <t>NNC_TailsThickening_close_F</t>
  </si>
  <si>
    <t>NNC_TailsThickening_close_F:(TailsThickening_close_F &gt;= 0.0);</t>
  </si>
  <si>
    <t>NNC_TailsThickening_close_U</t>
  </si>
  <si>
    <t>NNC_TailsThickening_close_U:(TailsThickening_close_U &gt;= 0.0);</t>
  </si>
  <si>
    <t>NNC_TailsThickening_close_S</t>
  </si>
  <si>
    <t>NNC_TailsThickening_close_S:(TailsThickening_close_S &gt;= 0.0);</t>
  </si>
  <si>
    <t>NNC_TailsThickening_close_Ag</t>
  </si>
  <si>
    <t>NNC_TailsThickening_close_Ag:(TailsThickening_close_Ag &gt;= 0.0);</t>
  </si>
  <si>
    <t>NNC_TailsThickening_close_Au</t>
  </si>
  <si>
    <t>NNC_TailsThickening_close_Au:(TailsThickening_close_Au &gt;= 0.0);</t>
  </si>
  <si>
    <t>NNC_TailsThickening_close_Fe</t>
  </si>
  <si>
    <t>NNC_TailsThickening_close_Fe:(TailsThickening_close_Fe &gt;= 0.0);</t>
  </si>
  <si>
    <t>NNC_TailsThickening_close_Cu</t>
  </si>
  <si>
    <t>NNC_TailsThickening_close_Cu:(TailsThickening_close_Cu &gt;= 0.0);</t>
  </si>
  <si>
    <t>NNC_ConcThickener_close_F</t>
  </si>
  <si>
    <t>NNC_ConcThickener_close_F:(ConcThickener_close_F &gt;= 0.0);</t>
  </si>
  <si>
    <t>NNC_ConcThickener_close_U</t>
  </si>
  <si>
    <t>NNC_ConcThickener_close_U:(ConcThickener_close_U &gt;= 0.0);</t>
  </si>
  <si>
    <t>NNC_ConcThickener_close_S</t>
  </si>
  <si>
    <t>NNC_ConcThickener_close_S:(ConcThickener_close_S &gt;= 0.0);</t>
  </si>
  <si>
    <t>NNC_ConcThickener_close_Ag</t>
  </si>
  <si>
    <t>NNC_ConcThickener_close_Ag:(ConcThickener_close_Ag &gt;= 0.0);</t>
  </si>
  <si>
    <t>NNC_ConcThickener_close_Au</t>
  </si>
  <si>
    <t>NNC_ConcThickener_close_Au:(ConcThickener_close_Au &gt;= 0.0);</t>
  </si>
  <si>
    <t>NNC_ConcThickener_close_Fe</t>
  </si>
  <si>
    <t>NNC_ConcThickener_close_Fe:(ConcThickener_close_Fe &gt;= 0.0);</t>
  </si>
  <si>
    <t>NNC_ConcThickener_close_Cu</t>
  </si>
  <si>
    <t>NNC_ConcThickener_close_Cu:(ConcThickener_close_Cu &gt;= 0.0);</t>
  </si>
  <si>
    <t>NNC_ConcStorageTank2_close_F</t>
  </si>
  <si>
    <t>NNC_ConcStorageTank2_close_F:(ConcStorageTank2_close_F &gt;= 0.0);</t>
  </si>
  <si>
    <t>NNC_ConcStorageTank2_close_U</t>
  </si>
  <si>
    <t>NNC_ConcStorageTank2_close_U:(ConcStorageTank2_close_U &gt;= 0.0);</t>
  </si>
  <si>
    <t>NNC_ConcStorageTank2_close_S</t>
  </si>
  <si>
    <t>NNC_ConcStorageTank2_close_S:(ConcStorageTank2_close_S &gt;= 0.0);</t>
  </si>
  <si>
    <t>NNC_ConcStorageTank2_close_Ag</t>
  </si>
  <si>
    <t>NNC_ConcStorageTank2_close_Ag:(ConcStorageTank2_close_Ag &gt;= 0.0);</t>
  </si>
  <si>
    <t>NNC_ConcStorageTank2_close_Au</t>
  </si>
  <si>
    <t>NNC_ConcStorageTank2_close_Au:(ConcStorageTank2_close_Au &gt;= 0.0);</t>
  </si>
  <si>
    <t>NNC_ConcStorageTank2_close_Fe</t>
  </si>
  <si>
    <t>NNC_ConcStorageTank2_close_Fe:(ConcStorageTank2_close_Fe &gt;= 0.0);</t>
  </si>
  <si>
    <t>NNC_ConcStorageTank2_close_Cu</t>
  </si>
  <si>
    <t>NNC_ConcStorageTank2_close_Cu:(ConcStorageTank2_close_Cu &gt;= 0.0);</t>
  </si>
  <si>
    <t>NNC_ConcStorageTank1_close_F</t>
  </si>
  <si>
    <t>NNC_ConcStorageTank1_close_F:(ConcStorageTank1_close_F &gt;= 0.0);</t>
  </si>
  <si>
    <t>NNC_ConcStorageTank1_close_U</t>
  </si>
  <si>
    <t>NNC_ConcStorageTank1_close_U:(ConcStorageTank1_close_U &gt;= 0.0);</t>
  </si>
  <si>
    <t>NNC_ConcStorageTank1_close_S</t>
  </si>
  <si>
    <t>NNC_ConcStorageTank1_close_S:(ConcStorageTank1_close_S &gt;= 0.0);</t>
  </si>
  <si>
    <t>NNC_ConcStorageTank1_close_Ag</t>
  </si>
  <si>
    <t>NNC_ConcStorageTank1_close_Ag:(ConcStorageTank1_close_Ag &gt;= 0.0);</t>
  </si>
  <si>
    <t>NNC_ConcStorageTank1_close_Au</t>
  </si>
  <si>
    <t>NNC_ConcStorageTank1_close_Au:(ConcStorageTank1_close_Au &gt;= 0.0);</t>
  </si>
  <si>
    <t>NNC_ConcStorageTank1_close_Fe</t>
  </si>
  <si>
    <t>NNC_ConcStorageTank1_close_Fe:(ConcStorageTank1_close_Fe &gt;= 0.0);</t>
  </si>
  <si>
    <t>NNC_ConcStorageTank1_close_Cu</t>
  </si>
  <si>
    <t>NNC_ConcStorageTank1_close_Cu:(ConcStorageTank1_close_Cu &gt;= 0.0);</t>
  </si>
  <si>
    <t>Value</t>
  </si>
  <si>
    <t>ConstraintName</t>
  </si>
  <si>
    <t>/* Mass Fraction Non-Negativity Constraints */</t>
  </si>
  <si>
    <t>/* Non-Negative Constraint Equations */</t>
  </si>
  <si>
    <t>SpillageReturnStream_F:((SpillageReturnStream_F)-(PressureFilterFeedStream_F)=0);</t>
  </si>
  <si>
    <t>SpillageReturnStream_U:((SpillageReturnStream_U)-(PressureFilterFeedStream_U)=0);</t>
  </si>
  <si>
    <t>SpillageReturnStream_S:((SpillageReturnStream_S)-(PressureFilterFeedStream_S)=0);</t>
  </si>
  <si>
    <t>SpillageReturnStream_Ag:((SpillageReturnStream_Ag)-(PressureFilterFeedStream_Ag)=0);</t>
  </si>
  <si>
    <t>SpillageReturnStream_Au:((SpillageReturnStream_Au)-(PressureFilterFeedStream_Au)=0);</t>
  </si>
  <si>
    <t>SpillageReturnStream_Fe:((SpillageReturnStream_Fe)-(PressureFilterFeedStream_Fe)=0);</t>
  </si>
  <si>
    <t>SpillageReturnStream_Cu:((SpillageReturnStream_Cu)-(PressureFilterFeedStream_Cu)=0);</t>
  </si>
  <si>
    <t>ConcStorageTank2_F</t>
  </si>
  <si>
    <t>ConcStorageTank2_F:((ConcStorageTank2UnderflowStream_F)-(ConcStorageTank2_open_F)=0);</t>
  </si>
  <si>
    <t>ConcStorageTank2_U</t>
  </si>
  <si>
    <t>ConcStorageTank2_U:((ConcStorageTank2UnderflowStream_U)-(ConcStorageTank2_open_U)=0);</t>
  </si>
  <si>
    <t>ConcStorageTank2_S</t>
  </si>
  <si>
    <t>ConcStorageTank2_S:((ConcStorageTank2UnderflowStream_S)-(ConcStorageTank2_open_S)=0);</t>
  </si>
  <si>
    <t>ConcStorageTank2_Ag</t>
  </si>
  <si>
    <t>ConcStorageTank2_Ag:((ConcStorageTank2UnderflowStream_Ag)-(ConcStorageTank2_open_Ag)=0);</t>
  </si>
  <si>
    <t>ConcStorageTank2_Au</t>
  </si>
  <si>
    <t>ConcStorageTank2_Au:((ConcStorageTank2UnderflowStream_Au)-(ConcStorageTank2_open_Au)=0);</t>
  </si>
  <si>
    <t>ConcStorageTank2_Fe</t>
  </si>
  <si>
    <t>ConcStorageTank2_Fe:((ConcStorageTank2UnderflowStream_Fe)-(ConcStorageTank2_open_Fe)=0);</t>
  </si>
  <si>
    <t>ConcStorageTank2_Cu</t>
  </si>
  <si>
    <t>ConcStorageTank2_Cu:((ConcStorageTank2UnderflowStream_Cu)-(ConcStorageTank2_open_Cu)=0);</t>
  </si>
  <si>
    <t>ConcStorageTank1_F</t>
  </si>
  <si>
    <t>ConcStorageTank1_F:((ConcStorageTank1UnderflowStream_F)-(ConcStorageTank1_open_F)=0);</t>
  </si>
  <si>
    <t>ConcStorageTank1_U</t>
  </si>
  <si>
    <t>ConcStorageTank1_U:((ConcStorageTank1UnderflowStream_U)-(ConcStorageTank1_open_U)=0);</t>
  </si>
  <si>
    <t>ConcStorageTank1_S</t>
  </si>
  <si>
    <t>ConcStorageTank1_S:((ConcStorageTank1UnderflowStream_S)-(ConcStorageTank1_open_S)=0);</t>
  </si>
  <si>
    <t>ConcStorageTank1_Ag</t>
  </si>
  <si>
    <t>ConcStorageTank1_Ag:((ConcStorageTank1UnderflowStream_Ag)-(ConcStorageTank1_open_Ag)=0);</t>
  </si>
  <si>
    <t>ConcStorageTank1_Au</t>
  </si>
  <si>
    <t>ConcStorageTank1_Au:((ConcStorageTank1UnderflowStream_Au)-(ConcStorageTank1_open_Au)=0);</t>
  </si>
  <si>
    <t>ConcStorageTank1_Fe</t>
  </si>
  <si>
    <t>ConcStorageTank1_Fe:((ConcStorageTank1UnderflowStream_Fe)-(ConcStorageTank1_open_Fe)=0);</t>
  </si>
  <si>
    <t>ConcStorageTank1_Cu</t>
  </si>
  <si>
    <t>ConcStorageTank1_Cu:((ConcStorageTank1UnderflowStream_Cu)-(ConcStorageTank1_open_Cu)=0);</t>
  </si>
  <si>
    <t>TailsThickening_F</t>
  </si>
  <si>
    <t>TailsThickening_F:((4*TailsThickenerUnderflowStream_F)-(TailsThickening_open_F)-(3*OSAStreamFlotationTailsStream_F)=0);</t>
  </si>
  <si>
    <t>TailsThickening_U</t>
  </si>
  <si>
    <t>TailsThickening_U:((4*TailsThickenerUnderflowStream_U)-(TailsThickening_open_U)-(3*OSAStreamFlotationTailsStream_U)=0);</t>
  </si>
  <si>
    <t>TailsThickening_S</t>
  </si>
  <si>
    <t>TailsThickening_S:((4*TailsThickenerUnderflowStream_S)-(TailsThickening_open_S)-(3*OSAStreamFlotationTailsStream_S)=0);</t>
  </si>
  <si>
    <t>TailsThickening_Ag</t>
  </si>
  <si>
    <t>TailsThickening_Ag:((4*TailsThickenerUnderflowStream_Ag)-(TailsThickening_open_Ag)-(3*OSAStreamFlotationTailsStream_Ag)=0);</t>
  </si>
  <si>
    <t>TailsThickening_Au</t>
  </si>
  <si>
    <t>TailsThickening_Au:((4*TailsThickenerUnderflowStream_Au)-(TailsThickening_open_Au)-(3*OSAStreamFlotationTailsStream_Au)=0);</t>
  </si>
  <si>
    <t>TailsThickening_Fe</t>
  </si>
  <si>
    <t>TailsThickening_Fe:((4*TailsThickenerUnderflowStream_Fe)-(TailsThickening_open_Fe)-(3*OSAStreamFlotationTailsStream_Fe)=0);</t>
  </si>
  <si>
    <t>TailsThickening_Cu</t>
  </si>
  <si>
    <t>TailsThickening_Cu:((4*TailsThickenerUnderflowStream_Cu)-(TailsThickening_open_Cu)-(3*OSAStreamFlotationTailsStream_Cu)=0);</t>
  </si>
  <si>
    <t>ConcThickener_F</t>
  </si>
  <si>
    <t>ConcThickener_F:((3*ConcThickenerUnderflowStream_F)-(ConcThickener_open_F)-(2*OSAStreamConcThickenerFeedStream_F)=0);</t>
  </si>
  <si>
    <t>ConcThickener_U</t>
  </si>
  <si>
    <t>ConcThickener_U:((3*ConcThickenerUnderflowStream_U)-(ConcThickener_open_U)-(2*OSAStreamConcThickenerFeedStream_U)=0);</t>
  </si>
  <si>
    <t>ConcThickener_S</t>
  </si>
  <si>
    <t>ConcThickener_S:((3*ConcThickenerUnderflowStream_S)-(ConcThickener_open_S)-(2*OSAStreamConcThickenerFeedStream_S)=0);</t>
  </si>
  <si>
    <t>ConcThickener_Ag</t>
  </si>
  <si>
    <t>ConcThickener_Ag:((3*ConcThickenerUnderflowStream_Ag)-(ConcThickener_open_Ag)-(2*OSAStreamConcThickenerFeedStream_Ag)=0);</t>
  </si>
  <si>
    <t>ConcThickener_Au</t>
  </si>
  <si>
    <t>ConcThickener_Au:((3*ConcThickenerUnderflowStream_Au)-(ConcThickener_open_Au)-(2*OSAStreamConcThickenerFeedStream_Au)=0);</t>
  </si>
  <si>
    <t>ConcThickener_Fe</t>
  </si>
  <si>
    <t>ConcThickener_Fe:((3*ConcThickenerUnderflowStream_Fe)-(ConcThickener_open_Fe)-(2*OSAStreamConcThickenerFeedStream_Fe)=0);</t>
  </si>
  <si>
    <t>ConcThickener_Cu</t>
  </si>
  <si>
    <t>ConcThickener_Cu:((3*ConcThickenerUnderflowStream_Cu)-(ConcThickener_open_Cu)-(2*OSAStreamConcThickenerFeedStream_Cu)=0);</t>
  </si>
  <si>
    <t>/* User Defined Equations */</t>
  </si>
  <si>
    <t>MB_TailsThickening_U</t>
  </si>
  <si>
    <t>MB_TailsThickening_U:((TailsThickening_close_Mass * TailsThickening_close_U) - (TailsThickening_open_Mass * TailsThickening_open_U)+0.0 = +(CCLASStreamFlotationTailsStream_Mass * CCLASStreamFlotationTailsStream_U)-(TailsThickenerUnderflowStream_Mass * TailsThickenerUnderflowStream_U));</t>
  </si>
  <si>
    <t>MB_TailsThickening_S</t>
  </si>
  <si>
    <t>MB_TailsThickening_S:((TailsThickening_close_Mass * TailsThickening_close_S) - (TailsThickening_open_Mass * TailsThickening_open_S)+0.0 = +(CCLASStreamFlotationTailsStream_Mass * CCLASStreamFlotationTailsStream_S)-(TailsThickenerUnderflowStream_Mass * TailsThickenerUnderflowStream_S));</t>
  </si>
  <si>
    <t>MB_TailsThickening_Fe</t>
  </si>
  <si>
    <t>MB_TailsThickening_Fe:((TailsThickening_close_Mass * TailsThickening_close_Fe) - (TailsThickening_open_Mass * TailsThickening_open_Fe)+0.0 = +(CCLASStreamFlotationTailsStream_Mass * CCLASStreamFlotationTailsStream_Fe)-(TailsThickenerUnderflowStream_Mass * TailsThickenerUnderflowStream_Fe));</t>
  </si>
  <si>
    <t>MB_TailsThickening_F</t>
  </si>
  <si>
    <t>MB_TailsThickening_F:((TailsThickening_close_Mass * TailsThickening_close_F) - (TailsThickening_open_Mass * TailsThickening_open_F)+0.0 = +(CCLASStreamFlotationTailsStream_Mass * CCLASStreamFlotationTailsStream_F)-(TailsThickenerUnderflowStream_Mass * TailsThickenerUnderflowStream_F));</t>
  </si>
  <si>
    <t>MB_TailsThickening_Cu</t>
  </si>
  <si>
    <t>MB_TailsThickening_Cu:((TailsThickening_close_Mass * TailsThickening_close_Cu) - (TailsThickening_open_Mass * TailsThickening_open_Cu)+0.0 = +(CCLASStreamFlotationTailsStream_Mass * CCLASStreamFlotationTailsStream_Cu)-(TailsThickenerUnderflowStream_Mass * TailsThickenerUnderflowStream_Cu));</t>
  </si>
  <si>
    <t>MB_TailsThickening_Au</t>
  </si>
  <si>
    <t>MB_TailsThickening_Au:((TailsThickening_close_Mass * TailsThickening_close_Au) - (TailsThickening_open_Mass * TailsThickening_open_Au)+0.0 = +(CCLASStreamFlotationTailsStream_Mass * CCLASStreamFlotationTailsStream_Au)-(TailsThickenerUnderflowStream_Mass * TailsThickenerUnderflowStream_Au));</t>
  </si>
  <si>
    <t>MB_TailsThickening_Ag</t>
  </si>
  <si>
    <t>MB_TailsThickening_Ag:((TailsThickening_close_Mass * TailsThickening_close_Ag) - (TailsThickening_open_Mass * TailsThickening_open_Ag)+0.0 = +(CCLASStreamFlotationTailsStream_Mass * CCLASStreamFlotationTailsStream_Ag)-(TailsThickenerUnderflowStream_Mass * TailsThickenerUnderflowStream_Ag));</t>
  </si>
  <si>
    <t>MB_TailsThickening_Mass</t>
  </si>
  <si>
    <t>MB_TailsThickening_Mass:(TailsThickening_close_Mass - TailsThickening_open_Mass+0.0 = +CCLASStreamFlotationTailsStream_Mass-TailsThickenerUnderflowStream_Mass);</t>
  </si>
  <si>
    <t>MB_RougherFeedStream_U</t>
  </si>
  <si>
    <t>MB_RougherFeedStream_U:(+0.0 = +(OSAStreamRougherFeedStream_Mass * OSAStreamRougherFeedStream_U)-(CCLASStreamRougherFeedStream_Mass * CCLASStreamRougherFeedStream_U));</t>
  </si>
  <si>
    <t>MB_RougherFeedStream_S</t>
  </si>
  <si>
    <t>MB_RougherFeedStream_S:(+0.0 = +(OSAStreamRougherFeedStream_Mass * OSAStreamRougherFeedStream_S)-(CCLASStreamRougherFeedStream_Mass * CCLASStreamRougherFeedStream_S));</t>
  </si>
  <si>
    <t>MB_RougherFeedStream_Fe</t>
  </si>
  <si>
    <t>MB_RougherFeedStream_Fe:(+0.0 = +(OSAStreamRougherFeedStream_Mass * OSAStreamRougherFeedStream_Fe)-(CCLASStreamRougherFeedStream_Mass * CCLASStreamRougherFeedStream_Fe));</t>
  </si>
  <si>
    <t>MB_RougherFeedStream_F</t>
  </si>
  <si>
    <t>MB_RougherFeedStream_F:(+0.0 = +(OSAStreamRougherFeedStream_Mass * OSAStreamRougherFeedStream_F)-(CCLASStreamRougherFeedStream_Mass * CCLASStreamRougherFeedStream_F));</t>
  </si>
  <si>
    <t>MB_RougherFeedStream_Cu</t>
  </si>
  <si>
    <t>MB_RougherFeedStream_Cu:(+0.0 = +(OSAStreamRougherFeedStream_Mass * OSAStreamRougherFeedStream_Cu)-(CCLASStreamRougherFeedStream_Mass * CCLASStreamRougherFeedStream_Cu));</t>
  </si>
  <si>
    <t>MB_RougherFeedStream_Au</t>
  </si>
  <si>
    <t>MB_RougherFeedStream_Au:(+0.0 = +(OSAStreamRougherFeedStream_Mass * OSAStreamRougherFeedStream_Au)-(CCLASStreamRougherFeedStream_Mass * CCLASStreamRougherFeedStream_Au));</t>
  </si>
  <si>
    <t>MB_RougherFeedStream_Ag</t>
  </si>
  <si>
    <t>MB_RougherFeedStream_Ag:(+0.0 = +(OSAStreamRougherFeedStream_Mass * OSAStreamRougherFeedStream_Ag)-(CCLASStreamRougherFeedStream_Mass * CCLASStreamRougherFeedStream_Ag));</t>
  </si>
  <si>
    <t>MB_RougherFeedStream_Mass</t>
  </si>
  <si>
    <t>MB_RougherFeedStream_Mass:(+0.0 = +OSAStreamRougherFeedStream_Mass-CCLASStreamRougherFeedStream_Mass);</t>
  </si>
  <si>
    <t>MB_Grinding_U</t>
  </si>
  <si>
    <t>MB_Grinding_U:(+0.0 = +(SAGMillFeedStream_Mass * SAGMillFeedStream_U)-(OSAStreamRougherFeedStream_Mass * OSAStreamRougherFeedStream_U));</t>
  </si>
  <si>
    <t>MB_Grinding_S</t>
  </si>
  <si>
    <t>MB_Grinding_S:(+0.0 = +(SAGMillFeedStream_Mass * SAGMillFeedStream_S)-(OSAStreamRougherFeedStream_Mass * OSAStreamRougherFeedStream_S));</t>
  </si>
  <si>
    <t>MB_Grinding_Fe</t>
  </si>
  <si>
    <t>MB_Grinding_Fe:(+0.0 = +(SAGMillFeedStream_Mass * SAGMillFeedStream_Fe)-(OSAStreamRougherFeedStream_Mass * OSAStreamRougherFeedStream_Fe));</t>
  </si>
  <si>
    <t>MB_Grinding_F</t>
  </si>
  <si>
    <t>MB_Grinding_F:(+0.0 = +(SAGMillFeedStream_Mass * SAGMillFeedStream_F)-(OSAStreamRougherFeedStream_Mass * OSAStreamRougherFeedStream_F));</t>
  </si>
  <si>
    <t>MB_Grinding_Cu</t>
  </si>
  <si>
    <t>MB_Grinding_Cu:(+0.0 = +(SAGMillFeedStream_Mass * SAGMillFeedStream_Cu)-(OSAStreamRougherFeedStream_Mass * OSAStreamRougherFeedStream_Cu));</t>
  </si>
  <si>
    <t>MB_Grinding_Au</t>
  </si>
  <si>
    <t>MB_Grinding_Au:(+0.0 = +(SAGMillFeedStream_Mass * SAGMillFeedStream_Au)-(OSAStreamRougherFeedStream_Mass * OSAStreamRougherFeedStream_Au));</t>
  </si>
  <si>
    <t>MB_Grinding_Ag</t>
  </si>
  <si>
    <t>MB_Grinding_Ag:(+0.0 = +(SAGMillFeedStream_Mass * SAGMillFeedStream_Ag)-(OSAStreamRougherFeedStream_Mass * OSAStreamRougherFeedStream_Ag));</t>
  </si>
  <si>
    <t>MB_Grinding_Mass</t>
  </si>
  <si>
    <t>MB_Grinding_Mass:(+0.0 = +SAGMillFeedStream_Mass-OSAStreamRougherFeedStream_Mass);</t>
  </si>
  <si>
    <t>MB_Flotation_U</t>
  </si>
  <si>
    <t>MB_Flotation_U:(+0.0 = +(CCLASStreamRougherFeedStream_Mass * CCLASStreamRougherFeedStream_U)-(OSAStreamConcThickenerFeedStream_Mass * OSAStreamConcThickenerFeedStream_U)-(OSAStreamFlotationTailsStream_Mass * OSAStreamFlotationTailsStream_U));</t>
  </si>
  <si>
    <t>MB_Flotation_S</t>
  </si>
  <si>
    <t>MB_Flotation_S:(+0.0 = +(CCLASStreamRougherFeedStream_Mass * CCLASStreamRougherFeedStream_S)-(OSAStreamConcThickenerFeedStream_Mass * OSAStreamConcThickenerFeedStream_S)-(OSAStreamFlotationTailsStream_Mass * OSAStreamFlotationTailsStream_S));</t>
  </si>
  <si>
    <t>MB_Flotation_Fe</t>
  </si>
  <si>
    <t>MB_Flotation_Fe:(+0.0 = +(CCLASStreamRougherFeedStream_Mass * CCLASStreamRougherFeedStream_Fe)-(OSAStreamConcThickenerFeedStream_Mass * OSAStreamConcThickenerFeedStream_Fe)-(OSAStreamFlotationTailsStream_Mass * OSAStreamFlotationTailsStream_Fe));</t>
  </si>
  <si>
    <t>MB_Flotation_F</t>
  </si>
  <si>
    <t>MB_Flotation_F:(+0.0 = +(CCLASStreamRougherFeedStream_Mass * CCLASStreamRougherFeedStream_F)-(OSAStreamConcThickenerFeedStream_Mass * OSAStreamConcThickenerFeedStream_F)-(OSAStreamFlotationTailsStream_Mass * OSAStreamFlotationTailsStream_F));</t>
  </si>
  <si>
    <t>MB_Flotation_Cu</t>
  </si>
  <si>
    <t>MB_Flotation_Cu:(+0.0 = +(CCLASStreamRougherFeedStream_Mass * CCLASStreamRougherFeedStream_Cu)-(OSAStreamConcThickenerFeedStream_Mass * OSAStreamConcThickenerFeedStream_Cu)-(OSAStreamFlotationTailsStream_Mass * OSAStreamFlotationTailsStream_Cu));</t>
  </si>
  <si>
    <t>MB_Flotation_Au</t>
  </si>
  <si>
    <t>MB_Flotation_Au:(+0.0 = +(CCLASStreamRougherFeedStream_Mass * CCLASStreamRougherFeedStream_Au)-(OSAStreamConcThickenerFeedStream_Mass * OSAStreamConcThickenerFeedStream_Au)-(OSAStreamFlotationTailsStream_Mass * OSAStreamFlotationTailsStream_Au));</t>
  </si>
  <si>
    <t>MB_Flotation_Ag</t>
  </si>
  <si>
    <t>MB_Flotation_Ag:(+0.0 = +(CCLASStreamRougherFeedStream_Mass * CCLASStreamRougherFeedStream_Ag)-(OSAStreamConcThickenerFeedStream_Mass * OSAStreamConcThickenerFeedStream_Ag)-(OSAStreamFlotationTailsStream_Mass * OSAStreamFlotationTailsStream_Ag));</t>
  </si>
  <si>
    <t>MB_FlotationTailsStream_U</t>
  </si>
  <si>
    <t>MB_FlotationTailsStream_U:(+0.0 = +(OSAStreamFlotationTailsStream_Mass * OSAStreamFlotationTailsStream_U)-(CCLASStreamFlotationTailsStream_Mass * CCLASStreamFlotationTailsStream_U));</t>
  </si>
  <si>
    <t>MB_FlotationTailsStream_S</t>
  </si>
  <si>
    <t>MB_FlotationTailsStream_S:(+0.0 = +(OSAStreamFlotationTailsStream_Mass * OSAStreamFlotationTailsStream_S)-(CCLASStreamFlotationTailsStream_Mass * CCLASStreamFlotationTailsStream_S));</t>
  </si>
  <si>
    <t>MB_FlotationTailsStream_Fe</t>
  </si>
  <si>
    <t>MB_FlotationTailsStream_Fe:(+0.0 = +(OSAStreamFlotationTailsStream_Mass * OSAStreamFlotationTailsStream_Fe)-(CCLASStreamFlotationTailsStream_Mass * CCLASStreamFlotationTailsStream_Fe));</t>
  </si>
  <si>
    <t>MB_FlotationTailsStream_F</t>
  </si>
  <si>
    <t>MB_FlotationTailsStream_F:(+0.0 = +(OSAStreamFlotationTailsStream_Mass * OSAStreamFlotationTailsStream_F)-(CCLASStreamFlotationTailsStream_Mass * CCLASStreamFlotationTailsStream_F));</t>
  </si>
  <si>
    <t>MB_FlotationTailsStream_Cu</t>
  </si>
  <si>
    <t>MB_FlotationTailsStream_Cu:(+0.0 = +(OSAStreamFlotationTailsStream_Mass * OSAStreamFlotationTailsStream_Cu)-(CCLASStreamFlotationTailsStream_Mass * CCLASStreamFlotationTailsStream_Cu));</t>
  </si>
  <si>
    <t>MB_FlotationTailsStream_Au</t>
  </si>
  <si>
    <t>MB_FlotationTailsStream_Au:(+0.0 = +(OSAStreamFlotationTailsStream_Mass * OSAStreamFlotationTailsStream_Au)-(CCLASStreamFlotationTailsStream_Mass * CCLASStreamFlotationTailsStream_Au));</t>
  </si>
  <si>
    <t>MB_FlotationTailsStream_Ag</t>
  </si>
  <si>
    <t>MB_FlotationTailsStream_Ag:(+0.0 = +(OSAStreamFlotationTailsStream_Mass * OSAStreamFlotationTailsStream_Ag)-(CCLASStreamFlotationTailsStream_Mass * CCLASStreamFlotationTailsStream_Ag));</t>
  </si>
  <si>
    <t>MB_FlotationTailsStream_Mass</t>
  </si>
  <si>
    <t>MB_FlotationTailsStream_Mass:(+0.0 = +OSAStreamFlotationTailsStream_Mass-CCLASStreamFlotationTailsStream_Mass);</t>
  </si>
  <si>
    <t>MB_Flotation_Mass</t>
  </si>
  <si>
    <t>MB_Flotation_Mass:(+0.0 = +CCLASStreamRougherFeedStream_Mass-OSAStreamConcThickenerFeedStream_Mass-OSAStreamFlotationTailsStream_Mass);</t>
  </si>
  <si>
    <t>MB_ConcThickener_U</t>
  </si>
  <si>
    <t>MB_ConcThickener_U:((ConcThickener_close_Mass * ConcThickener_close_U) - (ConcThickener_open_Mass * ConcThickener_open_U)+0.0 = +(CCLASStreamConcThickenerFeedStream_Mass * CCLASStreamConcThickenerFeedStream_U)+(SpillageReturnStream_Mass * SpillageReturnStream_U)-(ConcThickenerUnderflowStream_Mass * ConcThickenerUnderflowStream_U));</t>
  </si>
  <si>
    <t>MB_ConcThickener_S</t>
  </si>
  <si>
    <t>MB_ConcThickener_S:((ConcThickener_close_Mass * ConcThickener_close_S) - (ConcThickener_open_Mass * ConcThickener_open_S)+0.0 = +(CCLASStreamConcThickenerFeedStream_Mass * CCLASStreamConcThickenerFeedStream_S)+(SpillageReturnStream_Mass * SpillageReturnStream_S)-(ConcThickenerUnderflowStream_Mass * ConcThickenerUnderflowStream_S));</t>
  </si>
  <si>
    <t>MB_ConcThickener_Fe</t>
  </si>
  <si>
    <t>MB_ConcThickener_Fe:((ConcThickener_close_Mass * ConcThickener_close_Fe) - (ConcThickener_open_Mass * ConcThickener_open_Fe)+0.0 = +(CCLASStreamConcThickenerFeedStream_Mass * CCLASStreamConcThickenerFeedStream_Fe)+(SpillageReturnStream_Mass * SpillageReturnStream_Fe)-(ConcThickenerUnderflowStream_Mass * ConcThickenerUnderflowStream_Fe));</t>
  </si>
  <si>
    <t>MB_ConcThickener_F</t>
  </si>
  <si>
    <t>MB_ConcThickener_F:((ConcThickener_close_Mass * ConcThickener_close_F) - (ConcThickener_open_Mass * ConcThickener_open_F)+0.0 = +(CCLASStreamConcThickenerFeedStream_Mass * CCLASStreamConcThickenerFeedStream_F)+(SpillageReturnStream_Mass * SpillageReturnStream_F)-(ConcThickenerUnderflowStream_Mass * ConcThickenerUnderflowStream_F));</t>
  </si>
  <si>
    <t>MB_ConcThickener_Cu</t>
  </si>
  <si>
    <t>MB_ConcThickener_Cu:((ConcThickener_close_Mass * ConcThickener_close_Cu) - (ConcThickener_open_Mass * ConcThickener_open_Cu)+0.0 = +(CCLASStreamConcThickenerFeedStream_Mass * CCLASStreamConcThickenerFeedStream_Cu)+(SpillageReturnStream_Mass * SpillageReturnStream_Cu)-(ConcThickenerUnderflowStream_Mass * ConcThickenerUnderflowStream_Cu));</t>
  </si>
  <si>
    <t>MB_ConcThickener_Au</t>
  </si>
  <si>
    <t>MB_ConcThickener_Au:((ConcThickener_close_Mass * ConcThickener_close_Au) - (ConcThickener_open_Mass * ConcThickener_open_Au)+0.0 = +(CCLASStreamConcThickenerFeedStream_Mass * CCLASStreamConcThickenerFeedStream_Au)+(SpillageReturnStream_Mass * SpillageReturnStream_Au)-(ConcThickenerUnderflowStream_Mass * ConcThickenerUnderflowStream_Au));</t>
  </si>
  <si>
    <t>MB_ConcThickener_Ag</t>
  </si>
  <si>
    <t>MB_ConcThickener_Ag:((ConcThickener_close_Mass * ConcThickener_close_Ag) - (ConcThickener_open_Mass * ConcThickener_open_Ag)+0.0 = +(CCLASStreamConcThickenerFeedStream_Mass * CCLASStreamConcThickenerFeedStream_Ag)+(SpillageReturnStream_Mass * SpillageReturnStream_Ag)-(ConcThickenerUnderflowStream_Mass * ConcThickenerUnderflowStream_Ag));</t>
  </si>
  <si>
    <t>MB_ConcThickenerUnderflowPump_U</t>
  </si>
  <si>
    <t>MB_ConcThickenerUnderflowPump_U:(+0.0 = +(ConcThickenerUnderflowStream_Mass * ConcThickenerUnderflowStream_U)-(ConcStorageTank1FeedStream_Mass * ConcStorageTank1FeedStream_U)-(ConcStorageTank2FeedStream_Mass * ConcStorageTank2FeedStream_U));</t>
  </si>
  <si>
    <t>MB_ConcThickenerUnderflowPump_S</t>
  </si>
  <si>
    <t>MB_ConcThickenerUnderflowPump_S:(+0.0 = +(ConcThickenerUnderflowStream_Mass * ConcThickenerUnderflowStream_S)-(ConcStorageTank1FeedStream_Mass * ConcStorageTank1FeedStream_S)-(ConcStorageTank2FeedStream_Mass * ConcStorageTank2FeedStream_S));</t>
  </si>
  <si>
    <t>MB_ConcThickenerUnderflowPump_Fe</t>
  </si>
  <si>
    <t>MB_ConcThickenerUnderflowPump_Fe:(+0.0 = +(ConcThickenerUnderflowStream_Mass * ConcThickenerUnderflowStream_Fe)-(ConcStorageTank1FeedStream_Mass * ConcStorageTank1FeedStream_Fe)-(ConcStorageTank2FeedStream_Mass * ConcStorageTank2FeedStream_Fe));</t>
  </si>
  <si>
    <t>MB_ConcThickenerUnderflowPump_F</t>
  </si>
  <si>
    <t>MB_ConcThickenerUnderflowPump_F:(+0.0 = +(ConcThickenerUnderflowStream_Mass * ConcThickenerUnderflowStream_F)-(ConcStorageTank1FeedStream_Mass * ConcStorageTank1FeedStream_F)-(ConcStorageTank2FeedStream_Mass * ConcStorageTank2FeedStream_F));</t>
  </si>
  <si>
    <t>MB_ConcThickenerUnderflowPump_Cu</t>
  </si>
  <si>
    <t>MB_ConcThickenerUnderflowPump_Cu:(+0.0 = +(ConcThickenerUnderflowStream_Mass * ConcThickenerUnderflowStream_Cu)-(ConcStorageTank1FeedStream_Mass * ConcStorageTank1FeedStream_Cu)-(ConcStorageTank2FeedStream_Mass * ConcStorageTank2FeedStream_Cu));</t>
  </si>
  <si>
    <t>MB_ConcThickenerUnderflowPump_Au</t>
  </si>
  <si>
    <t>MB_ConcThickenerUnderflowPump_Au:(+0.0 = +(ConcThickenerUnderflowStream_Mass * ConcThickenerUnderflowStream_Au)-(ConcStorageTank1FeedStream_Mass * ConcStorageTank1FeedStream_Au)-(ConcStorageTank2FeedStream_Mass * ConcStorageTank2FeedStream_Au));</t>
  </si>
  <si>
    <t>MB_ConcThickenerUnderflowPump_Ag</t>
  </si>
  <si>
    <t>MB_ConcThickenerUnderflowPump_Ag:(+0.0 = +(ConcThickenerUnderflowStream_Mass * ConcThickenerUnderflowStream_Ag)-(ConcStorageTank1FeedStream_Mass * ConcStorageTank1FeedStream_Ag)-(ConcStorageTank2FeedStream_Mass * ConcStorageTank2FeedStream_Ag));</t>
  </si>
  <si>
    <t>MB_ConcThickenerUnderflowPump_Mass</t>
  </si>
  <si>
    <t>MB_ConcThickenerUnderflowPump_Mass:(+0.0 = +ConcThickenerUnderflowStream_Mass-ConcStorageTank1FeedStream_Mass-ConcStorageTank2FeedStream_Mass);</t>
  </si>
  <si>
    <t>MB_ConcThickenerFeedStream_U</t>
  </si>
  <si>
    <t>MB_ConcThickenerFeedStream_U:(+0.0 = +(OSAStreamConcThickenerFeedStream_Mass * OSAStreamConcThickenerFeedStream_U)-(CCLASStreamConcThickenerFeedStream_Mass * CCLASStreamConcThickenerFeedStream_U));</t>
  </si>
  <si>
    <t>MB_ConcThickenerFeedStream_S</t>
  </si>
  <si>
    <t>MB_ConcThickenerFeedStream_S:(+0.0 = +(OSAStreamConcThickenerFeedStream_Mass * OSAStreamConcThickenerFeedStream_S)-(CCLASStreamConcThickenerFeedStream_Mass * CCLASStreamConcThickenerFeedStream_S));</t>
  </si>
  <si>
    <t>MB_ConcThickenerFeedStream_Fe</t>
  </si>
  <si>
    <t>MB_ConcThickenerFeedStream_Fe:(+0.0 = +(OSAStreamConcThickenerFeedStream_Mass * OSAStreamConcThickenerFeedStream_Fe)-(CCLASStreamConcThickenerFeedStream_Mass * CCLASStreamConcThickenerFeedStream_Fe));</t>
  </si>
  <si>
    <t>MB_ConcThickenerFeedStream_F</t>
  </si>
  <si>
    <t>MB_ConcThickenerFeedStream_F:(+0.0 = +(OSAStreamConcThickenerFeedStream_Mass * OSAStreamConcThickenerFeedStream_F)-(CCLASStreamConcThickenerFeedStream_Mass * CCLASStreamConcThickenerFeedStream_F));</t>
  </si>
  <si>
    <t>MB_ConcThickenerFeedStream_Cu</t>
  </si>
  <si>
    <t>MB_ConcThickenerFeedStream_Cu:(+0.0 = +(OSAStreamConcThickenerFeedStream_Mass * OSAStreamConcThickenerFeedStream_Cu)-(CCLASStreamConcThickenerFeedStream_Mass * CCLASStreamConcThickenerFeedStream_Cu));</t>
  </si>
  <si>
    <t>MB_ConcThickenerFeedStream_Au</t>
  </si>
  <si>
    <t>MB_ConcThickenerFeedStream_Au:(+0.0 = +(OSAStreamConcThickenerFeedStream_Mass * OSAStreamConcThickenerFeedStream_Au)-(CCLASStreamConcThickenerFeedStream_Mass * CCLASStreamConcThickenerFeedStream_Au));</t>
  </si>
  <si>
    <t>MB_ConcThickenerFeedStream_Ag</t>
  </si>
  <si>
    <t>MB_ConcThickenerFeedStream_Ag:(+0.0 = +(OSAStreamConcThickenerFeedStream_Mass * OSAStreamConcThickenerFeedStream_Ag)-(CCLASStreamConcThickenerFeedStream_Mass * CCLASStreamConcThickenerFeedStream_Ag));</t>
  </si>
  <si>
    <t>MB_ConcThickenerFeedStream_Mass</t>
  </si>
  <si>
    <t>MB_ConcThickenerFeedStream_Mass:(+0.0 = +OSAStreamConcThickenerFeedStream_Mass-CCLASStreamConcThickenerFeedStream_Mass);</t>
  </si>
  <si>
    <t>MB_ConcThickener_Mass</t>
  </si>
  <si>
    <t>MB_ConcThickener_Mass:(ConcThickener_close_Mass - ConcThickener_open_Mass+0.0 = +CCLASStreamConcThickenerFeedStream_Mass+SpillageReturnStream_Mass-ConcThickenerUnderflowStream_Mass);</t>
  </si>
  <si>
    <t>MB_ConcStorageTank2_U</t>
  </si>
  <si>
    <t>MB_ConcStorageTank2_U:((ConcStorageTank2_close_Mass * ConcStorageTank2_close_U) - (ConcStorageTank2_open_Mass * ConcStorageTank2_open_U)+0.0 = +(ConcStorageTank2FeedStream_Mass * ConcStorageTank2FeedStream_U)-(ConcStorageTank2UnderflowStream_Mass * ConcStorageTank2UnderflowStream_U));</t>
  </si>
  <si>
    <t>MB_ConcStorageTank2_S</t>
  </si>
  <si>
    <t>MB_ConcStorageTank2_S:((ConcStorageTank2_close_Mass * ConcStorageTank2_close_S) - (ConcStorageTank2_open_Mass * ConcStorageTank2_open_S)+0.0 = +(ConcStorageTank2FeedStream_Mass * ConcStorageTank2FeedStream_S)-(ConcStorageTank2UnderflowStream_Mass * ConcStorageTank2UnderflowStream_S));</t>
  </si>
  <si>
    <t>MB_ConcStorageTank2_Fe</t>
  </si>
  <si>
    <t>MB_ConcStorageTank2_Fe:((ConcStorageTank2_close_Mass * ConcStorageTank2_close_Fe) - (ConcStorageTank2_open_Mass * ConcStorageTank2_open_Fe)+0.0 = +(ConcStorageTank2FeedStream_Mass * ConcStorageTank2FeedStream_Fe)-(ConcStorageTank2UnderflowStream_Mass * ConcStorageTank2UnderflowStream_Fe));</t>
  </si>
  <si>
    <t>MB_ConcStorageTank2_F</t>
  </si>
  <si>
    <t>MB_ConcStorageTank2_F:((ConcStorageTank2_close_Mass * ConcStorageTank2_close_F) - (ConcStorageTank2_open_Mass * ConcStorageTank2_open_F)+0.0 = +(ConcStorageTank2FeedStream_Mass * ConcStorageTank2FeedStream_F)-(ConcStorageTank2UnderflowStream_Mass * ConcStorageTank2UnderflowStream_F));</t>
  </si>
  <si>
    <t>MB_ConcStorageTank2_Cu</t>
  </si>
  <si>
    <t>MB_ConcStorageTank2_Cu:((ConcStorageTank2_close_Mass * ConcStorageTank2_close_Cu) - (ConcStorageTank2_open_Mass * ConcStorageTank2_open_Cu)+0.0 = +(ConcStorageTank2FeedStream_Mass * ConcStorageTank2FeedStream_Cu)-(ConcStorageTank2UnderflowStream_Mass * ConcStorageTank2UnderflowStream_Cu));</t>
  </si>
  <si>
    <t>MB_ConcStorageTank2_Au</t>
  </si>
  <si>
    <t>MB_ConcStorageTank2_Au:((ConcStorageTank2_close_Mass * ConcStorageTank2_close_Au) - (ConcStorageTank2_open_Mass * ConcStorageTank2_open_Au)+0.0 = +(ConcStorageTank2FeedStream_Mass * ConcStorageTank2FeedStream_Au)-(ConcStorageTank2UnderflowStream_Mass * ConcStorageTank2UnderflowStream_Au));</t>
  </si>
  <si>
    <t>MB_ConcStorageTank2_Ag</t>
  </si>
  <si>
    <t>MB_ConcStorageTank2_Ag:((ConcStorageTank2_close_Mass * ConcStorageTank2_close_Ag) - (ConcStorageTank2_open_Mass * ConcStorageTank2_open_Ag)+0.0 = +(ConcStorageTank2FeedStream_Mass * ConcStorageTank2FeedStream_Ag)-(ConcStorageTank2UnderflowStream_Mass * ConcStorageTank2UnderflowStream_Ag));</t>
  </si>
  <si>
    <t>MB_ConcStorageTank2_Mass</t>
  </si>
  <si>
    <t>MB_ConcStorageTank2_Mass:(ConcStorageTank2_close_Mass - ConcStorageTank2_open_Mass+0.0 = +ConcStorageTank2FeedStream_Mass-ConcStorageTank2UnderflowStream_Mass);</t>
  </si>
  <si>
    <t>MB_ConcStorageTank1_U</t>
  </si>
  <si>
    <t>MB_ConcStorageTank1_U:((ConcStorageTank1_close_Mass * ConcStorageTank1_close_U) - (ConcStorageTank1_open_Mass * ConcStorageTank1_open_U)+0.0 = +(ConcStorageTank1FeedStream_Mass * ConcStorageTank1FeedStream_U)-(ConcStorageTank1UnderflowStream_Mass * ConcStorageTank1UnderflowStream_U));</t>
  </si>
  <si>
    <t>MB_ConcStorageTank1_S</t>
  </si>
  <si>
    <t>MB_ConcStorageTank1_S:((ConcStorageTank1_close_Mass * ConcStorageTank1_close_S) - (ConcStorageTank1_open_Mass * ConcStorageTank1_open_S)+0.0 = +(ConcStorageTank1FeedStream_Mass * ConcStorageTank1FeedStream_S)-(ConcStorageTank1UnderflowStream_Mass * ConcStorageTank1UnderflowStream_S));</t>
  </si>
  <si>
    <t>MB_ConcStorageTank1_Fe</t>
  </si>
  <si>
    <t>MB_ConcStorageTank1_Fe:((ConcStorageTank1_close_Mass * ConcStorageTank1_close_Fe) - (ConcStorageTank1_open_Mass * ConcStorageTank1_open_Fe)+0.0 = +(ConcStorageTank1FeedStream_Mass * ConcStorageTank1FeedStream_Fe)-(ConcStorageTank1UnderflowStream_Mass * ConcStorageTank1UnderflowStream_Fe));</t>
  </si>
  <si>
    <t>MB_ConcStorageTank1_F</t>
  </si>
  <si>
    <t>MB_ConcStorageTank1_F:((ConcStorageTank1_close_Mass * ConcStorageTank1_close_F) - (ConcStorageTank1_open_Mass * ConcStorageTank1_open_F)+0.0 = +(ConcStorageTank1FeedStream_Mass * ConcStorageTank1FeedStream_F)-(ConcStorageTank1UnderflowStream_Mass * ConcStorageTank1UnderflowStream_F));</t>
  </si>
  <si>
    <t>MB_ConcStorageTank1_Cu</t>
  </si>
  <si>
    <t>MB_ConcStorageTank1_Cu:((ConcStorageTank1_close_Mass * ConcStorageTank1_close_Cu) - (ConcStorageTank1_open_Mass * ConcStorageTank1_open_Cu)+0.0 = +(ConcStorageTank1FeedStream_Mass * ConcStorageTank1FeedStream_Cu)-(ConcStorageTank1UnderflowStream_Mass * ConcStorageTank1UnderflowStream_Cu));</t>
  </si>
  <si>
    <t>MB_ConcStorageTank1_Au</t>
  </si>
  <si>
    <t>MB_ConcStorageTank1_Au:((ConcStorageTank1_close_Mass * ConcStorageTank1_close_Au) - (ConcStorageTank1_open_Mass * ConcStorageTank1_open_Au)+0.0 = +(ConcStorageTank1FeedStream_Mass * ConcStorageTank1FeedStream_Au)-(ConcStorageTank1UnderflowStream_Mass * ConcStorageTank1UnderflowStream_Au));</t>
  </si>
  <si>
    <t>MB_ConcStorageTank1_Ag</t>
  </si>
  <si>
    <t>MB_ConcStorageTank1_Ag:((ConcStorageTank1_close_Mass * ConcStorageTank1_close_Ag) - (ConcStorageTank1_open_Mass * ConcStorageTank1_open_Ag)+0.0 = +(ConcStorageTank1FeedStream_Mass * ConcStorageTank1FeedStream_Ag)-(ConcStorageTank1UnderflowStream_Mass * ConcStorageTank1UnderflowStream_Ag));</t>
  </si>
  <si>
    <t>MB_ConcStorageTank1_Mass</t>
  </si>
  <si>
    <t>MB_ConcStorageTank1_Mass:(ConcStorageTank1_close_Mass - ConcStorageTank1_open_Mass+0.0 = +ConcStorageTank1FeedStream_Mass-ConcStorageTank1UnderflowStream_Mass);</t>
  </si>
  <si>
    <t>MB_ConcPressureFilter_U</t>
  </si>
  <si>
    <t>MB_ConcPressureFilter_U:(+0.0 = +(PressureFilterFeedStream_Mass * PressureFilterFeedStream_U)-(PressureFilterUnderflowStream_Mass * PressureFilterUnderflowStream_U));</t>
  </si>
  <si>
    <t>MB_ConcPressureFilter_S</t>
  </si>
  <si>
    <t>MB_ConcPressureFilter_S:(+0.0 = +(PressureFilterFeedStream_Mass * PressureFilterFeedStream_S)-(PressureFilterUnderflowStream_Mass * PressureFilterUnderflowStream_S));</t>
  </si>
  <si>
    <t>MB_ConcPressureFilter_Fe</t>
  </si>
  <si>
    <t>MB_ConcPressureFilter_Fe:(+0.0 = +(PressureFilterFeedStream_Mass * PressureFilterFeedStream_Fe)-(PressureFilterUnderflowStream_Mass * PressureFilterUnderflowStream_Fe));</t>
  </si>
  <si>
    <t>MB_ConcPressureFilter_F</t>
  </si>
  <si>
    <t>MB_ConcPressureFilter_F:(+0.0 = +(PressureFilterFeedStream_Mass * PressureFilterFeedStream_F)-(PressureFilterUnderflowStream_Mass * PressureFilterUnderflowStream_F));</t>
  </si>
  <si>
    <t>MB_ConcPressureFilter_Cu</t>
  </si>
  <si>
    <t>MB_ConcPressureFilter_Cu:(+0.0 = +(PressureFilterFeedStream_Mass * PressureFilterFeedStream_Cu)-(PressureFilterUnderflowStream_Mass * PressureFilterUnderflowStream_Cu));</t>
  </si>
  <si>
    <t>MB_ConcPressureFilter_Au</t>
  </si>
  <si>
    <t>MB_ConcPressureFilter_Au:(+0.0 = +(PressureFilterFeedStream_Mass * PressureFilterFeedStream_Au)-(PressureFilterUnderflowStream_Mass * PressureFilterUnderflowStream_Au));</t>
  </si>
  <si>
    <t>MB_ConcPressureFilter_Ag</t>
  </si>
  <si>
    <t>MB_ConcPressureFilter_Ag:(+0.0 = +(PressureFilterFeedStream_Mass * PressureFilterFeedStream_Ag)-(PressureFilterUnderflowStream_Mass * PressureFilterUnderflowStream_Ag));</t>
  </si>
  <si>
    <t>MB_ConcPressureFilter_Mass</t>
  </si>
  <si>
    <t>MB_ConcPressureFilter_Mass:(+0.0 = +PressureFilterFeedStream_Mass-PressureFilterUnderflowStream_Mass);</t>
  </si>
  <si>
    <t>MB_ConcFilterFeedPump_U</t>
  </si>
  <si>
    <t>MB_ConcFilterFeedPump_U:(+0.0 = +(ConcStorageTank1UnderflowStream_Mass * ConcStorageTank1UnderflowStream_U)+(ConcStorageTank2UnderflowStream_Mass * ConcStorageTank2UnderflowStream_U)-(PressureFilterFeedStream_Mass * PressureFilterFeedStream_U)-(SpillageReturnStream_Mass * SpillageReturnStream_U));</t>
  </si>
  <si>
    <t>MB_ConcFilterFeedPump_S</t>
  </si>
  <si>
    <t>MB_ConcFilterFeedPump_S:(+0.0 = +(ConcStorageTank1UnderflowStream_Mass * ConcStorageTank1UnderflowStream_S)+(ConcStorageTank2UnderflowStream_Mass * ConcStorageTank2UnderflowStream_S)-(PressureFilterFeedStream_Mass * PressureFilterFeedStream_S)-(SpillageReturnStream_Mass * SpillageReturnStream_S));</t>
  </si>
  <si>
    <t>MB_ConcFilterFeedPump_Fe</t>
  </si>
  <si>
    <t>MB_ConcFilterFeedPump_Fe:(+0.0 = +(ConcStorageTank1UnderflowStream_Mass * ConcStorageTank1UnderflowStream_Fe)+(ConcStorageTank2UnderflowStream_Mass * ConcStorageTank2UnderflowStream_Fe)-(PressureFilterFeedStream_Mass * PressureFilterFeedStream_Fe)-(SpillageReturnStream_Mass * SpillageReturnStream_Fe));</t>
  </si>
  <si>
    <t>MB_ConcFilterFeedPump_F</t>
  </si>
  <si>
    <t>MB_ConcFilterFeedPump_F:(+0.0 = +(ConcStorageTank1UnderflowStream_Mass * ConcStorageTank1UnderflowStream_F)+(ConcStorageTank2UnderflowStream_Mass * ConcStorageTank2UnderflowStream_F)-(PressureFilterFeedStream_Mass * PressureFilterFeedStream_F)-(SpillageReturnStream_Mass * SpillageReturnStream_F));</t>
  </si>
  <si>
    <t>MB_ConcFilterFeedPump_Cu</t>
  </si>
  <si>
    <t>MB_ConcFilterFeedPump_Cu:(+0.0 = +(ConcStorageTank1UnderflowStream_Mass * ConcStorageTank1UnderflowStream_Cu)+(ConcStorageTank2UnderflowStream_Mass * ConcStorageTank2UnderflowStream_Cu)-(PressureFilterFeedStream_Mass * PressureFilterFeedStream_Cu)-(SpillageReturnStream_Mass * SpillageReturnStream_Cu));</t>
  </si>
  <si>
    <t>MB_ConcFilterFeedPump_Au</t>
  </si>
  <si>
    <t>MB_ConcFilterFeedPump_Au:(+0.0 = +(ConcStorageTank1UnderflowStream_Mass * ConcStorageTank1UnderflowStream_Au)+(ConcStorageTank2UnderflowStream_Mass * ConcStorageTank2UnderflowStream_Au)-(PressureFilterFeedStream_Mass * PressureFilterFeedStream_Au)-(SpillageReturnStream_Mass * SpillageReturnStream_Au));</t>
  </si>
  <si>
    <t>MB_ConcFilterFeedPump_Ag</t>
  </si>
  <si>
    <t>MB_ConcFilterFeedPump_Ag:(+0.0 = +(ConcStorageTank1UnderflowStream_Mass * ConcStorageTank1UnderflowStream_Ag)+(ConcStorageTank2UnderflowStream_Mass * ConcStorageTank2UnderflowStream_Ag)-(PressureFilterFeedStream_Mass * PressureFilterFeedStream_Ag)-(SpillageReturnStream_Mass * SpillageReturnStream_Ag));</t>
  </si>
  <si>
    <t>MB_ConcFilterFeedPump_Mass</t>
  </si>
  <si>
    <t>MB_ConcFilterFeedPump_Mass:(+0.0 = +ConcStorageTank1UnderflowStream_Mass+ConcStorageTank2UnderflowStream_Mass-PressureFilterFeedStream_Mass-SpillageReturnStream_Mass);</t>
  </si>
  <si>
    <t>Problem</t>
  </si>
  <si>
    <t>Large Nonlinear problem</t>
  </si>
  <si>
    <t>Target</t>
  </si>
  <si>
    <t>Initialize</t>
  </si>
  <si>
    <t>Model Constraints</t>
  </si>
  <si>
    <t>Model Variables and Results</t>
  </si>
  <si>
    <t>Options</t>
  </si>
  <si>
    <t>Objective</t>
  </si>
  <si>
    <t>f1</t>
  </si>
  <si>
    <t>yy1</t>
  </si>
  <si>
    <t>f2</t>
  </si>
  <si>
    <t>xx5</t>
  </si>
  <si>
    <t>f3</t>
  </si>
  <si>
    <t>xx2</t>
  </si>
  <si>
    <t>f4</t>
  </si>
  <si>
    <t>xx4</t>
  </si>
  <si>
    <t>f5</t>
  </si>
  <si>
    <t>xx1</t>
  </si>
  <si>
    <t>f6</t>
  </si>
  <si>
    <t>xx3</t>
  </si>
  <si>
    <t>yy2</t>
  </si>
  <si>
    <t>yy3</t>
  </si>
  <si>
    <t>acid_gas_mass</t>
  </si>
  <si>
    <t>treat_gas_mass</t>
  </si>
  <si>
    <t>abs_btm_mass</t>
  </si>
  <si>
    <t>recycle_mass</t>
  </si>
  <si>
    <t>lean_oil_mass</t>
  </si>
  <si>
    <t>abs_ovhd_mass</t>
  </si>
  <si>
    <t>fat_oil_mass</t>
  </si>
  <si>
    <t>sep_ovhd_mass</t>
  </si>
  <si>
    <t>sour_gas_mass</t>
  </si>
  <si>
    <t>fuel_gas_mass</t>
  </si>
  <si>
    <t>condensate_mass</t>
  </si>
  <si>
    <t>bypass_mass</t>
  </si>
  <si>
    <t>acid_gas_vol</t>
  </si>
  <si>
    <t>treat_gas_vol</t>
  </si>
  <si>
    <t>abs_btm_vol</t>
  </si>
  <si>
    <t>recycle_vol</t>
  </si>
  <si>
    <t>lean_oil_vol</t>
  </si>
  <si>
    <t>abs_ovhd_vol</t>
  </si>
  <si>
    <t>fat_oil_vol</t>
  </si>
  <si>
    <t>sep_ovhd_vol</t>
  </si>
  <si>
    <t>sour_gas_vol</t>
  </si>
  <si>
    <t>fuel_gas_vol</t>
  </si>
  <si>
    <t>condensate_vol</t>
  </si>
  <si>
    <t>bypass_vol</t>
  </si>
  <si>
    <t>acid_gas_dens</t>
  </si>
  <si>
    <t>treat_gas_dens</t>
  </si>
  <si>
    <t>abs_btm_dens</t>
  </si>
  <si>
    <t>recycle_dens</t>
  </si>
  <si>
    <t>lean_oil_dens</t>
  </si>
  <si>
    <t>abs_ovhd_dens</t>
  </si>
  <si>
    <t>fat_oil_dens</t>
  </si>
  <si>
    <t>sep_ovhd_dens</t>
  </si>
  <si>
    <t>sour_gas_dens</t>
  </si>
  <si>
    <t>fuel_gas_dens</t>
  </si>
  <si>
    <t>condensate_dens</t>
  </si>
  <si>
    <t>bypass_dens</t>
  </si>
  <si>
    <t>Mass Constraints</t>
  </si>
  <si>
    <t>CONCTHK21_C: (( CONCTHK21_CLOSE_Q * CONCTHK21_CLOSE_CF + CONCTHK21_PP52_Q * CONCTHK21_PP52_CF + CONCTHK21_PP51_Q * CONCTHK21_PP51_CF) = (CONCTHK21_OPEN_Q * CONCTHK21_OPEN_CF + DI101_CONCTHK21_Q * DI101_CONCTHK21_CF ));</t>
  </si>
  <si>
    <t>CONCTHK21_M: (( CONCTHK21_CLOSE_Q + CONCTHK21_PP51_Q + CONCTHK21_PP52_Q) = (CONCTHK21_OPEN_Q + DI101_CONCTHK21_Q ));</t>
  </si>
  <si>
    <t>CONCTHK21_TOTVOL_W: (( CONCTHK21_TOTVOL_CLOSE_Q) = (CONCTHK21_TOTVOL_OPEN_Q ));</t>
  </si>
  <si>
    <t>CONCTHK21_W: (( CONCTHK21_CLOSE_Q * CONCTHK21_CLOSE_WF + CONCTHK21_PP52_Q * CONCTHK21_PP52_WF + CONCTHK1_OVERFLOW_Q + CONCTHK21_PP51_Q * CONCTHK21_PP51_WF) = (CONCTHK21_OPEN_Q * CONCTHK21_OPEN_WF + DI101_CONCTHK21_Q * DI101_CONCTHK21_WF ));</t>
  </si>
  <si>
    <t>CONCTHK22_C: (( CONCTHK22_CLOSE_Q * CONCTHK22_CLOSE_CF + CONCTHK22_PP53_Q * CONCTHK22_PP53_CF + CONCTHK22_PP54_Q * CONCTHK22_PP54_CF) = (CONCTHK22_OPEN_Q * CONCTHK22_OPEN_CF + DI101_CONCTHK22_Q * DI101_CONCTHK22_CF ));</t>
  </si>
  <si>
    <t>CONCTHK22_M: (( CONCTHK22_CLOSE_Q + CONCTHK22_PP53_Q + CONCTHK22_PP54_Q) = (CONCTHK22_OPEN_Q + DI101_CONCTHK22_Q ));</t>
  </si>
  <si>
    <t>CONCTHK22_TOTVOL_W: (( CONCTHK22_TOTVOL_CLOSE_Q) = (CONCTHK22_TOTVOL_OPEN_Q ));</t>
  </si>
  <si>
    <t>CONCTHK22_W: (( CONCTHK22_CLOSE_Q * CONCTHK22_CLOSE_WF + CONCTHK22_PP53_Q * CONCTHK22_PP53_WF + CONCTHK22_PP54_Q * CONCTHK22_PP54_WF + CONCTHK2_OVERFLOW_Q) = (CONCTHK22_OPEN_Q * CONCTHK22_OPEN_WF + DI101_CONCTHK22_Q * DI101_CONCTHK22_WF ));</t>
  </si>
  <si>
    <t>CONCTHK_H2OREC_W: (( CONCTHK_OVERFLOW_Q) = (CONCTHK1_OVERFLOW_Q + CONCTHK2_OVERFLOW_Q ));</t>
  </si>
  <si>
    <t>DI101E_C: (( DI101_CONCTHK21_Q * DI101_CONCTHK21_CF + DI101_CONCTHK22_Q * DI101_CONCTHK22_CF) = (DI101_TOTAL_Q * DI101_TOTAL_CF ));</t>
  </si>
  <si>
    <t>DI101E_M: (( DI101_CONCTHK22_Q + DI101_CONCTHK21_Q) = (DI101_TOTAL_Q ));</t>
  </si>
  <si>
    <t>DI101E_W: (( DI101_CONCTHK21_Q * DI101_CONCTHK21_WF + DI101_CONCTHK22_Q * DI101_CONCTHK22_WF) = (DI101_TOTAL_Q * DI101_TOTAL_WF ));</t>
  </si>
  <si>
    <t>DI101_C: (( DI101_TOTAL_Q * DI101_TOTAL_CF) = (FINALCONC_Q * FINALCONC_CF + PP54_DI101_Q * PP54_DI101_CF + PP51_DI101_Q * PP51_DI101_CF + PP53_DI101_Q * PP53_DI101_CF + PP52_DI101_Q * PP52_DI101_CF ));</t>
  </si>
  <si>
    <t>DI101_M: (( DI101_TOTAL_Q) = (FINALCONC_Q + PP51_DI101_Q + PP52_DI101_Q + PP53_DI101_Q + PP54_DI101_Q ));</t>
  </si>
  <si>
    <t>DI101_W: (( DI101_TOTAL_Q * DI101_TOTAL_WF) = (FINALCONC_Q * FINALCONC_WF + PP52_DI101_Q * PP52_DI101_WF + PP54_DI101_Q * PP54_DI101_WF + PP53_DI101_Q * PP53_DI101_WF + PP51_DI101_Q * PP51_DI101_WF ));</t>
  </si>
  <si>
    <t>DI104T_C: (( CONCTHK_TK23_Q * CONCTHK_TK23_CF + CONCTHK_TK24_Q * CONCTHK_TK24_CF + CONCTHK_TK25_Q * CONCTHK_TK25_CF + CONCTHK_TK26_Q * CONCTHK_TK26_CF) = (CONCTHK_TKC_Q * CONCTHK_TKC_CF ));</t>
  </si>
  <si>
    <t>DI104T_M: (( CONCTHK_TK24_Q + CONCTHK_TK25_Q + CONCTHK_TK26_Q + CONCTHK_TK23_Q) = (CONCTHK_TKC_Q ));</t>
  </si>
  <si>
    <t>DI104T_W: (( CONCTHK_TK23_Q * CONCTHK_TK23_WF + CONCTHK_TK24_Q * CONCTHK_TK24_WF + CONCTHK_TK26_Q * CONCTHK_TK26_WF + CONCTHK_TK25_Q * CONCTHK_TK25_WF) = (CONCTHK_TKC_Q * CONCTHK_TKC_WF ));</t>
  </si>
  <si>
    <t>DI104_C: (( CONCTHK_TKC_Q * CONCTHK_TKC_CF) = (PP53_DI104_Q * PP53_DI104_CF + PP51_DI104_Q * PP51_DI104_CF + PP52_DI104_Q * PP52_DI104_CF + PP54_DI104_Q * PP54_DI104_CF ));</t>
  </si>
  <si>
    <t>DI104_M: (( CONCTHK_TKC_Q) = (PP52_DI104_Q + PP53_DI104_Q + PP51_DI104_Q + PP54_DI104_Q ));</t>
  </si>
  <si>
    <t>DI104_W: (( CONCTHK_TKC_Q * CONCTHK_TKC_WF) = (PP51_DI104_Q * PP51_DI104_WF + PP53_DI104_Q * PP53_DI104_WF + PP54_DI104_Q * PP54_DI104_WF + PP52_DI104_Q * PP52_DI104_WF ));</t>
  </si>
  <si>
    <t>DI105_C: (( TKC_PIPE_Q * TKC_PIPE_CF) = (TK24_DI105_Q * TK24_DI105_CF + TK25_DI105_Q * TK25_DI105_CF + TK23_DI105_Q * TK23_DI105_CF + TK26_DI105_Q * TK26_DI105_CF ));</t>
  </si>
  <si>
    <t>DI105_M: (( TKC_PIPE_Q) = (TK24_DI105_Q + TK25_DI105_Q + TK26_DI105_Q + TK23_DI105_Q ));</t>
  </si>
  <si>
    <t>DI105_W: (( TKC_PIPE_Q * TKC_PIPE_WF) = (TK23_DI105_Q * TK23_DI105_WF + TK26_DI105_Q * TK26_DI105_WF + TK24_DI105_Q * TK24_DI105_WF + TK25_DI105_Q * TK25_DI105_WF ));</t>
  </si>
  <si>
    <t>DI150_C: (( DI150_TAILTHK6_Q * DI150_TAILTHK6_CF + DI150_TAILTHK7_Q * DI150_TAILTHK7_CF + DI150_TAILTHK8_Q * DI150_TAILTHK8_CF) = (TAILS_Q * TAILS_CF ));</t>
  </si>
  <si>
    <t>DI150_M: (( DI150_TAILTHK6_Q + DI150_TAILTHK7_Q + DI150_TAILTHK8_Q) = (TAILS_Q ));</t>
  </si>
  <si>
    <t>DI150_W: (( DI150_TAILTHK6_Q * DI150_TAILTHK6_WF + DI150_TAILTHK8_Q * DI150_TAILTHK8_WF + DI150_TAILTHK7_Q * DI150_TAILTHK7_WF) = (TAILS_Q * TAILS_WF ));</t>
  </si>
  <si>
    <t>FLOT_C: (( FINALCONC_Q * FINALCONC_CF + TAILS_Q * TAILS_CF) = (ROUFEED_Q * ROUFEED_CF ));</t>
  </si>
  <si>
    <t>FLOT_M: (( FINALCONC_Q + TAILS_Q) = (ROUFEED_Q ));</t>
  </si>
  <si>
    <t>FLOT_W: (( FINALCONC_Q * FINALCONC_WF + TAILS_Q * TAILS_WF) = (H2OSEAL_REM_1_Q + H2OSEAL_REM_2_Q + POOL_REM_1_Q + ROUFEED_Q * ROUFEED_WF + H2OSEAL_DI30_Q + POOL_2CLN_Q + POOL_REM_2_Q + POOL_TK91_Q + POOL_DI30_Q + POOL_2CLNCONC_Q + H2OSEAL_1CLN_Q + POOL_TK42_Q ));</t>
  </si>
  <si>
    <t>H2OFRESH_W: (( H2OFRESH_TK83_Q) = (BOREWATER_Q + RIVERWATER_Q ));</t>
  </si>
  <si>
    <t>MILL_C: (( MILL_MIXER_Q * MILL_MIXER_CF) = (FEED_Q * FEED_CF ));</t>
  </si>
  <si>
    <t>MILL_M: (( MILL_MIXER_Q) = (FEED_Q ));</t>
  </si>
  <si>
    <t>MILL_W: (( MILL_MIXER_Q * MILL_MIXER_WF) = (FEED_Q * FEED_WF + POOL_BC2SUMP_Q + POOL_BC3SUMP_Q + POOL_MB1_Q + POOL_SAG_Q + TK83_MB1_Q + POOL_BC1SUMP_Q + TK83_D25_Q + TK83_MB3_Q + POOL_MB2_Q + TK83_MB2_Q + TK83_D20_Q + POOL_MB3_Q + POOL_M1_Q ));</t>
  </si>
  <si>
    <t>MIXER_C: (( ROUFEED_Q * ROUFEED_CF) = (MILL_MIXER_Q * MILL_MIXER_CF ));</t>
  </si>
  <si>
    <t>MIXER_M: (( ROUFEED_Q) = (MILL_MIXER_Q ));</t>
  </si>
  <si>
    <t>MIXER_W: (( ROUFEED_Q * ROUFEED_WF) = (POOL_MIXER_Q + MILL_MIXER_Q * MILL_MIXER_WF ));</t>
  </si>
  <si>
    <t>PIPELINE_C: (( PIPELINE_CLOSE_Q * PIPELINE_CLOSE_CF + PIPE_TKCLC_Q * PIPE_TKCLC_CF) = (PIPELINE_OPEN_Q * PIPELINE_OPEN_CF + TKC_PIPE_Q * TKC_PIPE_CF ));</t>
  </si>
  <si>
    <t>PIPELINE_M: (( PIPELINE_CLOSE_Q + PIPE_TKCLC_Q) = (PIPELINE_OPEN_Q + TKC_PIPE_Q ));</t>
  </si>
  <si>
    <t>PIPELINE_W: (( PIPELINE_CLOSE_Q * PIPELINE_CLOSE_WF + PIPE_TKCLC_Q * PIPE_TKCLC_WF) = (PIPELINE_OPEN_Q * PIPELINE_OPEN_WF + TKC_PIPE_Q * TKC_PIPE_WF ));</t>
  </si>
  <si>
    <t>PLANT_RO_W: (( RO_POND_Q + RO_TANK_Q) = (PLANTA_RO_FEED_Q ));</t>
  </si>
  <si>
    <t>POOL_H2OPROC_W: (( POOL_2CLN_Q + POOL_BC2SUMP_Q + POOL_BC3SUMP_Q + POOL_REM_1_Q + POOL_SAG_Q + POOL_2CLNCONC_Q + POOL_DI30_Q + POOL_MB2_Q + POOL_MIXER_Q + POOL_TK42_Q + POOL_MB3_Q + POOL_MB1_Q + POOL_BC1SUMP_Q + POOL_TK91_Q + POOL_REM_2_Q + POOL_M1_Q) = (H2OPROCESSTOTAL_Q ));</t>
  </si>
  <si>
    <t>PP51_C: (( PP51_DI101_Q * PP51_DI101_CF + PP51_DI104_Q * PP51_DI104_CF) = (CONCTHK21_PP51_Q * CONCTHK21_PP51_CF ));</t>
  </si>
  <si>
    <t>PP51_M: (( PP51_DI101_Q + PP51_DI104_Q) = (CONCTHK21_PP51_Q ));</t>
  </si>
  <si>
    <t>PP51_W: (( PP51_DI104_Q * PP51_DI104_WF + PP51_DI101_Q * PP51_DI101_WF) = (CONCTHK21_PP51_Q * CONCTHK21_PP51_WF ));</t>
  </si>
  <si>
    <t>PP52_C: (( PP52_DI101_Q * PP52_DI101_CF + PP52_DI104_Q * PP52_DI104_CF) = (CONCTHK21_PP52_Q * CONCTHK21_PP52_CF ));</t>
  </si>
  <si>
    <t>PP52_M: (( PP52_DI101_Q + PP52_DI104_Q) = (CONCTHK21_PP52_Q ));</t>
  </si>
  <si>
    <t>PP52_W: (( PP52_DI101_Q * PP52_DI101_WF + PP52_DI104_Q * PP52_DI104_WF) = (CONCTHK21_PP52_Q * CONCTHK21_PP52_WF ));</t>
  </si>
  <si>
    <t>PP53_C: (( PP53_DI101_Q * PP53_DI101_CF + PP53_DI104_Q * PP53_DI104_CF) = (CONCTHK22_PP53_Q * CONCTHK22_PP53_CF ));</t>
  </si>
  <si>
    <t>PP53_M: (( PP53_DI101_Q + PP53_DI104_Q) = (CONCTHK22_PP53_Q ));</t>
  </si>
  <si>
    <t>PP53_W: (( PP53_DI104_Q * PP53_DI104_WF + PP53_DI101_Q * PP53_DI101_WF) = (CONCTHK22_PP53_Q * CONCTHK22_PP53_WF ));</t>
  </si>
  <si>
    <t>PP54_C: (( PP54_DI101_Q * PP54_DI101_CF + PP54_DI104_Q * PP54_DI104_CF) = (CONCTHK22_PP54_Q * CONCTHK22_PP54_CF ));</t>
  </si>
  <si>
    <t>PP54_M: (( PP54_DI101_Q + PP54_DI104_Q) = (CONCTHK22_PP54_Q ));</t>
  </si>
  <si>
    <t>PP54_W: (( PP54_DI101_Q * PP54_DI101_WF + PP54_DI104_Q * PP54_DI104_WF) = (CONCTHK22_PP54_Q * CONCTHK22_PP54_WF ));</t>
  </si>
  <si>
    <t>TAILTHK6_C: (( TAILTHK6_CLOSE_Q * TAILTHK6_CLOSE_CF + TAILTHK6_UNDERFLOW_Q * TAILTHK6_UNDERFLOW_CF) = (TAILTHK6_OPEN_Q * TAILTHK6_OPEN_CF + DI150_TAILTHK6_Q * DI150_TAILTHK6_CF ));</t>
  </si>
  <si>
    <t>TAILTHK6_M: (( TAILTHK6_CLOSE_Q + TAILTHK6_UNDERFLOW_Q) = (TAILTHK6_OPEN_Q + DI150_TAILTHK6_Q ));</t>
  </si>
  <si>
    <t>TAILTHK6_TOTVOL_W: (( TAILTHK6_TOTVOL_CLOSE_Q) = (TAILTHK6_TOTVOL_OPEN_Q ));</t>
  </si>
  <si>
    <t>TAILTHK6_W: (( TAILTHK6_CLOSE_Q * TAILTHK6_CLOSE_WF + TAILTHK6_OVERFLOW_Q + TAILTHK6_UNDERFLOW_Q * TAILTHK6_UNDERFLOW_WF) = (TAILTHK6_OPEN_Q * TAILTHK6_OPEN_WF + DI150_TAILTHK6_Q * DI150_TAILTHK6_WF ));</t>
  </si>
  <si>
    <t>TAILTHK7_C: (( TAILTHK7_CLOSE_Q * TAILTHK7_CLOSE_CF + TAILTHK7_UNDERFLOW_Q * TAILTHK7_UNDERFLOW_CF) = (TAILTHK7_OPEN_Q * TAILTHK7_OPEN_CF + DI150_TAILTHK7_Q * DI150_TAILTHK7_CF ));</t>
  </si>
  <si>
    <t>TAILTHK7_M: (( TAILTHK7_CLOSE_Q + TAILTHK7_UNDERFLOW_Q) = (TAILTHK7_OPEN_Q + DI150_TAILTHK7_Q ));</t>
  </si>
  <si>
    <t>TAILTHK7_TOTVOL_W: (( TAILTHK7_TOTVOL_CLOSE_Q) = (TAILTHK7_TOTVOL_OPEN_Q ));</t>
  </si>
  <si>
    <t>TAILTHK7_W: (( TAILTHK7_CLOSE_Q * TAILTHK7_CLOSE_WF + TAILTHK7_OVERFLOW_Q + TAILTHK7_UNDERFLOW_Q * TAILTHK7_UNDERFLOW_WF) = (TAILTHK7_OPEN_Q * TAILTHK7_OPEN_WF + DI150_TAILTHK7_Q * DI150_TAILTHK7_WF ));</t>
  </si>
  <si>
    <t>TAILTHK8_C: (( TAILTHK8_CLOSE_Q * TAILTHK8_CLOSE_CF + TAILTHK8_UNDERFLOW_Q * TAILTHK8_UNDERFLOW_CF) = (TAILTHK8_OPEN_Q * TAILTHK8_OPEN_CF + DI150_TAILTHK8_Q * DI150_TAILTHK8_CF ));</t>
  </si>
  <si>
    <t>TAILTHK8_M: (( TAILTHK8_CLOSE_Q + TAILTHK8_UNDERFLOW_Q) = (TAILTHK8_OPEN_Q + DI150_TAILTHK8_Q ));</t>
  </si>
  <si>
    <t>TAILTHK8_TOTVOL_W: (( TAILTHK8_TOTVOL_CLOSE_Q) = (TAILTHK8_TOTVOL_OPEN_Q ));</t>
  </si>
  <si>
    <t>TAILTHK8_W: (( TAILTHK8_CLOSE_Q * TAILTHK8_CLOSE_WF + TAILTHK8_OVERFLOW_Q + TAILTHK8_UNDERFLOW_Q * TAILTHK8_UNDERFLOW_WF) = (TAILTHK8_OPEN_Q * TAILTHK8_OPEN_WF + DI150_TAILTHK8_Q * DI150_TAILTHK8_WF ));</t>
  </si>
  <si>
    <t>TAILTHK_H2OREC_W: (( TAILTHK_OVERFLOW_Q) = (TAILTHK7_OVERFLOW_Q + TAILTHK6_OVERFLOW_Q + TAILTHK8_OVERFLOW_Q ));</t>
  </si>
  <si>
    <t>TANK_W: (( TANK_CLOSE_Q + H2ODISCHARGE_Q + H2OPROCESSTOTAL_Q) = (TANK_OPEN_Q + H2O_RECOVERED_Q + RO_TANK_Q + TK83_TANK_Q ));</t>
  </si>
  <si>
    <t>TK10_W: (( TK10_TK11_Q) = (POND_RECVR_Q ));</t>
  </si>
  <si>
    <t>TK11_W: (( H2O_RECOVERED_Q) = (TK10_TK11_Q + CONCTHK_OVERFLOW_Q + TAILTHK_OVERFLOW_Q ));</t>
  </si>
  <si>
    <t>TK140_C: (( TK140_TK165_Q * TK140_TK165_CF) = (TAILTHK8_UNDERFLOW_Q * TAILTHK8_UNDERFLOW_CF + TAILTHK7_UNDERFLOW_Q * TAILTHK7_UNDERFLOW_CF ));</t>
  </si>
  <si>
    <t>TK140_M: (( TK140_TK165_Q) = (TAILTHK7_UNDERFLOW_Q + TAILTHK8_UNDERFLOW_Q ));</t>
  </si>
  <si>
    <t>TK140_W: (( TK140_TK165_Q * TK140_TK165_WF) = (TAILTHK7_UNDERFLOW_Q * TAILTHK7_UNDERFLOW_WF + TAILTHK8_UNDERFLOW_Q * TAILTHK8_UNDERFLOW_WF ));</t>
  </si>
  <si>
    <t>TK165_C: (( TAILPOND_Q * TAILPOND_CF) = (TAILTHK6_UNDERFLOW_Q * TAILTHK6_UNDERFLOW_CF + TK140_TK165_Q * TK140_TK165_CF ));</t>
  </si>
  <si>
    <t>TK165_M: (( TAILPOND_Q) = (TAILTHK6_UNDERFLOW_Q + TK140_TK165_Q ));</t>
  </si>
  <si>
    <t>TK165_W: (( TAILPOND_Q * TAILPOND_WF) = (TAILTHK6_UNDERFLOW_Q * TAILTHK6_UNDERFLOW_WF + TK140_TK165_Q * TK140_TK165_WF ));</t>
  </si>
  <si>
    <t>TK23_C: (( TK23_CLOSE_Q * TK23_CLOSE_CF + TK23_DI105_Q * TK23_DI105_CF) = (TK23_OPEN_Q * TK23_OPEN_CF + CONCTHK_TK23_Q * CONCTHK_TK23_CF ));</t>
  </si>
  <si>
    <t>TK23_M: (( TK23_CLOSE_Q + TK23_DI105_Q) = (TK23_OPEN_Q + CONCTHK_TK23_Q ));</t>
  </si>
  <si>
    <t>TK23_W: (( TK23_CLOSE_Q * TK23_CLOSE_WF + TK23_DI105_Q * TK23_DI105_WF) = (TK23_OPEN_Q * TK23_OPEN_WF + CONCTHK_TK23_Q * CONCTHK_TK23_WF ));</t>
  </si>
  <si>
    <t>TK24_C: (( TK24_CLOSE_Q * TK24_CLOSE_CF + TK24_DI105_Q * TK24_DI105_CF) = (TK24_OPEN_Q * TK24_OPEN_CF + CONCTHK_TK24_Q * CONCTHK_TK24_CF ));</t>
  </si>
  <si>
    <t>TK24_M: (( TK24_CLOSE_Q + TK24_DI105_Q) = (TK24_OPEN_Q + CONCTHK_TK24_Q ));</t>
  </si>
  <si>
    <t>TK24_W: (( TK24_CLOSE_Q * TK24_CLOSE_WF + TK24_DI105_Q * TK24_DI105_WF) = (TK24_OPEN_Q * TK24_OPEN_WF + CONCTHK_TK24_Q * CONCTHK_TK24_WF ));</t>
  </si>
  <si>
    <t>TK25_C: (( TK25_CLOSE_Q * TK25_CLOSE_CF + TK25_DI105_Q * TK25_DI105_CF) = (TK25_OPEN_Q * TK25_OPEN_CF + CONCTHK_TK25_Q * CONCTHK_TK25_CF ));</t>
  </si>
  <si>
    <t>TK25_M: (( TK25_CLOSE_Q + TK25_DI105_Q) = (TK25_OPEN_Q + CONCTHK_TK25_Q ));</t>
  </si>
  <si>
    <t>TK25_W: (( TK25_CLOSE_Q * TK25_CLOSE_WF + TK25_DI105_Q * TK25_DI105_WF) = (TK25_OPEN_Q * TK25_OPEN_WF + CONCTHK_TK25_Q * CONCTHK_TK25_WF ));</t>
  </si>
  <si>
    <t>TK26_C: (( TK26_CLOSE_Q * TK26_CLOSE_CF + TK26_DI105_Q * TK26_DI105_CF) = (TK26_OPEN_Q * TK26_OPEN_CF + CONCTHK_TK26_Q * CONCTHK_TK26_CF ));</t>
  </si>
  <si>
    <t>TK26_M: (( TK26_CLOSE_Q + TK26_DI105_Q) = (TK26_OPEN_Q + CONCTHK_TK26_Q ));</t>
  </si>
  <si>
    <t>TK26_W: (( TK26_CLOSE_Q * TK26_CLOSE_WF + TK26_DI105_Q * TK26_DI105_WF) = (TK26_OPEN_Q * TK26_OPEN_WF + CONCTHK_TK26_Q * CONCTHK_TK26_WF ));</t>
  </si>
  <si>
    <t>TK83_H2OSEAL_W: (( H2OSEAL_DI30_Q + TK83_D25_Q + TK83_MB2_Q + H2OSEAL_REM_1_Q + TK83_D20_Q + TK83_MB3_Q + TK83_MB1_Q + H2OSEAL_REM_2_Q + H2OSEAL_1CLN_Q) = (H2OSEAL_Q ));</t>
  </si>
  <si>
    <t>TK83_W: (( TK83_CLOSE_Q + TK83_CHIL_Q + H2OSEAL_Q + PLANTA_RO_FEED_Q + TK83_TANK_Q) = (TK83_OPEN_Q + H2OFRESH_TK83_Q ));</t>
  </si>
  <si>
    <t>CONCTHK21_Constant_Volume_866: (( ( CONCTHK21_TOTVOL_CLOSE_Q  )) = (( .239 * CONCTHK21_CLOSE_Q  + CONCTHK21_CLOSE_Q * CONCTHK21_CLOSE_WF ) ));</t>
  </si>
  <si>
    <t>CONCTHK21_splitter_to_PP51_868: (( ( 500 * CONCTHK21_OPEN_CF + 500 * CONCTHK21_CLOSE_CF )) = (( 1000 * CONCTHK21_PP51_CF ) ));</t>
  </si>
  <si>
    <t>CONCTHK21_splitter_to_PP52_869: (( ( 500 * CONCTHK21_CLOSE_CF + 500 * CONCTHK21_OPEN_CF )) = (( 1000 * CONCTHK21_PP52_CF ) ));</t>
  </si>
  <si>
    <t>CONCTHK22_Constant_Volume_867: (( ( CONCTHK22_TOTVOL_CLOSE_Q  )) = (( CONCTHK22_CLOSE_Q * CONCTHK22_CLOSE_WF + .239 * CONCTHK22_CLOSE_Q  ) ));</t>
  </si>
  <si>
    <t>CONCTHK22_splitter_to_PP53_870: (( ( 500 * CONCTHK22_OPEN_CF + 500 * CONCTHK22_CLOSE_CF )) = (( 1000 * CONCTHK22_PP53_CF ) ));</t>
  </si>
  <si>
    <t>CONCTHK22_splitter_to_PP54_871: (( ( 500 * CONCTHK22_CLOSE_CF + 500 * CONCTHK22_OPEN_CF )) = (( 1000 * CONCTHK22_PP54_CF ) ));</t>
  </si>
  <si>
    <t>DI101_CU_Splitter_to_CONCTHK21_859: (( ( 10000 * DI101_CONCTHK21_CF )) = (( 10000 * DI101_TOTAL_CF ) ));</t>
  </si>
  <si>
    <t>DI101_CU_Splitter_to_CONCTHK22_860: (( ( 10000 * DI101_CONCTHK22_CF )) = (( 10000 * DI101_TOTAL_CF ) ));</t>
  </si>
  <si>
    <t>DI101_H2O_Splitter_to_CONCTHK21_861: (( ( 10000 * DI101_CONCTHK21_WF )) = (( 10000 * DI101_TOTAL_WF ) ));</t>
  </si>
  <si>
    <t>DI101_H2O_Splitter_to_CONCTHK22_862: (( ( 10000 * DI101_CONCTHK22_WF )) = (( 10000 * DI101_TOTAL_WF ) ));</t>
  </si>
  <si>
    <t>DI104T_Splitter_to_TK23_888: (( ( 1000 * CONCTHK_TKC_CF )) = (( 1000 * CONCTHK_TK23_CF ) ));</t>
  </si>
  <si>
    <t>DI104T_Splitter_to_TK23_892: (( ( 1000 * CONCTHK_TKC_WF )) = (( 1000 * CONCTHK_TK23_WF ) ));</t>
  </si>
  <si>
    <t>DI104T_Splitter_to_TK24_889: (( ( 1000 * CONCTHK_TKC_CF )) = (( 1000 * CONCTHK_TK24_CF ) ));</t>
  </si>
  <si>
    <t>DI104T_Splitter_to_TK24_893: (( ( 1000 * CONCTHK_TKC_WF )) = (( 1000 * CONCTHK_TK24_WF ) ));</t>
  </si>
  <si>
    <t>DI104T_Splitter_to_TK25_890: (( ( 1000 * CONCTHK_TKC_CF )) = (( 1000 * CONCTHK_TK25_CF ) ));</t>
  </si>
  <si>
    <t>DI104T_Splitter_to_TK25_894: (( ( 1000 * CONCTHK_TKC_WF )) = (( 1000 * CONCTHK_TK25_WF ) ));</t>
  </si>
  <si>
    <t>DI104T_Splitter_to_TK26_891: (( ( 1000 * CONCTHK_TKC_CF )) = (( 1000 * CONCTHK_TK26_CF ) ));</t>
  </si>
  <si>
    <t>DI104T_Splitter_to_TK26_895: (( ( 1000 * CONCTHK_TKC_WF )) = (( 1000 * CONCTHK_TK26_WF ) ));</t>
  </si>
  <si>
    <t>DI150_CU_Splitter_to_TAILTHK6_853: (( ( 10000 * DI150_TAILTHK6_CF )) = (( 10000 * TAILS_CF ) ));</t>
  </si>
  <si>
    <t>DI150_CU_Splitter_to_TAILTHK7_854: (( ( 10000 * DI150_TAILTHK7_CF )) = (( 10000 * TAILS_CF ) ));</t>
  </si>
  <si>
    <t>DI150_CU_Splitter_to_TAILTHK8_855: (( ( 10000 * DI150_TAILTHK8_CF )) = (( 10000 * TAILS_CF ) ));</t>
  </si>
  <si>
    <t>DI150_H2O_Splitter_to_TAILTHK6_856: (( ( 10000 * DI150_TAILTHK6_WF )) = (( 10000 * TAILS_WF ) ));</t>
  </si>
  <si>
    <t>DI150_H2O_Splitter_to_TAILTHK7_857: (( ( 10000 * DI150_TAILTHK7_WF )) = (( 10000 * TAILS_WF ) ));</t>
  </si>
  <si>
    <t>DI150_H2O_Splitter_to_TAILTHK8_858: (( ( 10000 * DI150_TAILTHK8_WF )) = (( 10000 * TAILS_WF ) ));</t>
  </si>
  <si>
    <t>PIPELINE_C_PM: (( ( PIPE_TKCLC_CF )) = (( PIPELINE_CLOSE_CF ) ));</t>
  </si>
  <si>
    <t>PIPELINE_W_PM: (( ( PIPE_TKCLC_WF )) = (( PIPELINE_CLOSE_WF ) ));</t>
  </si>
  <si>
    <t>PP51_Grade_in__Grade_out__avoid_unobservable_result__help_convergence__872: (( ( 1000 * CONCTHK21_PP51_CF )) = (( 1000 * PP51_DI104_CF ) ));</t>
  </si>
  <si>
    <t>PP51_Grade_in__Grade_out__recirculation_pump_no_grade_change__880: (( ( 1000 * CONCTHK21_PP51_CF )) = (( 1000 * PP51_DI101_CF ) ));</t>
  </si>
  <si>
    <t>PP51___Sol_in____Sol_out__avoid_unobservable_result__help_convergence__876: (( ( 1000 * CONCTHK21_PP51_WF )) = (( 1000 * PP51_DI104_WF ) ));</t>
  </si>
  <si>
    <t>PP51___Sol_in____Sol_out__recirculation_pump_no_grade_change__884: (( ( 1000 * CONCTHK21_PP51_WF )) = (( 1000 * PP51_DI101_WF ) ));</t>
  </si>
  <si>
    <t>PP52_Grade_in__Grade_out__avoid_unobservable_result__help_convergence__873: (( ( 1000 * CONCTHK21_PP52_CF )) = (( 1000 * PP52_DI104_CF ) ));</t>
  </si>
  <si>
    <t>PP52_Grade_in__Grade_out__recirculation_pump_no_grade_change__881: (( ( 1000 * CONCTHK21_PP52_CF )) = (( 1000 * PP52_DI101_CF ) ));</t>
  </si>
  <si>
    <t>PP52___Sol_in____Sol_out__avoid_unobservable_result__help_convergence__877: (( ( 1000 * CONCTHK21_PP52_WF )) = (( 1000 * PP52_DI104_WF ) ));</t>
  </si>
  <si>
    <t>PP52___Sol_in____Sol_out__recirculation_pump_no_grade_change__885: (( ( 1000 * CONCTHK21_PP52_WF )) = (( 1000 * PP52_DI101_WF ) ));</t>
  </si>
  <si>
    <t>PP53_Grade_in__Grade_out__avoid_unobservable_result__help_convergence__874: (( ( 1000 * CONCTHK22_PP53_CF )) = (( 1000 * PP53_DI104_CF ) ));</t>
  </si>
  <si>
    <t>PP53_Grade_in__Grade_out__recirculation_pump_no_grade_change__882: (( ( 1000 * CONCTHK22_PP53_CF )) = (( 1000 * PP53_DI101_CF ) ));</t>
  </si>
  <si>
    <t>PP53___Sol_in____Sol_out__avoid_unobservable_result__help_convergence__878: (( ( 1000 * CONCTHK22_PP53_WF )) = (( 1000 * PP53_DI104_WF ) ));</t>
  </si>
  <si>
    <t>PP53___Sol_in____Sol_out__recirculation_pump_no_grade_change__886: (( ( 1000 * CONCTHK22_PP53_WF )) = (( 1000 * PP53_DI101_WF ) ));</t>
  </si>
  <si>
    <t>PP54_Grade_in__Grade_out__avoid_unobservable_result__help_convergence__875: (( ( 1000 * CONCTHK22_PP54_CF )) = (( 1000 * PP54_DI104_CF ) ));</t>
  </si>
  <si>
    <t>PP54_Grade_in__Grade_out__recirculation_pump_no_grade_change__883: (( ( 1000 * CONCTHK22_PP54_CF )) = (( 1000 * PP54_DI101_CF ) ));</t>
  </si>
  <si>
    <t>PP54___Sol_in____Sol_out__avoid_unobservable_result__help_convergence__879: (( ( 1000 * CONCTHK22_PP54_WF )) = (( 1000 * PP54_DI104_WF ) ));</t>
  </si>
  <si>
    <t>PP54___Sol_in____Sol_out__recirculation_pump_no_grade_change__887: (( ( 1000 * CONCTHK22_PP54_WF )) = (( 1000 * PP54_DI101_WF ) ));</t>
  </si>
  <si>
    <t>TAILTHK6_C_PM: (( ( TAILTHK6_UNDERFLOW_CF )) = (( TAILTHK6_CLOSE_CF ) ));</t>
  </si>
  <si>
    <t>TAILTHK6_Constant_Volume_863: (( ( TAILTHK6_TOTVOL_CLOSE_Q  )) = (( TAILTHK6_CLOSE_Q * TAILTHK6_CLOSE_WF + .3645 * TAILTHK6_CLOSE_Q  ) ));</t>
  </si>
  <si>
    <t>TAILTHK7_C_PM: (( ( TAILTHK7_UNDERFLOW_CF )) = (( TAILTHK7_CLOSE_CF ) ));</t>
  </si>
  <si>
    <t>TAILTHK7_Constant_Volume_864: (( ( TAILTHK7_TOTVOL_CLOSE_Q  )) = (( TAILTHK7_CLOSE_Q * TAILTHK7_CLOSE_WF + .3645 * TAILTHK7_CLOSE_Q  ) ));</t>
  </si>
  <si>
    <t>TAILTHK8_C_PM: (( ( TAILTHK8_UNDERFLOW_CF )) = (( TAILTHK8_CLOSE_CF ) ));</t>
  </si>
  <si>
    <t>TAILTHK8_Constant_Volume_865: (( ( TAILTHK8_TOTVOL_CLOSE_Q  )) = (( TAILTHK8_CLOSE_Q * TAILTHK8_CLOSE_WF + .3645 * TAILTHK8_CLOSE_Q  ) ));</t>
  </si>
  <si>
    <t>TK23_C_PM: (( ( TK23_DI105_CF )) = (( TK23_CLOSE_CF ) ));</t>
  </si>
  <si>
    <t>TK23_W_PM: (( ( TK23_DI105_WF )) = (( TK23_CLOSE_WF ) ));</t>
  </si>
  <si>
    <t>TK24_C_PM: (( ( TK24_DI105_CF )) = (( TK24_CLOSE_CF ) ));</t>
  </si>
  <si>
    <t>TK24_W_PM: (( ( TK24_DI105_WF )) = (( TK24_CLOSE_WF ) ));</t>
  </si>
  <si>
    <t>TK25_C_PM: (( ( TK25_DI105_CF )) = (( TK25_CLOSE_CF ) ));</t>
  </si>
  <si>
    <t>TK25_W_PM: (( ( TK25_DI105_WF )) = (( TK25_CLOSE_WF ) ));</t>
  </si>
  <si>
    <t>TK26_C_PM: (( ( TK26_DI105_CF )) = (( TK26_CLOSE_CF ) ));</t>
  </si>
  <si>
    <t>TK26_W_PM: (( ( TK26_DI105_WF )) = (( TK26_CLOSE_WF ) ));</t>
  </si>
  <si>
    <t>/* CONCTHK21_OPEN_CF FIXED */ CONCTHK21_OPEN_CF: $NORMAL (.3918007, 0);</t>
  </si>
  <si>
    <t>/* CONCTHK21_OPEN_Q FIXED */ CONCTHK21_OPEN_Q: $NORMAL (1287.6652647, 0);</t>
  </si>
  <si>
    <t>/* CONCTHK21_OPEN_WF FIXED */ CONCTHK21_OPEN_WF: $NORMAL (3.7107843, 0);</t>
  </si>
  <si>
    <t>/* CONCTHK21_TOTVOL_CLOSE_Q FIXED */ CONCTHK21_TOTVOL_CLOSE_Q: $NORMAL (5086, 0);</t>
  </si>
  <si>
    <t>/* CONCTHK22_OPEN_CF FIXED */ CONCTHK22_OPEN_CF: $NORMAL (.374522, 0);</t>
  </si>
  <si>
    <t>/* CONCTHK22_OPEN_Q FIXED */ CONCTHK22_OPEN_Q: $NORMAL (4700.4379388, 0);</t>
  </si>
  <si>
    <t>/* CONCTHK22_OPEN_WF FIXED */ CONCTHK22_OPEN_WF: $NORMAL (.8430268, 0);</t>
  </si>
  <si>
    <t>/* CONCTHK22_TOTVOL_CLOSE_Q FIXED */ CONCTHK22_TOTVOL_CLOSE_Q: $NORMAL (5086, 0);</t>
  </si>
  <si>
    <t>/* CONCTHK_TK23_Q MEASURED */ CONCTHK_TK23_Q: $NORMAL (0, 0);</t>
  </si>
  <si>
    <t>/* CONCTHK_TK24_Q MEASURED */ CONCTHK_TK24_Q: $NORMAL (0, 0);</t>
  </si>
  <si>
    <t>/* FINALCONC_CF FIXED */ FINALCONC_CF: $NORMAL (.3728893, 0);</t>
  </si>
  <si>
    <t>/* H2ODISCHARGE_Q FIXED */ H2ODISCHARGE_Q: $NORMAL (0, 0);</t>
  </si>
  <si>
    <t>/* PIPELINE_OPEN_CF FIXED */ PIPELINE_OPEN_CF: $NORMAL (.362976, 0);</t>
  </si>
  <si>
    <t>/* PIPELINE_OPEN_Q FIXED */ PIPELINE_OPEN_Q: $NORMAL (700, 0);</t>
  </si>
  <si>
    <t>/* PIPELINE_OPEN_WF FIXED */ PIPELINE_OPEN_WF: $NORMAL (.4538432, 0);</t>
  </si>
  <si>
    <t>/* PLANTA_RO_FEED_Q MEASURED */ PLANTA_RO_FEED_Q: $NORMAL (0, 0);</t>
  </si>
  <si>
    <t>/* POOL_2CLNCONC_Q MEASURED */ POOL_2CLNCONC_Q: $NORMAL (0, 0);</t>
  </si>
  <si>
    <t>/* POOL_BC1SUMP_Q MEASURED */ POOL_BC1SUMP_Q: $NORMAL (0, 0);</t>
  </si>
  <si>
    <t>/* POOL_BC2SUMP_Q MEASURED */ POOL_BC2SUMP_Q: $NORMAL (0, 0);</t>
  </si>
  <si>
    <t>/* POOL_BC3SUMP_Q MEASURED */ POOL_BC3SUMP_Q: $NORMAL (0, 0);</t>
  </si>
  <si>
    <t>/* POOL_REM_2_Q MEASURED */ POOL_REM_2_Q: $NORMAL (0, 0);</t>
  </si>
  <si>
    <t>/* POOL_TK42_Q MEASURED */ POOL_TK42_Q: $NORMAL (0, 0);</t>
  </si>
  <si>
    <t>/* POOL_TK91_Q MEASURED */ POOL_TK91_Q: $NORMAL (0, 0);</t>
  </si>
  <si>
    <t>/* PP51_DI101_Q MEASURED */ PP51_DI101_Q: $NORMAL (0, 0);</t>
  </si>
  <si>
    <t>/* PP51_DI104_Q MEASURED */ PP51_DI104_Q: $NORMAL (0, 0);</t>
  </si>
  <si>
    <t>/* PP52_DI101_Q MEASURED */ PP52_DI101_Q: $NORMAL (0, 0);</t>
  </si>
  <si>
    <t>/* PP52_DI101_WF FIXED */ PP52_DI101_WF: $NORMAL (.4196, 0);</t>
  </si>
  <si>
    <t>/* PP53_DI101_Q MEASURED */ PP53_DI101_Q: $NORMAL (0, 0);</t>
  </si>
  <si>
    <t>/* PP53_DI101_WF FIXED */ PP53_DI101_WF: $NORMAL (.4396, 0);</t>
  </si>
  <si>
    <t>/* PP54_DI101_Q MEASURED */ PP54_DI101_Q: $NORMAL (0, 0);</t>
  </si>
  <si>
    <t>/* PP54_DI101_WF FIXED */ PP54_DI101_WF: $NORMAL (.5202, 0);</t>
  </si>
  <si>
    <t>/* PP54_DI104_Q MEASURED */ PP54_DI104_Q: $NORMAL (0, 0);</t>
  </si>
  <si>
    <t>/* PP54_DI104_WF FIXED */ PP54_DI104_WF: $NORMAL (.5202, 0);</t>
  </si>
  <si>
    <t>/* ROUFEED_CF FIXED */ ROUFEED_CF: $NORMAL (.0188987, 0);</t>
  </si>
  <si>
    <t>/* RO_TANK_Q MEASURED */ RO_TANK_Q: $NORMAL (0, 0);</t>
  </si>
  <si>
    <t>/* TAILS_CF FIXED */ TAILS_CF: $NORMAL (.0030995, 0);</t>
  </si>
  <si>
    <t>/* TAILTHK6_OPEN_CF FIXED */ TAILTHK6_OPEN_CF: $NORMAL (.0024787, 0);</t>
  </si>
  <si>
    <t>/* TAILTHK6_OPEN_Q FIXED */ TAILTHK6_OPEN_Q: $NORMAL (15162.2409989, 0);</t>
  </si>
  <si>
    <t>/* TAILTHK6_OPEN_WF FIXED */ TAILTHK6_OPEN_WF: $NORMAL (5.5245561, 0);</t>
  </si>
  <si>
    <t>/* TAILTHK6_TOTVOL_CLOSE_Q FIXED */ TAILTHK6_TOTVOL_CLOSE_Q: $NORMAL (89291.28767, 0);</t>
  </si>
  <si>
    <t>/* TAILTHK7_OPEN_CF FIXED */ TAILTHK7_OPEN_CF: $NORMAL (.0024872, 0);</t>
  </si>
  <si>
    <t>/* TAILTHK7_OPEN_Q FIXED */ TAILTHK7_OPEN_Q: $NORMAL (11711.9118354, 0);</t>
  </si>
  <si>
    <t>/* TAILTHK7_OPEN_WF FIXED */ TAILTHK7_OPEN_WF: $NORMAL (7.259472, 0);</t>
  </si>
  <si>
    <t>/* TAILTHK7_TOTVOL_CLOSE_Q FIXED */ TAILTHK7_TOTVOL_CLOSE_Q: $NORMAL (89291.28767, 0);</t>
  </si>
  <si>
    <t>/* TAILTHK8_OPEN_CF FIXED */ TAILTHK8_OPEN_CF: $NORMAL (.002401, 0);</t>
  </si>
  <si>
    <t>/* TAILTHK8_OPEN_Q FIXED */ TAILTHK8_OPEN_Q: $NORMAL (10768.248811, 0);</t>
  </si>
  <si>
    <t>/* TAILTHK8_OPEN_WF FIXED */ TAILTHK8_OPEN_WF: $NORMAL (7.9275899, 0);</t>
  </si>
  <si>
    <t>/* TAILTHK8_TOTVOL_CLOSE_Q FIXED */ TAILTHK8_TOTVOL_CLOSE_Q: $NORMAL (89291.28767, 0);</t>
  </si>
  <si>
    <t>/* TANK_OPEN_Q FIXED */ TANK_OPEN_Q: $NORMAL (56675.0827968, 0);</t>
  </si>
  <si>
    <t>/* TK23_CLOSE_Q MEASURED */ TK23_CLOSE_Q: $NORMAL (0, 0);</t>
  </si>
  <si>
    <t>/* TK23_CLOSE_WF MEASURED */ TK23_CLOSE_WF: $NORMAL (.5392, .05392);</t>
  </si>
  <si>
    <t>/* TK23_DI105_CF MEASURED */ TK23_DI105_CF: $NORMAL (.3216, .03216);</t>
  </si>
  <si>
    <t>/* TK23_DI105_Q MEASURED */ TK23_DI105_Q: $NORMAL (0, 0);</t>
  </si>
  <si>
    <t>/* TK23_OPEN_CF FIXED */ TK23_OPEN_CF: $NORMAL (.3216, 0);</t>
  </si>
  <si>
    <t>/* TK23_OPEN_Q FIXED */ TK23_OPEN_Q: $NORMAL (0, 0);</t>
  </si>
  <si>
    <t>/* TK23_OPEN_WF FIXED */ TK23_OPEN_WF: $NORMAL (.5392, 0);</t>
  </si>
  <si>
    <t>/* TK24_CLOSE_Q MEASURED */ TK24_CLOSE_Q: $NORMAL (0, 0);</t>
  </si>
  <si>
    <t>/* TK24_CLOSE_WF MEASURED */ TK24_CLOSE_WF: $NORMAL (.5106, .05106);</t>
  </si>
  <si>
    <t>/* TK24_DI105_Q MEASURED */ TK24_DI105_Q: $NORMAL (0, 0);</t>
  </si>
  <si>
    <t>/* TK24_OPEN_CF FIXED */ TK24_OPEN_CF: $NORMAL (.3048926, 0);</t>
  </si>
  <si>
    <t>/* TK24_OPEN_Q FIXED */ TK24_OPEN_Q: $NORMAL (0, 0);</t>
  </si>
  <si>
    <t>/* TK24_OPEN_WF FIXED */ TK24_OPEN_WF: $NORMAL (.5106, 0);</t>
  </si>
  <si>
    <t>/* TK25_OPEN_CF FIXED */ TK25_OPEN_CF: $NORMAL (.3726559, 0);</t>
  </si>
  <si>
    <t>/* TK25_OPEN_Q FIXED */ TK25_OPEN_Q: $NORMAL (2662.5930513, 0);</t>
  </si>
  <si>
    <t>/* TK25_OPEN_WF FIXED */ TK25_OPEN_WF: $NORMAL (.4571559, 0);</t>
  </si>
  <si>
    <t>/* TK26_DI105_Q MEASURED */ TK26_DI105_Q: $NORMAL (0, 0);</t>
  </si>
  <si>
    <t>/* TK26_OPEN_CF FIXED */ TK26_OPEN_CF: $NORMAL (.367515, 0);</t>
  </si>
  <si>
    <t>/* TK26_OPEN_Q FIXED */ TK26_OPEN_Q: $NORMAL (1370.4528453, 0);</t>
  </si>
  <si>
    <t>/* TK26_OPEN_WF FIXED */ TK26_OPEN_WF: $NORMAL (.4493876, 0);</t>
  </si>
  <si>
    <t>/* TK83_OPEN_Q FIXED */ TK83_OPEN_Q: $NORMAL (2453.5346379, 0);</t>
  </si>
  <si>
    <t>CONCTHK21_C</t>
  </si>
  <si>
    <t>CONCTHK21_M</t>
  </si>
  <si>
    <t>CONCTHK21_TOTVOL_W</t>
  </si>
  <si>
    <t>CONCTHK21_W</t>
  </si>
  <si>
    <t>CONCTHK22_C</t>
  </si>
  <si>
    <t>CONCTHK22_M</t>
  </si>
  <si>
    <t>CONCTHK22_TOTVOL_W</t>
  </si>
  <si>
    <t>CONCTHK22_W</t>
  </si>
  <si>
    <t>CONCTHK_H2OREC_W</t>
  </si>
  <si>
    <t>DI101E_C</t>
  </si>
  <si>
    <t>DI101E_M</t>
  </si>
  <si>
    <t>DI101E_W</t>
  </si>
  <si>
    <t>DI101_C</t>
  </si>
  <si>
    <t>DI101_M</t>
  </si>
  <si>
    <t>DI101_W</t>
  </si>
  <si>
    <t>DI104T_C</t>
  </si>
  <si>
    <t>DI104T_M</t>
  </si>
  <si>
    <t>DI104T_W</t>
  </si>
  <si>
    <t>DI104_C</t>
  </si>
  <si>
    <t>DI104_M</t>
  </si>
  <si>
    <t>DI104_W</t>
  </si>
  <si>
    <t>DI105_C</t>
  </si>
  <si>
    <t>DI105_M</t>
  </si>
  <si>
    <t>DI105_W</t>
  </si>
  <si>
    <t>DI150_C</t>
  </si>
  <si>
    <t>DI150_M</t>
  </si>
  <si>
    <t>DI150_W</t>
  </si>
  <si>
    <t>FLOT_C</t>
  </si>
  <si>
    <t>FLOT_M</t>
  </si>
  <si>
    <t>FLOT_W</t>
  </si>
  <si>
    <t>H2OFRESH_W</t>
  </si>
  <si>
    <t>MILL_C</t>
  </si>
  <si>
    <t>MILL_M</t>
  </si>
  <si>
    <t>MILL_W</t>
  </si>
  <si>
    <t>MIXER_C</t>
  </si>
  <si>
    <t>MIXER_M</t>
  </si>
  <si>
    <t>MIXER_W</t>
  </si>
  <si>
    <t>PIPELINE_C</t>
  </si>
  <si>
    <t>PIPELINE_M</t>
  </si>
  <si>
    <t>PIPELINE_W</t>
  </si>
  <si>
    <t>PLANT_RO_W</t>
  </si>
  <si>
    <t>POOL_H2OPROC_W</t>
  </si>
  <si>
    <t>PP51_C</t>
  </si>
  <si>
    <t>PP51_M</t>
  </si>
  <si>
    <t>PP51_W</t>
  </si>
  <si>
    <t>PP52_C</t>
  </si>
  <si>
    <t>PP52_M</t>
  </si>
  <si>
    <t>PP52_W</t>
  </si>
  <si>
    <t>PP53_C</t>
  </si>
  <si>
    <t>PP53_M</t>
  </si>
  <si>
    <t>PP53_W</t>
  </si>
  <si>
    <t>PP54_C</t>
  </si>
  <si>
    <t>PP54_M</t>
  </si>
  <si>
    <t>PP54_W</t>
  </si>
  <si>
    <t>TAILTHK6_C</t>
  </si>
  <si>
    <t>TAILTHK6_M</t>
  </si>
  <si>
    <t>TAILTHK6_TOTVOL_W</t>
  </si>
  <si>
    <t>TAILTHK6_W</t>
  </si>
  <si>
    <t>TAILTHK7_C</t>
  </si>
  <si>
    <t>TAILTHK7_M</t>
  </si>
  <si>
    <t>TAILTHK7_TOTVOL_W</t>
  </si>
  <si>
    <t>TAILTHK7_W</t>
  </si>
  <si>
    <t>TAILTHK8_C</t>
  </si>
  <si>
    <t>TAILTHK8_M</t>
  </si>
  <si>
    <t>TAILTHK8_TOTVOL_W</t>
  </si>
  <si>
    <t>TAILTHK8_W</t>
  </si>
  <si>
    <t>TAILTHK_H2OREC_W</t>
  </si>
  <si>
    <t>TANK_W</t>
  </si>
  <si>
    <t>TK10_W</t>
  </si>
  <si>
    <t>TK11_W</t>
  </si>
  <si>
    <t>TK140_C</t>
  </si>
  <si>
    <t>TK140_M</t>
  </si>
  <si>
    <t>TK140_W</t>
  </si>
  <si>
    <t>TK165_C</t>
  </si>
  <si>
    <t>TK165_M</t>
  </si>
  <si>
    <t>TK165_W</t>
  </si>
  <si>
    <t>TK23_C</t>
  </si>
  <si>
    <t>TK23_M</t>
  </si>
  <si>
    <t>TK23_W</t>
  </si>
  <si>
    <t>TK24_C</t>
  </si>
  <si>
    <t>TK24_M</t>
  </si>
  <si>
    <t>TK24_W</t>
  </si>
  <si>
    <t>TK25_C</t>
  </si>
  <si>
    <t>TK25_M</t>
  </si>
  <si>
    <t>TK25_W</t>
  </si>
  <si>
    <t>TK26_C</t>
  </si>
  <si>
    <t>TK26_M</t>
  </si>
  <si>
    <t>TK26_W</t>
  </si>
  <si>
    <t>TK83_H2OSEAL_W</t>
  </si>
  <si>
    <t>TK83_W</t>
  </si>
  <si>
    <t>CONCTHK21_Constant_Volume_866</t>
  </si>
  <si>
    <t>CONCTHK21_splitter_to_PP51_868</t>
  </si>
  <si>
    <t>CONCTHK21_splitter_to_PP52_869</t>
  </si>
  <si>
    <t>CONCTHK22_Constant_Volume_867</t>
  </si>
  <si>
    <t>CONCTHK22_splitter_to_PP53_870</t>
  </si>
  <si>
    <t>CONCTHK22_splitter_to_PP54_871</t>
  </si>
  <si>
    <t>DI101_CU_Splitter_to_CONCTHK21_859</t>
  </si>
  <si>
    <t>DI101_CU_Splitter_to_CONCTHK22_860</t>
  </si>
  <si>
    <t>DI101_H2O_Splitter_to_CONCTHK21_861</t>
  </si>
  <si>
    <t>DI101_H2O_Splitter_to_CONCTHK22_862</t>
  </si>
  <si>
    <t>DI104T_Splitter_to_TK23_888</t>
  </si>
  <si>
    <t>DI104T_Splitter_to_TK23_892</t>
  </si>
  <si>
    <t>DI104T_Splitter_to_TK24_889</t>
  </si>
  <si>
    <t>DI104T_Splitter_to_TK24_893</t>
  </si>
  <si>
    <t>DI104T_Splitter_to_TK25_890</t>
  </si>
  <si>
    <t>DI104T_Splitter_to_TK25_894</t>
  </si>
  <si>
    <t>DI104T_Splitter_to_TK26_891</t>
  </si>
  <si>
    <t>DI104T_Splitter_to_TK26_895</t>
  </si>
  <si>
    <t>DI150_CU_Splitter_to_TAILTHK6_853</t>
  </si>
  <si>
    <t>DI150_CU_Splitter_to_TAILTHK7_854</t>
  </si>
  <si>
    <t>DI150_CU_Splitter_to_TAILTHK8_855</t>
  </si>
  <si>
    <t>DI150_H2O_Splitter_to_TAILTHK6_856</t>
  </si>
  <si>
    <t>DI150_H2O_Splitter_to_TAILTHK7_857</t>
  </si>
  <si>
    <t>DI150_H2O_Splitter_to_TAILTHK8_858</t>
  </si>
  <si>
    <t>PIPELINE_C_PM</t>
  </si>
  <si>
    <t>PIPELINE_W_PM</t>
  </si>
  <si>
    <t>PP51_Grade_in__Grade_out__avoid_unobservable_result__help_convergence__872</t>
  </si>
  <si>
    <t>PP51_Grade_in__Grade_out__recirculation_pump_no_grade_change__880</t>
  </si>
  <si>
    <t>PP51___Sol_in____Sol_out__avoid_unobservable_result__help_convergence__876</t>
  </si>
  <si>
    <t>PP51___Sol_in____Sol_out__recirculation_pump_no_grade_change__884</t>
  </si>
  <si>
    <t>PP52_Grade_in__Grade_out__avoid_unobservable_result__help_convergence__873</t>
  </si>
  <si>
    <t>PP52_Grade_in__Grade_out__recirculation_pump_no_grade_change__881</t>
  </si>
  <si>
    <t>PP52___Sol_in____Sol_out__avoid_unobservable_result__help_convergence__877</t>
  </si>
  <si>
    <t>PP52___Sol_in____Sol_out__recirculation_pump_no_grade_change__885</t>
  </si>
  <si>
    <t>PP53_Grade_in__Grade_out__avoid_unobservable_result__help_convergence__874</t>
  </si>
  <si>
    <t>PP53_Grade_in__Grade_out__recirculation_pump_no_grade_change__882</t>
  </si>
  <si>
    <t>PP53___Sol_in____Sol_out__avoid_unobservable_result__help_convergence__878</t>
  </si>
  <si>
    <t>PP53___Sol_in____Sol_out__recirculation_pump_no_grade_change__886</t>
  </si>
  <si>
    <t>PP54_Grade_in__Grade_out__avoid_unobservable_result__help_convergence__875</t>
  </si>
  <si>
    <t>PP54_Grade_in__Grade_out__recirculation_pump_no_grade_change__883</t>
  </si>
  <si>
    <t>PP54___Sol_in____Sol_out__avoid_unobservable_result__help_convergence__879</t>
  </si>
  <si>
    <t>PP54___Sol_in____Sol_out__recirculation_pump_no_grade_change__887</t>
  </si>
  <si>
    <t>TAILTHK6_C_PM</t>
  </si>
  <si>
    <t>TAILTHK6_Constant_Volume_863</t>
  </si>
  <si>
    <t>TAILTHK7_C_PM</t>
  </si>
  <si>
    <t>TAILTHK7_Constant_Volume_864</t>
  </si>
  <si>
    <t>TAILTHK8_C_PM</t>
  </si>
  <si>
    <t>TAILTHK8_Constant_Volume_865</t>
  </si>
  <si>
    <t>TK23_C_PM</t>
  </si>
  <si>
    <t>TK23_W_PM</t>
  </si>
  <si>
    <t>TK24_C_PM</t>
  </si>
  <si>
    <t>TK24_W_PM</t>
  </si>
  <si>
    <t>TK25_C_PM</t>
  </si>
  <si>
    <t>TK25_W_PM</t>
  </si>
  <si>
    <t>TK26_C_PM</t>
  </si>
  <si>
    <t>TK26_W_PM</t>
  </si>
  <si>
    <t xml:space="preserve">=(( CONCTHK21_CLOSE_Q * CONCTHK21_CLOSE_CF + CONCTHK21_PP52_Q * CONCTHK21_PP52_CF + CONCTHK21_PP51_Q * CONCTHK21_PP51_CF) </t>
  </si>
  <si>
    <t xml:space="preserve">=(( CONCTHK21_CLOSE_Q + CONCTHK21_PP51_Q + CONCTHK21_PP52_Q) </t>
  </si>
  <si>
    <t xml:space="preserve">=(( CONCTHK21_TOTVOL_CLOSE_Q) </t>
  </si>
  <si>
    <t xml:space="preserve">=(( CONCTHK21_CLOSE_Q * CONCTHK21_CLOSE_WF + CONCTHK21_PP52_Q * CONCTHK21_PP52_WF + CONCTHK1_OVERFLOW_Q + CONCTHK21_PP51_Q * CONCTHK21_PP51_WF) </t>
  </si>
  <si>
    <t xml:space="preserve">=(( CONCTHK22_CLOSE_Q * CONCTHK22_CLOSE_CF + CONCTHK22_PP53_Q * CONCTHK22_PP53_CF + CONCTHK22_PP54_Q * CONCTHK22_PP54_CF) </t>
  </si>
  <si>
    <t xml:space="preserve">=(( CONCTHK22_CLOSE_Q + CONCTHK22_PP53_Q + CONCTHK22_PP54_Q) </t>
  </si>
  <si>
    <t xml:space="preserve">=(( CONCTHK22_TOTVOL_CLOSE_Q) </t>
  </si>
  <si>
    <t xml:space="preserve">=(( CONCTHK22_CLOSE_Q * CONCTHK22_CLOSE_WF + CONCTHK22_PP53_Q * CONCTHK22_PP53_WF + CONCTHK22_PP54_Q * CONCTHK22_PP54_WF + CONCTHK2_OVERFLOW_Q) </t>
  </si>
  <si>
    <t xml:space="preserve">=(( CONCTHK_OVERFLOW_Q) </t>
  </si>
  <si>
    <t xml:space="preserve">=(( DI101_CONCTHK21_Q * DI101_CONCTHK21_CF + DI101_CONCTHK22_Q * DI101_CONCTHK22_CF) </t>
  </si>
  <si>
    <t xml:space="preserve">=(( DI101_CONCTHK22_Q + DI101_CONCTHK21_Q) </t>
  </si>
  <si>
    <t xml:space="preserve">=(( DI101_CONCTHK21_Q * DI101_CONCTHK21_WF + DI101_CONCTHK22_Q * DI101_CONCTHK22_WF) </t>
  </si>
  <si>
    <t xml:space="preserve">=(( DI101_TOTAL_Q * DI101_TOTAL_CF) </t>
  </si>
  <si>
    <t xml:space="preserve">=(( DI101_TOTAL_Q) </t>
  </si>
  <si>
    <t xml:space="preserve">=(( DI101_TOTAL_Q * DI101_TOTAL_WF) </t>
  </si>
  <si>
    <t xml:space="preserve">=(( CONCTHK_TK23_Q * CONCTHK_TK23_CF + CONCTHK_TK24_Q * CONCTHK_TK24_CF + CONCTHK_TK25_Q * CONCTHK_TK25_CF + CONCTHK_TK26_Q * CONCTHK_TK26_CF) </t>
  </si>
  <si>
    <t xml:space="preserve">=(( CONCTHK_TK24_Q + CONCTHK_TK25_Q + CONCTHK_TK26_Q + CONCTHK_TK23_Q) </t>
  </si>
  <si>
    <t xml:space="preserve">=(( CONCTHK_TK23_Q * CONCTHK_TK23_WF + CONCTHK_TK24_Q * CONCTHK_TK24_WF + CONCTHK_TK26_Q * CONCTHK_TK26_WF + CONCTHK_TK25_Q * CONCTHK_TK25_WF) </t>
  </si>
  <si>
    <t xml:space="preserve">=(( CONCTHK_TKC_Q * CONCTHK_TKC_CF) </t>
  </si>
  <si>
    <t xml:space="preserve">=(( CONCTHK_TKC_Q) </t>
  </si>
  <si>
    <t xml:space="preserve">=(( CONCTHK_TKC_Q * CONCTHK_TKC_WF) </t>
  </si>
  <si>
    <t xml:space="preserve">=(( TKC_PIPE_Q * TKC_PIPE_CF) </t>
  </si>
  <si>
    <t xml:space="preserve">=(( TKC_PIPE_Q) </t>
  </si>
  <si>
    <t xml:space="preserve">=(( TKC_PIPE_Q * TKC_PIPE_WF) </t>
  </si>
  <si>
    <t xml:space="preserve">=(( DI150_TAILTHK6_Q * DI150_TAILTHK6_CF + DI150_TAILTHK7_Q * DI150_TAILTHK7_CF + DI150_TAILTHK8_Q * DI150_TAILTHK8_CF) </t>
  </si>
  <si>
    <t xml:space="preserve">=(( DI150_TAILTHK6_Q + DI150_TAILTHK7_Q + DI150_TAILTHK8_Q) </t>
  </si>
  <si>
    <t xml:space="preserve">=(( DI150_TAILTHK6_Q * DI150_TAILTHK6_WF + DI150_TAILTHK8_Q * DI150_TAILTHK8_WF + DI150_TAILTHK7_Q * DI150_TAILTHK7_WF) </t>
  </si>
  <si>
    <t xml:space="preserve">=(( FINALCONC_Q * FINALCONC_CF + TAILS_Q * TAILS_CF) </t>
  </si>
  <si>
    <t xml:space="preserve">=(( FINALCONC_Q + TAILS_Q) </t>
  </si>
  <si>
    <t xml:space="preserve">=(( FINALCONC_Q * FINALCONC_WF + TAILS_Q * TAILS_WF) </t>
  </si>
  <si>
    <t xml:space="preserve">=(( H2OFRESH_TK83_Q) </t>
  </si>
  <si>
    <t xml:space="preserve">=(( MILL_MIXER_Q * MILL_MIXER_CF) </t>
  </si>
  <si>
    <t xml:space="preserve">=(( MILL_MIXER_Q) </t>
  </si>
  <si>
    <t xml:space="preserve">=(( MILL_MIXER_Q * MILL_MIXER_WF) </t>
  </si>
  <si>
    <t xml:space="preserve">=(( ROUFEED_Q * ROUFEED_CF) </t>
  </si>
  <si>
    <t xml:space="preserve">=(( ROUFEED_Q) </t>
  </si>
  <si>
    <t xml:space="preserve">=(( ROUFEED_Q * ROUFEED_WF) </t>
  </si>
  <si>
    <t xml:space="preserve">=(( PIPELINE_CLOSE_Q * PIPELINE_CLOSE_CF + PIPE_TKCLC_Q * PIPE_TKCLC_CF) </t>
  </si>
  <si>
    <t xml:space="preserve">=(( PIPELINE_CLOSE_Q + PIPE_TKCLC_Q) </t>
  </si>
  <si>
    <t xml:space="preserve">=(( PIPELINE_CLOSE_Q * PIPELINE_CLOSE_WF + PIPE_TKCLC_Q * PIPE_TKCLC_WF) </t>
  </si>
  <si>
    <t xml:space="preserve">=(( RO_POND_Q + RO_TANK_Q) </t>
  </si>
  <si>
    <t xml:space="preserve">=(( POOL_2CLN_Q + POOL_BC2SUMP_Q + POOL_BC3SUMP_Q + POOL_REM_1_Q + POOL_SAG_Q + POOL_2CLNCONC_Q + POOL_DI30_Q + POOL_MB2_Q + POOL_MIXER_Q + POOL_TK42_Q + POOL_MB3_Q + POOL_MB1_Q + POOL_BC1SUMP_Q + POOL_TK91_Q + POOL_REM_2_Q + POOL_M1_Q) </t>
  </si>
  <si>
    <t xml:space="preserve">=(( PP51_DI101_Q * PP51_DI101_CF + PP51_DI104_Q * PP51_DI104_CF) </t>
  </si>
  <si>
    <t xml:space="preserve">=(( PP51_DI101_Q + PP51_DI104_Q) </t>
  </si>
  <si>
    <t xml:space="preserve">=(( PP51_DI104_Q * PP51_DI104_WF + PP51_DI101_Q * PP51_DI101_WF) </t>
  </si>
  <si>
    <t xml:space="preserve">=(( PP52_DI101_Q * PP52_DI101_CF + PP52_DI104_Q * PP52_DI104_CF) </t>
  </si>
  <si>
    <t xml:space="preserve">=(( PP52_DI101_Q + PP52_DI104_Q) </t>
  </si>
  <si>
    <t xml:space="preserve">=(( PP52_DI101_Q * PP52_DI101_WF + PP52_DI104_Q * PP52_DI104_WF) </t>
  </si>
  <si>
    <t xml:space="preserve">=(( PP53_DI101_Q * PP53_DI101_CF + PP53_DI104_Q * PP53_DI104_CF) </t>
  </si>
  <si>
    <t xml:space="preserve">=(( PP53_DI101_Q + PP53_DI104_Q) </t>
  </si>
  <si>
    <t xml:space="preserve">=(( PP53_DI104_Q * PP53_DI104_WF + PP53_DI101_Q * PP53_DI101_WF) </t>
  </si>
  <si>
    <t xml:space="preserve">=(( PP54_DI101_Q * PP54_DI101_CF + PP54_DI104_Q * PP54_DI104_CF) </t>
  </si>
  <si>
    <t xml:space="preserve">=(( PP54_DI101_Q + PP54_DI104_Q) </t>
  </si>
  <si>
    <t xml:space="preserve">=(( PP54_DI101_Q * PP54_DI101_WF + PP54_DI104_Q * PP54_DI104_WF) </t>
  </si>
  <si>
    <t xml:space="preserve">=(( TAILTHK6_CLOSE_Q * TAILTHK6_CLOSE_CF + TAILTHK6_UNDERFLOW_Q * TAILTHK6_UNDERFLOW_CF) </t>
  </si>
  <si>
    <t xml:space="preserve">=(( TAILTHK6_CLOSE_Q + TAILTHK6_UNDERFLOW_Q) </t>
  </si>
  <si>
    <t xml:space="preserve">=(( TAILTHK6_TOTVOL_CLOSE_Q) </t>
  </si>
  <si>
    <t xml:space="preserve">=(( TAILTHK6_CLOSE_Q * TAILTHK6_CLOSE_WF + TAILTHK6_OVERFLOW_Q + TAILTHK6_UNDERFLOW_Q * TAILTHK6_UNDERFLOW_WF) </t>
  </si>
  <si>
    <t xml:space="preserve">=(( TAILTHK7_CLOSE_Q * TAILTHK7_CLOSE_CF + TAILTHK7_UNDERFLOW_Q * TAILTHK7_UNDERFLOW_CF) </t>
  </si>
  <si>
    <t xml:space="preserve">=(( TAILTHK7_CLOSE_Q + TAILTHK7_UNDERFLOW_Q) </t>
  </si>
  <si>
    <t xml:space="preserve">=(( TAILTHK7_TOTVOL_CLOSE_Q) </t>
  </si>
  <si>
    <t xml:space="preserve">=(( TAILTHK7_CLOSE_Q * TAILTHK7_CLOSE_WF + TAILTHK7_OVERFLOW_Q + TAILTHK7_UNDERFLOW_Q * TAILTHK7_UNDERFLOW_WF) </t>
  </si>
  <si>
    <t xml:space="preserve">=(( TAILTHK8_CLOSE_Q * TAILTHK8_CLOSE_CF + TAILTHK8_UNDERFLOW_Q * TAILTHK8_UNDERFLOW_CF) </t>
  </si>
  <si>
    <t xml:space="preserve">=(( TAILTHK8_CLOSE_Q + TAILTHK8_UNDERFLOW_Q) </t>
  </si>
  <si>
    <t xml:space="preserve">=(( TAILTHK8_TOTVOL_CLOSE_Q) </t>
  </si>
  <si>
    <t xml:space="preserve">=(( TAILTHK8_CLOSE_Q * TAILTHK8_CLOSE_WF + TAILTHK8_OVERFLOW_Q + TAILTHK8_UNDERFLOW_Q * TAILTHK8_UNDERFLOW_WF) </t>
  </si>
  <si>
    <t xml:space="preserve">=(( TAILTHK_OVERFLOW_Q) </t>
  </si>
  <si>
    <t xml:space="preserve">=(( TANK_CLOSE_Q + H2ODISCHARGE_Q + H2OPROCESSTOTAL_Q) </t>
  </si>
  <si>
    <t xml:space="preserve">=(( TK10_TK11_Q) </t>
  </si>
  <si>
    <t xml:space="preserve">=(( H2O_RECOVERED_Q) </t>
  </si>
  <si>
    <t xml:space="preserve">=(( TK140_TK165_Q * TK140_TK165_CF) </t>
  </si>
  <si>
    <t xml:space="preserve">=(( TK140_TK165_Q) </t>
  </si>
  <si>
    <t xml:space="preserve">=(( TK140_TK165_Q * TK140_TK165_WF) </t>
  </si>
  <si>
    <t xml:space="preserve">=(( TAILPOND_Q * TAILPOND_CF) </t>
  </si>
  <si>
    <t xml:space="preserve">=(( TAILPOND_Q) </t>
  </si>
  <si>
    <t xml:space="preserve">=(( TAILPOND_Q * TAILPOND_WF) </t>
  </si>
  <si>
    <t xml:space="preserve">=(( TK23_CLOSE_Q * TK23_CLOSE_CF + TK23_DI105_Q * TK23_DI105_CF) </t>
  </si>
  <si>
    <t xml:space="preserve">=(( TK23_CLOSE_Q + TK23_DI105_Q) </t>
  </si>
  <si>
    <t xml:space="preserve">=(( TK23_CLOSE_Q * TK23_CLOSE_WF + TK23_DI105_Q * TK23_DI105_WF) </t>
  </si>
  <si>
    <t xml:space="preserve">=(( TK24_CLOSE_Q * TK24_CLOSE_CF + TK24_DI105_Q * TK24_DI105_CF) </t>
  </si>
  <si>
    <t xml:space="preserve">=(( TK24_CLOSE_Q + TK24_DI105_Q) </t>
  </si>
  <si>
    <t xml:space="preserve">=(( TK24_CLOSE_Q * TK24_CLOSE_WF + TK24_DI105_Q * TK24_DI105_WF) </t>
  </si>
  <si>
    <t xml:space="preserve">=(( TK25_CLOSE_Q * TK25_CLOSE_CF + TK25_DI105_Q * TK25_DI105_CF) </t>
  </si>
  <si>
    <t xml:space="preserve">=(( TK25_CLOSE_Q + TK25_DI105_Q) </t>
  </si>
  <si>
    <t xml:space="preserve">=(( TK25_CLOSE_Q * TK25_CLOSE_WF + TK25_DI105_Q * TK25_DI105_WF) </t>
  </si>
  <si>
    <t xml:space="preserve">=(( TK26_CLOSE_Q * TK26_CLOSE_CF + TK26_DI105_Q * TK26_DI105_CF) </t>
  </si>
  <si>
    <t xml:space="preserve">=(( TK26_CLOSE_Q + TK26_DI105_Q) </t>
  </si>
  <si>
    <t xml:space="preserve">=(( TK26_CLOSE_Q * TK26_CLOSE_WF + TK26_DI105_Q * TK26_DI105_WF) </t>
  </si>
  <si>
    <t xml:space="preserve">=(( H2OSEAL_DI30_Q + TK83_D25_Q + TK83_MB2_Q + H2OSEAL_REM_1_Q + TK83_D20_Q + TK83_MB3_Q + TK83_MB1_Q + H2OSEAL_REM_2_Q + H2OSEAL_1CLN_Q) </t>
  </si>
  <si>
    <t xml:space="preserve">=(( TK83_CLOSE_Q + TK83_CHIL_Q + H2OSEAL_Q + PLANTA_RO_FEED_Q + TK83_TANK_Q) </t>
  </si>
  <si>
    <t xml:space="preserve">=(( ( CONCTHK21_TOTVOL_CLOSE_Q  )) </t>
  </si>
  <si>
    <t xml:space="preserve">=(( ( 500 * CONCTHK21_OPEN_CF + 500 * CONCTHK21_CLOSE_CF )) </t>
  </si>
  <si>
    <t xml:space="preserve">=(( ( 500 * CONCTHK21_CLOSE_CF + 500 * CONCTHK21_OPEN_CF )) </t>
  </si>
  <si>
    <t xml:space="preserve">=(( ( CONCTHK22_TOTVOL_CLOSE_Q  )) </t>
  </si>
  <si>
    <t xml:space="preserve">=(( ( 500 * CONCTHK22_OPEN_CF + 500 * CONCTHK22_CLOSE_CF )) </t>
  </si>
  <si>
    <t xml:space="preserve">=(( ( 500 * CONCTHK22_CLOSE_CF + 500 * CONCTHK22_OPEN_CF )) </t>
  </si>
  <si>
    <t xml:space="preserve">=(( ( 10000 * DI101_CONCTHK21_CF )) </t>
  </si>
  <si>
    <t xml:space="preserve">=(( ( 10000 * DI101_CONCTHK22_CF )) </t>
  </si>
  <si>
    <t xml:space="preserve">=(( ( 10000 * DI101_CONCTHK21_WF )) </t>
  </si>
  <si>
    <t xml:space="preserve">=(( ( 10000 * DI101_CONCTHK22_WF )) </t>
  </si>
  <si>
    <t xml:space="preserve">=(( ( 1000 * CONCTHK_TKC_CF )) </t>
  </si>
  <si>
    <t xml:space="preserve">=(( ( 1000 * CONCTHK_TKC_WF )) </t>
  </si>
  <si>
    <t xml:space="preserve">=(( ( 10000 * DI150_TAILTHK6_CF )) </t>
  </si>
  <si>
    <t xml:space="preserve">=(( ( 10000 * DI150_TAILTHK7_CF )) </t>
  </si>
  <si>
    <t xml:space="preserve">=(( ( 10000 * DI150_TAILTHK8_CF )) </t>
  </si>
  <si>
    <t xml:space="preserve">=(( ( 10000 * DI150_TAILTHK6_WF )) </t>
  </si>
  <si>
    <t xml:space="preserve">=(( ( 10000 * DI150_TAILTHK7_WF )) </t>
  </si>
  <si>
    <t xml:space="preserve">=(( ( 10000 * DI150_TAILTHK8_WF )) </t>
  </si>
  <si>
    <t xml:space="preserve">=(( ( PIPE_TKCLC_CF )) </t>
  </si>
  <si>
    <t xml:space="preserve">=(( ( PIPE_TKCLC_WF )) </t>
  </si>
  <si>
    <t xml:space="preserve">=(( ( 1000 * CONCTHK21_PP51_CF )) </t>
  </si>
  <si>
    <t xml:space="preserve">=(( ( 1000 * CONCTHK21_PP51_WF )) </t>
  </si>
  <si>
    <t xml:space="preserve">=(( ( 1000 * CONCTHK21_PP52_CF )) </t>
  </si>
  <si>
    <t xml:space="preserve">=(( ( 1000 * CONCTHK21_PP52_WF )) </t>
  </si>
  <si>
    <t xml:space="preserve">=(( ( 1000 * CONCTHK22_PP53_CF )) </t>
  </si>
  <si>
    <t xml:space="preserve">=(( ( 1000 * CONCTHK22_PP53_WF )) </t>
  </si>
  <si>
    <t xml:space="preserve">=(( ( 1000 * CONCTHK22_PP54_CF )) </t>
  </si>
  <si>
    <t xml:space="preserve">=(( ( 1000 * CONCTHK22_PP54_WF )) </t>
  </si>
  <si>
    <t xml:space="preserve">=(( ( TAILTHK6_UNDERFLOW_CF )) </t>
  </si>
  <si>
    <t xml:space="preserve">=(( ( TAILTHK6_TOTVOL_CLOSE_Q  )) </t>
  </si>
  <si>
    <t xml:space="preserve">=(( ( TAILTHK7_UNDERFLOW_CF )) </t>
  </si>
  <si>
    <t xml:space="preserve">=(( ( TAILTHK7_TOTVOL_CLOSE_Q  )) </t>
  </si>
  <si>
    <t xml:space="preserve">=(( ( TAILTHK8_UNDERFLOW_CF )) </t>
  </si>
  <si>
    <t xml:space="preserve">=(( ( TAILTHK8_TOTVOL_CLOSE_Q  )) </t>
  </si>
  <si>
    <t xml:space="preserve">=(( ( TK23_DI105_CF )) </t>
  </si>
  <si>
    <t xml:space="preserve">=(( ( TK23_DI105_WF )) </t>
  </si>
  <si>
    <t xml:space="preserve">=(( ( TK24_DI105_CF )) </t>
  </si>
  <si>
    <t xml:space="preserve">=(( ( TK24_DI105_WF )) </t>
  </si>
  <si>
    <t xml:space="preserve">=(( ( TK25_DI105_CF )) </t>
  </si>
  <si>
    <t xml:space="preserve">=(( ( TK25_DI105_WF )) </t>
  </si>
  <si>
    <t xml:space="preserve">=(( ( TK26_DI105_CF )) </t>
  </si>
  <si>
    <t xml:space="preserve">=(( ( TK26_DI105_WF )) </t>
  </si>
  <si>
    <t>= (CONCTHK21_OPEN_Q * CONCTHK21_OPEN_CF + DI101_CONCTHK21_Q * DI101_CONCTHK21_CF )</t>
  </si>
  <si>
    <t>= (CONCTHK21_OPEN_Q + DI101_CONCTHK21_Q )</t>
  </si>
  <si>
    <t>= (CONCTHK21_TOTVOL_OPEN_Q )</t>
  </si>
  <si>
    <t>= (CONCTHK21_OPEN_Q * CONCTHK21_OPEN_WF + DI101_CONCTHK21_Q * DI101_CONCTHK21_WF )</t>
  </si>
  <si>
    <t>= (CONCTHK22_OPEN_Q * CONCTHK22_OPEN_CF + DI101_CONCTHK22_Q * DI101_CONCTHK22_CF )</t>
  </si>
  <si>
    <t>= (CONCTHK22_OPEN_Q + DI101_CONCTHK22_Q )</t>
  </si>
  <si>
    <t>= (CONCTHK22_TOTVOL_OPEN_Q )</t>
  </si>
  <si>
    <t>= (CONCTHK22_OPEN_Q * CONCTHK22_OPEN_WF + DI101_CONCTHK22_Q * DI101_CONCTHK22_WF )</t>
  </si>
  <si>
    <t>= (CONCTHK1_OVERFLOW_Q + CONCTHK2_OVERFLOW_Q )</t>
  </si>
  <si>
    <t>= (DI101_TOTAL_Q * DI101_TOTAL_CF )</t>
  </si>
  <si>
    <t>= (DI101_TOTAL_Q )</t>
  </si>
  <si>
    <t>= (DI101_TOTAL_Q * DI101_TOTAL_WF )</t>
  </si>
  <si>
    <t>= (FINALCONC_Q * FINALCONC_CF + PP54_DI101_Q * PP54_DI101_CF + PP51_DI101_Q * PP51_DI101_CF + PP53_DI101_Q * PP53_DI101_CF + PP52_DI101_Q * PP52_DI101_CF )</t>
  </si>
  <si>
    <t>= (FINALCONC_Q + PP51_DI101_Q + PP52_DI101_Q + PP53_DI101_Q + PP54_DI101_Q )</t>
  </si>
  <si>
    <t>= (FINALCONC_Q * FINALCONC_WF + PP52_DI101_Q * PP52_DI101_WF + PP54_DI101_Q * PP54_DI101_WF + PP53_DI101_Q * PP53_DI101_WF + PP51_DI101_Q * PP51_DI101_WF )</t>
  </si>
  <si>
    <t>= (CONCTHK_TKC_Q * CONCTHK_TKC_CF )</t>
  </si>
  <si>
    <t>= (CONCTHK_TKC_Q )</t>
  </si>
  <si>
    <t>= (CONCTHK_TKC_Q * CONCTHK_TKC_WF )</t>
  </si>
  <si>
    <t>= (PP53_DI104_Q * PP53_DI104_CF + PP51_DI104_Q * PP51_DI104_CF + PP52_DI104_Q * PP52_DI104_CF + PP54_DI104_Q * PP54_DI104_CF )</t>
  </si>
  <si>
    <t>= (PP52_DI104_Q + PP53_DI104_Q + PP51_DI104_Q + PP54_DI104_Q )</t>
  </si>
  <si>
    <t>= (PP51_DI104_Q * PP51_DI104_WF + PP53_DI104_Q * PP53_DI104_WF + PP54_DI104_Q * PP54_DI104_WF + PP52_DI104_Q * PP52_DI104_WF )</t>
  </si>
  <si>
    <t>= (TK24_DI105_Q * TK24_DI105_CF + TK25_DI105_Q * TK25_DI105_CF + TK23_DI105_Q * TK23_DI105_CF + TK26_DI105_Q * TK26_DI105_CF )</t>
  </si>
  <si>
    <t>= (TK24_DI105_Q + TK25_DI105_Q + TK26_DI105_Q + TK23_DI105_Q )</t>
  </si>
  <si>
    <t>= (TK23_DI105_Q * TK23_DI105_WF + TK26_DI105_Q * TK26_DI105_WF + TK24_DI105_Q * TK24_DI105_WF + TK25_DI105_Q * TK25_DI105_WF )</t>
  </si>
  <si>
    <t>= (TAILS_Q * TAILS_CF )</t>
  </si>
  <si>
    <t>= (TAILS_Q )</t>
  </si>
  <si>
    <t>= (TAILS_Q * TAILS_WF )</t>
  </si>
  <si>
    <t>= (ROUFEED_Q * ROUFEED_CF )</t>
  </si>
  <si>
    <t>= (ROUFEED_Q )</t>
  </si>
  <si>
    <t>= (H2OSEAL_REM_1_Q + H2OSEAL_REM_2_Q + POOL_REM_1_Q + ROUFEED_Q * ROUFEED_WF + H2OSEAL_DI30_Q + POOL_2CLN_Q + POOL_REM_2_Q + POOL_TK91_Q + POOL_DI30_Q + POOL_2CLNCONC_Q + H2OSEAL_1CLN_Q + POOL_TK42_Q )</t>
  </si>
  <si>
    <t>= (BOREWATER_Q + RIVERWATER_Q )</t>
  </si>
  <si>
    <t>= (FEED_Q * FEED_CF )</t>
  </si>
  <si>
    <t>= (FEED_Q )</t>
  </si>
  <si>
    <t>= (FEED_Q * FEED_WF + POOL_BC2SUMP_Q + POOL_BC3SUMP_Q + POOL_MB1_Q + POOL_SAG_Q + TK83_MB1_Q + POOL_BC1SUMP_Q + TK83_D25_Q + TK83_MB3_Q + POOL_MB2_Q + TK83_MB2_Q + TK83_D20_Q + POOL_MB3_Q + POOL_M1_Q )</t>
  </si>
  <si>
    <t>= (MILL_MIXER_Q * MILL_MIXER_CF )</t>
  </si>
  <si>
    <t>= (MILL_MIXER_Q )</t>
  </si>
  <si>
    <t>= (POOL_MIXER_Q + MILL_MIXER_Q * MILL_MIXER_WF )</t>
  </si>
  <si>
    <t>= (PIPELINE_OPEN_Q * PIPELINE_OPEN_CF + TKC_PIPE_Q * TKC_PIPE_CF )</t>
  </si>
  <si>
    <t>= (PIPELINE_OPEN_Q + TKC_PIPE_Q )</t>
  </si>
  <si>
    <t>= (PIPELINE_OPEN_Q * PIPELINE_OPEN_WF + TKC_PIPE_Q * TKC_PIPE_WF )</t>
  </si>
  <si>
    <t>= (PLANTA_RO_FEED_Q )</t>
  </si>
  <si>
    <t>= (H2OPROCESSTOTAL_Q )</t>
  </si>
  <si>
    <t>= (CONCTHK21_PP51_Q * CONCTHK21_PP51_CF )</t>
  </si>
  <si>
    <t>= (CONCTHK21_PP51_Q )</t>
  </si>
  <si>
    <t>= (CONCTHK21_PP51_Q * CONCTHK21_PP51_WF )</t>
  </si>
  <si>
    <t>= (CONCTHK21_PP52_Q * CONCTHK21_PP52_CF )</t>
  </si>
  <si>
    <t>= (CONCTHK21_PP52_Q )</t>
  </si>
  <si>
    <t>= (CONCTHK21_PP52_Q * CONCTHK21_PP52_WF )</t>
  </si>
  <si>
    <t>= (CONCTHK22_PP53_Q * CONCTHK22_PP53_CF )</t>
  </si>
  <si>
    <t>= (CONCTHK22_PP53_Q )</t>
  </si>
  <si>
    <t>= (CONCTHK22_PP53_Q * CONCTHK22_PP53_WF )</t>
  </si>
  <si>
    <t>= (CONCTHK22_PP54_Q * CONCTHK22_PP54_CF )</t>
  </si>
  <si>
    <t>= (CONCTHK22_PP54_Q )</t>
  </si>
  <si>
    <t>= (CONCTHK22_PP54_Q * CONCTHK22_PP54_WF )</t>
  </si>
  <si>
    <t>= (TAILTHK6_OPEN_Q * TAILTHK6_OPEN_CF + DI150_TAILTHK6_Q * DI150_TAILTHK6_CF )</t>
  </si>
  <si>
    <t>= (TAILTHK6_OPEN_Q + DI150_TAILTHK6_Q )</t>
  </si>
  <si>
    <t>= (TAILTHK6_TOTVOL_OPEN_Q )</t>
  </si>
  <si>
    <t>= (TAILTHK6_OPEN_Q * TAILTHK6_OPEN_WF + DI150_TAILTHK6_Q * DI150_TAILTHK6_WF )</t>
  </si>
  <si>
    <t>= (TAILTHK7_OPEN_Q * TAILTHK7_OPEN_CF + DI150_TAILTHK7_Q * DI150_TAILTHK7_CF )</t>
  </si>
  <si>
    <t>= (TAILTHK7_OPEN_Q + DI150_TAILTHK7_Q )</t>
  </si>
  <si>
    <t>= (TAILTHK7_TOTVOL_OPEN_Q )</t>
  </si>
  <si>
    <t>= (TAILTHK7_OPEN_Q * TAILTHK7_OPEN_WF + DI150_TAILTHK7_Q * DI150_TAILTHK7_WF )</t>
  </si>
  <si>
    <t>= (TAILTHK8_OPEN_Q * TAILTHK8_OPEN_CF + DI150_TAILTHK8_Q * DI150_TAILTHK8_CF )</t>
  </si>
  <si>
    <t>= (TAILTHK8_OPEN_Q + DI150_TAILTHK8_Q )</t>
  </si>
  <si>
    <t>= (TAILTHK8_TOTVOL_OPEN_Q )</t>
  </si>
  <si>
    <t>= (TAILTHK8_OPEN_Q * TAILTHK8_OPEN_WF + DI150_TAILTHK8_Q * DI150_TAILTHK8_WF )</t>
  </si>
  <si>
    <t>= (TAILTHK7_OVERFLOW_Q + TAILTHK6_OVERFLOW_Q + TAILTHK8_OVERFLOW_Q )</t>
  </si>
  <si>
    <t>= (TANK_OPEN_Q + H2O_RECOVERED_Q + RO_TANK_Q + TK83_TANK_Q )</t>
  </si>
  <si>
    <t>= (POND_RECVR_Q )</t>
  </si>
  <si>
    <t>= (TK10_TK11_Q + CONCTHK_OVERFLOW_Q + TAILTHK_OVERFLOW_Q )</t>
  </si>
  <si>
    <t>= (TAILTHK8_UNDERFLOW_Q * TAILTHK8_UNDERFLOW_CF + TAILTHK7_UNDERFLOW_Q * TAILTHK7_UNDERFLOW_CF )</t>
  </si>
  <si>
    <t>= (TAILTHK7_UNDERFLOW_Q + TAILTHK8_UNDERFLOW_Q )</t>
  </si>
  <si>
    <t>= (TAILTHK7_UNDERFLOW_Q * TAILTHK7_UNDERFLOW_WF + TAILTHK8_UNDERFLOW_Q * TAILTHK8_UNDERFLOW_WF )</t>
  </si>
  <si>
    <t>= (TAILTHK6_UNDERFLOW_Q * TAILTHK6_UNDERFLOW_CF + TK140_TK165_Q * TK140_TK165_CF )</t>
  </si>
  <si>
    <t>= (TAILTHK6_UNDERFLOW_Q + TK140_TK165_Q )</t>
  </si>
  <si>
    <t>= (TAILTHK6_UNDERFLOW_Q * TAILTHK6_UNDERFLOW_WF + TK140_TK165_Q * TK140_TK165_WF )</t>
  </si>
  <si>
    <t>= (TK23_OPEN_Q * TK23_OPEN_CF + CONCTHK_TK23_Q * CONCTHK_TK23_CF )</t>
  </si>
  <si>
    <t>= (TK23_OPEN_Q + CONCTHK_TK23_Q )</t>
  </si>
  <si>
    <t>= (TK23_OPEN_Q * TK23_OPEN_WF + CONCTHK_TK23_Q * CONCTHK_TK23_WF )</t>
  </si>
  <si>
    <t>= (TK24_OPEN_Q * TK24_OPEN_CF + CONCTHK_TK24_Q * CONCTHK_TK24_CF )</t>
  </si>
  <si>
    <t>= (TK24_OPEN_Q + CONCTHK_TK24_Q )</t>
  </si>
  <si>
    <t>= (TK24_OPEN_Q * TK24_OPEN_WF + CONCTHK_TK24_Q * CONCTHK_TK24_WF )</t>
  </si>
  <si>
    <t>= (TK25_OPEN_Q * TK25_OPEN_CF + CONCTHK_TK25_Q * CONCTHK_TK25_CF )</t>
  </si>
  <si>
    <t>= (TK25_OPEN_Q + CONCTHK_TK25_Q )</t>
  </si>
  <si>
    <t>= (TK25_OPEN_Q * TK25_OPEN_WF + CONCTHK_TK25_Q * CONCTHK_TK25_WF )</t>
  </si>
  <si>
    <t>= (TK26_OPEN_Q * TK26_OPEN_CF + CONCTHK_TK26_Q * CONCTHK_TK26_CF )</t>
  </si>
  <si>
    <t>= (TK26_OPEN_Q + CONCTHK_TK26_Q )</t>
  </si>
  <si>
    <t>= (TK26_OPEN_Q * TK26_OPEN_WF + CONCTHK_TK26_Q * CONCTHK_TK26_WF )</t>
  </si>
  <si>
    <t>= (H2OSEAL_Q )</t>
  </si>
  <si>
    <t>= (TK83_OPEN_Q + H2OFRESH_TK83_Q )</t>
  </si>
  <si>
    <t>= (( .239 * CONCTHK21_CLOSE_Q  + CONCTHK21_CLOSE_Q * CONCTHK21_CLOSE_WF ) )</t>
  </si>
  <si>
    <t>= (( 1000 * CONCTHK21_PP51_CF ) )</t>
  </si>
  <si>
    <t>= (( 1000 * CONCTHK21_PP52_CF ) )</t>
  </si>
  <si>
    <t>= (( CONCTHK22_CLOSE_Q * CONCTHK22_CLOSE_WF + .239 * CONCTHK22_CLOSE_Q  ) )</t>
  </si>
  <si>
    <t>= (( 1000 * CONCTHK22_PP53_CF ) )</t>
  </si>
  <si>
    <t>= (( 1000 * CONCTHK22_PP54_CF ) )</t>
  </si>
  <si>
    <t>= (( 10000 * DI101_TOTAL_CF ) )</t>
  </si>
  <si>
    <t>= (( 10000 * DI101_TOTAL_WF ) )</t>
  </si>
  <si>
    <t>= (( 1000 * CONCTHK_TK23_CF ) )</t>
  </si>
  <si>
    <t>= (( 1000 * CONCTHK_TK23_WF ) )</t>
  </si>
  <si>
    <t>= (( 1000 * CONCTHK_TK24_CF ) )</t>
  </si>
  <si>
    <t>= (( 1000 * CONCTHK_TK24_WF ) )</t>
  </si>
  <si>
    <t>= (( 1000 * CONCTHK_TK25_CF ) )</t>
  </si>
  <si>
    <t>= (( 1000 * CONCTHK_TK25_WF ) )</t>
  </si>
  <si>
    <t>= (( 1000 * CONCTHK_TK26_CF ) )</t>
  </si>
  <si>
    <t>= (( 1000 * CONCTHK_TK26_WF ) )</t>
  </si>
  <si>
    <t>= (( 10000 * TAILS_CF ) )</t>
  </si>
  <si>
    <t>= (( 10000 * TAILS_WF ) )</t>
  </si>
  <si>
    <t>= (( PIPELINE_CLOSE_CF ) )</t>
  </si>
  <si>
    <t>= (( PIPELINE_CLOSE_WF ) )</t>
  </si>
  <si>
    <t>= (( 1000 * PP51_DI104_CF ) )</t>
  </si>
  <si>
    <t>= (( 1000 * PP51_DI101_CF ) )</t>
  </si>
  <si>
    <t>= (( 1000 * PP51_DI104_WF ) )</t>
  </si>
  <si>
    <t>= (( 1000 * PP51_DI101_WF ) )</t>
  </si>
  <si>
    <t>= (( 1000 * PP52_DI104_CF ) )</t>
  </si>
  <si>
    <t>= (( 1000 * PP52_DI101_CF ) )</t>
  </si>
  <si>
    <t>= (( 1000 * PP52_DI104_WF ) )</t>
  </si>
  <si>
    <t>= (( 1000 * PP52_DI101_WF ) )</t>
  </si>
  <si>
    <t>= (( 1000 * PP53_DI104_CF ) )</t>
  </si>
  <si>
    <t>= (( 1000 * PP53_DI101_CF ) )</t>
  </si>
  <si>
    <t>= (( 1000 * PP53_DI104_WF ) )</t>
  </si>
  <si>
    <t>= (( 1000 * PP53_DI101_WF ) )</t>
  </si>
  <si>
    <t>= (( 1000 * PP54_DI104_CF ) )</t>
  </si>
  <si>
    <t>= (( 1000 * PP54_DI101_CF ) )</t>
  </si>
  <si>
    <t>= (( 1000 * PP54_DI104_WF ) )</t>
  </si>
  <si>
    <t>= (( 1000 * PP54_DI101_WF ) )</t>
  </si>
  <si>
    <t>= (( TAILTHK6_CLOSE_CF ) )</t>
  </si>
  <si>
    <t>= (( TAILTHK6_CLOSE_Q * TAILTHK6_CLOSE_WF + .3645 * TAILTHK6_CLOSE_Q  ) )</t>
  </si>
  <si>
    <t>= (( TAILTHK7_CLOSE_CF ) )</t>
  </si>
  <si>
    <t>= (( TAILTHK7_CLOSE_Q * TAILTHK7_CLOSE_WF + .3645 * TAILTHK7_CLOSE_Q  ) )</t>
  </si>
  <si>
    <t>= (( TAILTHK8_CLOSE_CF ) )</t>
  </si>
  <si>
    <t>= (( TAILTHK8_CLOSE_Q * TAILTHK8_CLOSE_WF + .3645 * TAILTHK8_CLOSE_Q  ) )</t>
  </si>
  <si>
    <t>= (( TK23_CLOSE_CF ) )</t>
  </si>
  <si>
    <t>= (( TK23_CLOSE_WF ) )</t>
  </si>
  <si>
    <t>= (( TK24_CLOSE_CF ) )</t>
  </si>
  <si>
    <t>= (( TK24_CLOSE_WF ) )</t>
  </si>
  <si>
    <t>= (( TK25_CLOSE_CF ) )</t>
  </si>
  <si>
    <t>= (( TK25_CLOSE_WF ) )</t>
  </si>
  <si>
    <t>= (( TK26_CLOSE_CF ) )</t>
  </si>
  <si>
    <t>= (( TK26_CLOSE_WF ) )</t>
  </si>
  <si>
    <t>BOREWATER_Q</t>
  </si>
  <si>
    <t>CONCTHK1_OVERFLOW_Q</t>
  </si>
  <si>
    <t>CONCTHK21_CLOSE_CF</t>
  </si>
  <si>
    <t>CONCTHK21_CLOSE_Q</t>
  </si>
  <si>
    <t>CONCTHK21_CLOSE_WF</t>
  </si>
  <si>
    <t>CONCTHK21_OPEN_CF</t>
  </si>
  <si>
    <t>CONCTHK21_OPEN_Q</t>
  </si>
  <si>
    <t>CONCTHK21_OPEN_WF</t>
  </si>
  <si>
    <t>CONCTHK21_PP51_CF</t>
  </si>
  <si>
    <t>CONCTHK21_PP51_Q</t>
  </si>
  <si>
    <t>CONCTHK21_PP51_WF</t>
  </si>
  <si>
    <t>CONCTHK21_PP52_CF</t>
  </si>
  <si>
    <t>CONCTHK21_PP52_Q</t>
  </si>
  <si>
    <t>CONCTHK21_PP52_WF</t>
  </si>
  <si>
    <t>CONCTHK21_TOTVOL_CLOSE_Q</t>
  </si>
  <si>
    <t>CONCTHK21_TOTVOL_OPEN_Q</t>
  </si>
  <si>
    <t>CONCTHK22_CLOSE_CF</t>
  </si>
  <si>
    <t>CONCTHK22_CLOSE_Q</t>
  </si>
  <si>
    <t>CONCTHK22_CLOSE_WF</t>
  </si>
  <si>
    <t>CONCTHK22_OPEN_CF</t>
  </si>
  <si>
    <t>CONCTHK22_OPEN_Q</t>
  </si>
  <si>
    <t>CONCTHK22_OPEN_WF</t>
  </si>
  <si>
    <t>CONCTHK22_PP53_CF</t>
  </si>
  <si>
    <t>CONCTHK22_PP53_Q</t>
  </si>
  <si>
    <t>CONCTHK22_PP53_WF</t>
  </si>
  <si>
    <t>CONCTHK22_PP54_CF</t>
  </si>
  <si>
    <t>CONCTHK22_PP54_Q</t>
  </si>
  <si>
    <t>CONCTHK22_PP54_WF</t>
  </si>
  <si>
    <t>CONCTHK22_TOTVOL_CLOSE_Q</t>
  </si>
  <si>
    <t>CONCTHK22_TOTVOL_OPEN_Q</t>
  </si>
  <si>
    <t>CONCTHK2_OVERFLOW_Q</t>
  </si>
  <si>
    <t>CONCTHK_OVERFLOW_Q</t>
  </si>
  <si>
    <t>CONCTHK_TK23_CF</t>
  </si>
  <si>
    <t>CONCTHK_TK23_Q</t>
  </si>
  <si>
    <t>CONCTHK_TK23_WF</t>
  </si>
  <si>
    <t>CONCTHK_TK24_CF</t>
  </si>
  <si>
    <t>CONCTHK_TK24_Q</t>
  </si>
  <si>
    <t>CONCTHK_TK24_WF</t>
  </si>
  <si>
    <t>CONCTHK_TK25_CF</t>
  </si>
  <si>
    <t>CONCTHK_TK25_Q</t>
  </si>
  <si>
    <t>CONCTHK_TK25_WF</t>
  </si>
  <si>
    <t>CONCTHK_TK26_CF</t>
  </si>
  <si>
    <t>CONCTHK_TK26_Q</t>
  </si>
  <si>
    <t>CONCTHK_TK26_WF</t>
  </si>
  <si>
    <t>CONCTHK_TKC_CF</t>
  </si>
  <si>
    <t>CONCTHK_TKC_Q</t>
  </si>
  <si>
    <t>CONCTHK_TKC_WF</t>
  </si>
  <si>
    <t>DI101_CONCTHK21_CF</t>
  </si>
  <si>
    <t>DI101_CONCTHK21_Q</t>
  </si>
  <si>
    <t>DI101_CONCTHK21_WF</t>
  </si>
  <si>
    <t>DI101_CONCTHK22_CF</t>
  </si>
  <si>
    <t>DI101_CONCTHK22_Q</t>
  </si>
  <si>
    <t>DI101_CONCTHK22_WF</t>
  </si>
  <si>
    <t>DI101_TOTAL_CF</t>
  </si>
  <si>
    <t>DI101_TOTAL_Q</t>
  </si>
  <si>
    <t>DI101_TOTAL_WF</t>
  </si>
  <si>
    <t>DI150_TAILTHK6_CF</t>
  </si>
  <si>
    <t>DI150_TAILTHK6_Q</t>
  </si>
  <si>
    <t>DI150_TAILTHK6_WF</t>
  </si>
  <si>
    <t>DI150_TAILTHK7_CF</t>
  </si>
  <si>
    <t>DI150_TAILTHK7_Q</t>
  </si>
  <si>
    <t>DI150_TAILTHK7_WF</t>
  </si>
  <si>
    <t>DI150_TAILTHK8_CF</t>
  </si>
  <si>
    <t>DI150_TAILTHK8_Q</t>
  </si>
  <si>
    <t>DI150_TAILTHK8_WF</t>
  </si>
  <si>
    <t>FEED_CF</t>
  </si>
  <si>
    <t>FEED_Q</t>
  </si>
  <si>
    <t>FEED_WF</t>
  </si>
  <si>
    <t>FINALCONC_CF</t>
  </si>
  <si>
    <t>FINALCONC_Q</t>
  </si>
  <si>
    <t>FINALCONC_WF</t>
  </si>
  <si>
    <t>H2ODISCHARGE_Q</t>
  </si>
  <si>
    <t>H2OFRESH_TK83_Q</t>
  </si>
  <si>
    <t>H2OPROCESSTOTAL_Q</t>
  </si>
  <si>
    <t>H2OSEAL_1CLN_Q</t>
  </si>
  <si>
    <t>H2OSEAL_DI30_Q</t>
  </si>
  <si>
    <t>H2OSEAL_Q</t>
  </si>
  <si>
    <t>H2OSEAL_REM_1_Q</t>
  </si>
  <si>
    <t>H2OSEAL_REM_2_Q</t>
  </si>
  <si>
    <t>H2O_RECOVERED_Q</t>
  </si>
  <si>
    <t>MILL_MIXER_CF</t>
  </si>
  <si>
    <t>MILL_MIXER_Q</t>
  </si>
  <si>
    <t>MILL_MIXER_WF</t>
  </si>
  <si>
    <t>PIPELINE_CLOSE_CF</t>
  </si>
  <si>
    <t>PIPELINE_CLOSE_Q</t>
  </si>
  <si>
    <t>PIPELINE_CLOSE_WF</t>
  </si>
  <si>
    <t>PIPELINE_OPEN_CF</t>
  </si>
  <si>
    <t>PIPELINE_OPEN_Q</t>
  </si>
  <si>
    <t>PIPELINE_OPEN_WF</t>
  </si>
  <si>
    <t>PIPE_TKCLC_CF</t>
  </si>
  <si>
    <t>PIPE_TKCLC_Q</t>
  </si>
  <si>
    <t>PIPE_TKCLC_WF</t>
  </si>
  <si>
    <t>PLANTA_RO_FEED_Q</t>
  </si>
  <si>
    <t>POND_RECVR_Q</t>
  </si>
  <si>
    <t>POOL_2CLNCONC_Q</t>
  </si>
  <si>
    <t>POOL_2CLN_Q</t>
  </si>
  <si>
    <t>POOL_BC1SUMP_Q</t>
  </si>
  <si>
    <t>POOL_BC2SUMP_Q</t>
  </si>
  <si>
    <t>POOL_BC3SUMP_Q</t>
  </si>
  <si>
    <t>POOL_DI30_Q</t>
  </si>
  <si>
    <t>POOL_M1_Q</t>
  </si>
  <si>
    <t>POOL_MB1_Q</t>
  </si>
  <si>
    <t>POOL_MB2_Q</t>
  </si>
  <si>
    <t>POOL_MB3_Q</t>
  </si>
  <si>
    <t>POOL_MIXER_Q</t>
  </si>
  <si>
    <t>POOL_REM_1_Q</t>
  </si>
  <si>
    <t>POOL_REM_2_Q</t>
  </si>
  <si>
    <t>POOL_SAG_Q</t>
  </si>
  <si>
    <t>POOL_TK42_Q</t>
  </si>
  <si>
    <t>POOL_TK91_Q</t>
  </si>
  <si>
    <t>PP51_DI101_CF</t>
  </si>
  <si>
    <t>PP51_DI101_Q</t>
  </si>
  <si>
    <t>PP51_DI101_WF</t>
  </si>
  <si>
    <t>PP51_DI104_CF</t>
  </si>
  <si>
    <t>PP51_DI104_Q</t>
  </si>
  <si>
    <t>PP51_DI104_WF</t>
  </si>
  <si>
    <t>PP52_DI101_CF</t>
  </si>
  <si>
    <t>PP52_DI101_Q</t>
  </si>
  <si>
    <t>PP52_DI101_WF</t>
  </si>
  <si>
    <t>PP52_DI104_CF</t>
  </si>
  <si>
    <t>PP52_DI104_Q</t>
  </si>
  <si>
    <t>PP52_DI104_WF</t>
  </si>
  <si>
    <t>PP53_DI101_CF</t>
  </si>
  <si>
    <t>PP53_DI101_Q</t>
  </si>
  <si>
    <t>PP53_DI101_WF</t>
  </si>
  <si>
    <t>PP53_DI104_CF</t>
  </si>
  <si>
    <t>PP53_DI104_Q</t>
  </si>
  <si>
    <t>PP53_DI104_WF</t>
  </si>
  <si>
    <t>PP54_DI101_CF</t>
  </si>
  <si>
    <t>PP54_DI101_Q</t>
  </si>
  <si>
    <t>PP54_DI101_WF</t>
  </si>
  <si>
    <t>PP54_DI104_CF</t>
  </si>
  <si>
    <t>PP54_DI104_Q</t>
  </si>
  <si>
    <t>PP54_DI104_WF</t>
  </si>
  <si>
    <t>RIVERWATER_Q</t>
  </si>
  <si>
    <t>ROUFEED_CF</t>
  </si>
  <si>
    <t>ROUFEED_Q</t>
  </si>
  <si>
    <t>ROUFEED_WF</t>
  </si>
  <si>
    <t>RO_POND_Q</t>
  </si>
  <si>
    <t>RO_TANK_Q</t>
  </si>
  <si>
    <t>TAILPOND_CF</t>
  </si>
  <si>
    <t>TAILPOND_Q</t>
  </si>
  <si>
    <t>TAILPOND_WF</t>
  </si>
  <si>
    <t>TAILS_CF</t>
  </si>
  <si>
    <t>TAILS_Q</t>
  </si>
  <si>
    <t>TAILS_WF</t>
  </si>
  <si>
    <t>TAILTHK6_CLOSE_CF</t>
  </si>
  <si>
    <t>TAILTHK6_CLOSE_Q</t>
  </si>
  <si>
    <t>TAILTHK6_CLOSE_WF</t>
  </si>
  <si>
    <t>TAILTHK6_OPEN_CF</t>
  </si>
  <si>
    <t>TAILTHK6_OPEN_Q</t>
  </si>
  <si>
    <t>TAILTHK6_OPEN_WF</t>
  </si>
  <si>
    <t>TAILTHK6_OVERFLOW_Q</t>
  </si>
  <si>
    <t>TAILTHK6_TOTVOL_CLOSE_Q</t>
  </si>
  <si>
    <t>TAILTHK6_TOTVOL_OPEN_Q</t>
  </si>
  <si>
    <t>TAILTHK6_UNDERFLOW_CF</t>
  </si>
  <si>
    <t>TAILTHK6_UNDERFLOW_Q</t>
  </si>
  <si>
    <t>TAILTHK6_UNDERFLOW_WF</t>
  </si>
  <si>
    <t>TAILTHK7_CLOSE_CF</t>
  </si>
  <si>
    <t>TAILTHK7_CLOSE_Q</t>
  </si>
  <si>
    <t>TAILTHK7_CLOSE_WF</t>
  </si>
  <si>
    <t>TAILTHK7_OPEN_CF</t>
  </si>
  <si>
    <t>TAILTHK7_OPEN_Q</t>
  </si>
  <si>
    <t>TAILTHK7_OPEN_WF</t>
  </si>
  <si>
    <t>TAILTHK7_OVERFLOW_Q</t>
  </si>
  <si>
    <t>TAILTHK7_TOTVOL_CLOSE_Q</t>
  </si>
  <si>
    <t>TAILTHK7_TOTVOL_OPEN_Q</t>
  </si>
  <si>
    <t>TAILTHK7_UNDERFLOW_CF</t>
  </si>
  <si>
    <t>TAILTHK7_UNDERFLOW_Q</t>
  </si>
  <si>
    <t>TAILTHK7_UNDERFLOW_WF</t>
  </si>
  <si>
    <t>TAILTHK8_CLOSE_CF</t>
  </si>
  <si>
    <t>TAILTHK8_CLOSE_Q</t>
  </si>
  <si>
    <t>TAILTHK8_CLOSE_WF</t>
  </si>
  <si>
    <t>TAILTHK8_OPEN_CF</t>
  </si>
  <si>
    <t>TAILTHK8_OPEN_Q</t>
  </si>
  <si>
    <t>TAILTHK8_OPEN_WF</t>
  </si>
  <si>
    <t>TAILTHK8_OVERFLOW_Q</t>
  </si>
  <si>
    <t>TAILTHK8_TOTVOL_CLOSE_Q</t>
  </si>
  <si>
    <t>TAILTHK8_TOTVOL_OPEN_Q</t>
  </si>
  <si>
    <t>TAILTHK8_UNDERFLOW_CF</t>
  </si>
  <si>
    <t>TAILTHK8_UNDERFLOW_Q</t>
  </si>
  <si>
    <t>TAILTHK8_UNDERFLOW_WF</t>
  </si>
  <si>
    <t>TAILTHK_OVERFLOW_Q</t>
  </si>
  <si>
    <t>TANK_CLOSE_Q</t>
  </si>
  <si>
    <t>TANK_OPEN_Q</t>
  </si>
  <si>
    <t>TK10_TK11_Q</t>
  </si>
  <si>
    <t>TK140_TK165_CF</t>
  </si>
  <si>
    <t>TK140_TK165_Q</t>
  </si>
  <si>
    <t>TK140_TK165_WF</t>
  </si>
  <si>
    <t>TK23_CLOSE_CF</t>
  </si>
  <si>
    <t>TK23_CLOSE_Q</t>
  </si>
  <si>
    <t>TK23_CLOSE_WF</t>
  </si>
  <si>
    <t>TK23_DI105_CF</t>
  </si>
  <si>
    <t>TK23_DI105_Q</t>
  </si>
  <si>
    <t>TK23_DI105_WF</t>
  </si>
  <si>
    <t>TK23_OPEN_CF</t>
  </si>
  <si>
    <t>TK23_OPEN_Q</t>
  </si>
  <si>
    <t>TK23_OPEN_WF</t>
  </si>
  <si>
    <t>TK24_CLOSE_CF</t>
  </si>
  <si>
    <t>TK24_CLOSE_Q</t>
  </si>
  <si>
    <t>TK24_CLOSE_WF</t>
  </si>
  <si>
    <t>TK24_DI105_CF</t>
  </si>
  <si>
    <t>TK24_DI105_Q</t>
  </si>
  <si>
    <t>TK24_DI105_WF</t>
  </si>
  <si>
    <t>TK24_OPEN_CF</t>
  </si>
  <si>
    <t>TK24_OPEN_Q</t>
  </si>
  <si>
    <t>TK24_OPEN_WF</t>
  </si>
  <si>
    <t>TK25_CLOSE_CF</t>
  </si>
  <si>
    <t>TK25_CLOSE_Q</t>
  </si>
  <si>
    <t>TK25_CLOSE_WF</t>
  </si>
  <si>
    <t>TK25_DI105_CF</t>
  </si>
  <si>
    <t>TK25_DI105_Q</t>
  </si>
  <si>
    <t>TK25_DI105_WF</t>
  </si>
  <si>
    <t>TK25_OPEN_CF</t>
  </si>
  <si>
    <t>TK25_OPEN_Q</t>
  </si>
  <si>
    <t>TK25_OPEN_WF</t>
  </si>
  <si>
    <t>TK26_CLOSE_CF</t>
  </si>
  <si>
    <t>TK26_CLOSE_Q</t>
  </si>
  <si>
    <t>TK26_CLOSE_WF</t>
  </si>
  <si>
    <t>TK26_DI105_CF</t>
  </si>
  <si>
    <t>TK26_DI105_Q</t>
  </si>
  <si>
    <t>TK26_DI105_WF</t>
  </si>
  <si>
    <t>TK26_OPEN_CF</t>
  </si>
  <si>
    <t>TK26_OPEN_Q</t>
  </si>
  <si>
    <t>TK26_OPEN_WF</t>
  </si>
  <si>
    <t>TK83_CHIL_Q</t>
  </si>
  <si>
    <t>TK83_CLOSE_Q</t>
  </si>
  <si>
    <t>TK83_D20_Q</t>
  </si>
  <si>
    <t>TK83_D25_Q</t>
  </si>
  <si>
    <t>TK83_MB1_Q</t>
  </si>
  <si>
    <t>TK83_MB2_Q</t>
  </si>
  <si>
    <t>TK83_MB3_Q</t>
  </si>
  <si>
    <t>TK83_OPEN_Q</t>
  </si>
  <si>
    <t>TK83_TANK_Q</t>
  </si>
  <si>
    <t>TKC_PIPE_CF</t>
  </si>
  <si>
    <t>TKC_PIPE_Q</t>
  </si>
  <si>
    <t>TKC_PIPE_WF</t>
  </si>
  <si>
    <t>Test</t>
  </si>
  <si>
    <t>PROBLEM</t>
  </si>
  <si>
    <t>Resolver Answer Report</t>
  </si>
  <si>
    <t>Worksheet:[Resolver.test.xlsm]Bilinear</t>
  </si>
  <si>
    <t>Total Constraints</t>
  </si>
  <si>
    <t>Linear</t>
  </si>
  <si>
    <t>Nonlinear</t>
  </si>
  <si>
    <t>Active Linear</t>
  </si>
  <si>
    <t>Active Nonlinear</t>
  </si>
  <si>
    <t>Fixed Variables</t>
  </si>
  <si>
    <t>Convergence</t>
  </si>
  <si>
    <t>Converged</t>
  </si>
  <si>
    <t>Termination</t>
  </si>
  <si>
    <t>Time</t>
  </si>
  <si>
    <t>Iterations</t>
  </si>
  <si>
    <t>Precision</t>
  </si>
  <si>
    <t>Minimum precision</t>
  </si>
  <si>
    <t>Cell</t>
  </si>
  <si>
    <t>Reconciled Cost</t>
  </si>
  <si>
    <t>Global Critical Value</t>
  </si>
  <si>
    <t>Redundancy Degree</t>
  </si>
  <si>
    <t>Measurement Critical Value</t>
  </si>
  <si>
    <t>Constraint Critical Value</t>
  </si>
  <si>
    <t>$H$2</t>
  </si>
  <si>
    <t>Adjusted Variables</t>
  </si>
  <si>
    <t>Reconciled Value</t>
  </si>
  <si>
    <t>Measured Value</t>
  </si>
  <si>
    <t>Solvability</t>
  </si>
  <si>
    <t>Reconciled Test</t>
  </si>
  <si>
    <t>Measured Test</t>
  </si>
  <si>
    <t>Measured Tolerance</t>
  </si>
  <si>
    <t>Reconciled Tolerance</t>
  </si>
  <si>
    <t>Redundant</t>
  </si>
  <si>
    <t>Fixed</t>
  </si>
  <si>
    <t>Determined</t>
  </si>
  <si>
    <t>Cells</t>
  </si>
  <si>
    <t>Active</t>
  </si>
  <si>
    <t>Measured Residual</t>
  </si>
  <si>
    <t>Reconciled Residual</t>
  </si>
  <si>
    <t>Reconciled Deviation</t>
  </si>
  <si>
    <t>Fomula</t>
  </si>
  <si>
    <t>$C$32=$E$32</t>
  </si>
  <si>
    <t>([((FINALCONC_Q*FINALCONC_WF)+(TAILS_Q*TAILS_WF))]=[(((((((((((H2OSEAL_REM_1_Q+H2OSEAL_REM_2_Q)+POOL_REM_1_Q)+(ROUFEED_Q*ROUFEED_WF))+H2OSEAL_DI30_Q)+POOL_2CLN_Q)+POOL_REM_2_Q)+POOL_TK91_Q)+POOL_DI30_Q)+POOL_2CLNCONC_Q)+H2OSEAL_1CLN_Q)+POOL_TK42_Q)])</t>
  </si>
  <si>
    <t>$C$36=$E$36</t>
  </si>
  <si>
    <t>([(MILL_MIXER_Q*MILL_MIXER_WF)]=[((((((((((((((FEED_Q*FEED_WF)+POOL_BC2SUMP_Q)+POOL_BC3SUMP_Q)+POOL_MB1_Q)+POOL_SAG_Q)+TK83_MB1_Q)+POOL_BC1SUMP_Q)+TK83_D25_Q)+TK83_MB3_Q)+POOL_MB2_Q)+TK83_MB2_Q)+TK83_D20_Q)+POOL_MB3_Q)+POOL_M1_Q)])</t>
  </si>
  <si>
    <t>$C$17=$E$17</t>
  </si>
  <si>
    <t>([(DI101_TOTAL_Q*DI101_TOTAL_WF)]=[(((((FINALCONC_Q*FINALCONC_WF)+(PP52_DI101_Q*PP52_DI101_WF))+(PP54_DI101_Q*PP54_DI101_WF))+(PP53_DI101_Q*PP53_DI101_WF))+(PP51_DI101_Q*PP51_DI101_WF))])</t>
  </si>
  <si>
    <t>$C$15=$E$15</t>
  </si>
  <si>
    <t>([(DI101_TOTAL_Q*DI101_TOTAL_CF)]=[(((((FINALCONC_Q*FINALCONC_CF)+(PP54_DI101_Q*PP54_DI101_CF))+(PP51_DI101_Q*PP51_DI101_CF))+(PP53_DI101_Q*PP53_DI101_CF))+(PP52_DI101_Q*PP52_DI101_CF))])</t>
  </si>
  <si>
    <t>$C$44=$E$44</t>
  </si>
  <si>
    <t>([(((((((((((((((POOL_2CLN_Q+POOL_BC2SUMP_Q)+POOL_BC3SUMP_Q)+POOL_REM_1_Q)+POOL_SAG_Q)+POOL_2CLNCONC_Q)+POOL_DI30_Q)+POOL_MB2_Q)+POOL_MIXER_Q)+POOL_TK42_Q)+POOL_MB3_Q)+POOL_MB1_Q)+POOL_BC1SUMP_Q)+POOL_TK91_Q)+POOL_REM_2_Q)+POOL_M1_Q)]=[H2OPROCESSTOTAL_Q])</t>
  </si>
  <si>
    <t>$C$10=$E$10</t>
  </si>
  <si>
    <t>([((((CONCTHK22_CLOSE_Q*CONCTHK22_CLOSE_WF)+(CONCTHK22_PP53_Q*CONCTHK22_PP53_WF))+(CONCTHK22_PP54_Q*CONCTHK22_PP54_WF))+CONCTHK2_OVERFLOW_Q)]=[((CONCTHK22_OPEN_Q*CONCTHK22_OPEN_WF)+(DI101_CONCTHK22_Q*DI101_CONCTHK22_WF))])</t>
  </si>
  <si>
    <t>$C$6=$E$6</t>
  </si>
  <si>
    <t>([((((CONCTHK21_CLOSE_Q*CONCTHK21_CLOSE_WF)+(CONCTHK21_PP52_Q*CONCTHK21_PP52_WF))+CONCTHK1_OVERFLOW_Q)+(CONCTHK21_PP51_Q*CONCTHK21_PP51_WF))]=[((CONCTHK21_OPEN_Q*CONCTHK21_OPEN_WF)+(DI101_CONCTHK21_Q*DI101_CONCTHK21_WF))])</t>
  </si>
  <si>
    <t>$C$18=$E$18</t>
  </si>
  <si>
    <t>([((((CONCTHK_TK23_Q*CONCTHK_TK23_CF)+(CONCTHK_TK24_Q*CONCTHK_TK24_CF))+(CONCTHK_TK25_Q*CONCTHK_TK25_CF))+(CONCTHK_TK26_Q*CONCTHK_TK26_CF))]=[(CONCTHK_TKC_Q*CONCTHK_TKC_CF)])</t>
  </si>
  <si>
    <t>$C$3=$E$3</t>
  </si>
  <si>
    <t>([(((CONCTHK21_CLOSE_Q*CONCTHK21_CLOSE_CF)+(CONCTHK21_PP52_Q*CONCTHK21_PP52_CF))+(CONCTHK21_PP51_Q*CONCTHK21_PP51_CF))]=[((CONCTHK21_OPEN_Q*CONCTHK21_OPEN_CF)+(DI101_CONCTHK21_Q*DI101_CONCTHK21_CF))])</t>
  </si>
  <si>
    <t>$C$24=$E$24</t>
  </si>
  <si>
    <t>([(TKC_PIPE_Q*TKC_PIPE_CF)]=[((((TK24_DI105_Q*TK24_DI105_CF)+(TK25_DI105_Q*TK25_DI105_CF))+(TK23_DI105_Q*TK23_DI105_CF))+(TK26_DI105_Q*TK26_DI105_CF))])</t>
  </si>
  <si>
    <t>$C$20=$E$20</t>
  </si>
  <si>
    <t>([((((CONCTHK_TK23_Q*CONCTHK_TK23_WF)+(CONCTHK_TK24_Q*CONCTHK_TK24_WF))+(CONCTHK_TK26_Q*CONCTHK_TK26_WF))+(CONCTHK_TK25_Q*CONCTHK_TK25_WF))]=[(CONCTHK_TKC_Q*CONCTHK_TKC_WF)])</t>
  </si>
  <si>
    <t>$C$26=$E$26</t>
  </si>
  <si>
    <t>([(TKC_PIPE_Q*TKC_PIPE_WF)]=[((((TK23_DI105_Q*TK23_DI105_WF)+(TK26_DI105_Q*TK26_DI105_WF))+(TK24_DI105_Q*TK24_DI105_WF))+(TK25_DI105_Q*TK25_DI105_WF))])</t>
  </si>
  <si>
    <t>$C$23=$E$23</t>
  </si>
  <si>
    <t>([(CONCTHK_TKC_Q*CONCTHK_TKC_WF)]=[((((PP51_DI104_Q*PP51_DI104_WF)+(PP53_DI104_Q*PP53_DI104_WF))+(PP54_DI104_Q*PP54_DI104_WF))+(PP52_DI104_Q*PP52_DI104_WF))])</t>
  </si>
  <si>
    <t>$C$21=$E$21</t>
  </si>
  <si>
    <t>([(CONCTHK_TKC_Q*CONCTHK_TKC_CF)]=[((((PP53_DI104_Q*PP53_DI104_CF)+(PP51_DI104_Q*PP51_DI104_CF))+(PP52_DI104_Q*PP52_DI104_CF))+(PP54_DI104_Q*PP54_DI104_CF))])</t>
  </si>
  <si>
    <t>$C$7=$E$7</t>
  </si>
  <si>
    <t>([(((CONCTHK22_CLOSE_Q*CONCTHK22_CLOSE_CF)+(CONCTHK22_PP53_Q*CONCTHK22_PP53_CF))+(CONCTHK22_PP54_Q*CONCTHK22_PP54_CF))]=[((CONCTHK22_OPEN_Q*CONCTHK22_OPEN_CF)+(DI101_CONCTHK22_Q*DI101_CONCTHK22_CF))])</t>
  </si>
  <si>
    <t>$C$60=$E$60</t>
  </si>
  <si>
    <t>([(((TAILTHK6_CLOSE_Q*TAILTHK6_CLOSE_WF)+TAILTHK6_OVERFLOW_Q)+(TAILTHK6_UNDERFLOW_Q*TAILTHK6_UNDERFLOW_WF))]=[((TAILTHK6_OPEN_Q*TAILTHK6_OPEN_WF)+(DI150_TAILTHK6_Q*DI150_TAILTHK6_WF))])</t>
  </si>
  <si>
    <t>$C$64=$E$64</t>
  </si>
  <si>
    <t>([(((TAILTHK7_CLOSE_Q*TAILTHK7_CLOSE_WF)+TAILTHK7_OVERFLOW_Q)+(TAILTHK7_UNDERFLOW_Q*TAILTHK7_UNDERFLOW_WF))]=[((TAILTHK7_OPEN_Q*TAILTHK7_OPEN_WF)+(DI150_TAILTHK7_Q*DI150_TAILTHK7_WF))])</t>
  </si>
  <si>
    <t>$C$68=$E$68</t>
  </si>
  <si>
    <t>([(((TAILTHK8_CLOSE_Q*TAILTHK8_CLOSE_WF)+TAILTHK8_OVERFLOW_Q)+(TAILTHK8_UNDERFLOW_Q*TAILTHK8_UNDERFLOW_WF))]=[((TAILTHK8_OPEN_Q*TAILTHK8_OPEN_WF)+(DI150_TAILTHK8_Q*DI150_TAILTHK8_WF))])</t>
  </si>
  <si>
    <t>$C$42=$E$42</t>
  </si>
  <si>
    <t>([((PIPELINE_CLOSE_Q*PIPELINE_CLOSE_WF)+(PIPE_TKCLC_Q*PIPE_TKCLC_WF))]=[((PIPELINE_OPEN_Q*PIPELINE_OPEN_WF)+(TKC_PIPE_Q*TKC_PIPE_WF))])</t>
  </si>
  <si>
    <t>$C$57=$E$57</t>
  </si>
  <si>
    <t>([((TAILTHK6_CLOSE_Q*TAILTHK6_CLOSE_CF)+(TAILTHK6_UNDERFLOW_Q*TAILTHK6_UNDERFLOW_CF))]=[((TAILTHK6_OPEN_Q*TAILTHK6_OPEN_CF)+(DI150_TAILTHK6_Q*DI150_TAILTHK6_CF))])</t>
  </si>
  <si>
    <t>$C$40=$E$40</t>
  </si>
  <si>
    <t>([((PIPELINE_CLOSE_Q*PIPELINE_CLOSE_CF)+(PIPE_TKCLC_Q*PIPE_TKCLC_CF))]=[((PIPELINE_OPEN_Q*PIPELINE_OPEN_CF)+(TKC_PIPE_Q*TKC_PIPE_CF))])</t>
  </si>
  <si>
    <t>$C$88=$E$88</t>
  </si>
  <si>
    <t>([((TK26_CLOSE_Q*TK26_CLOSE_CF)+(TK26_DI105_Q*TK26_DI105_CF))]=[((TK26_OPEN_Q*TK26_OPEN_CF)+(CONCTHK_TK26_Q*CONCTHK_TK26_CF))])</t>
  </si>
  <si>
    <t>$C$90=$E$90</t>
  </si>
  <si>
    <t>([((TK26_CLOSE_Q*TK26_CLOSE_WF)+(TK26_DI105_Q*TK26_DI105_WF))]=[((TK26_OPEN_Q*TK26_OPEN_WF)+(CONCTHK_TK26_Q*CONCTHK_TK26_WF))])</t>
  </si>
  <si>
    <t>$C$87=$E$87</t>
  </si>
  <si>
    <t>([((TK25_CLOSE_Q*TK25_CLOSE_WF)+(TK25_DI105_Q*TK25_DI105_WF))]=[((TK25_OPEN_Q*TK25_OPEN_WF)+(CONCTHK_TK25_Q*CONCTHK_TK25_WF))])</t>
  </si>
  <si>
    <t>$C$81=$E$81</t>
  </si>
  <si>
    <t>([((TK23_CLOSE_Q*TK23_CLOSE_WF)+(TK23_DI105_Q*TK23_DI105_WF))]=[((TK23_OPEN_Q*TK23_OPEN_WF)+(CONCTHK_TK23_Q*CONCTHK_TK23_WF))])</t>
  </si>
  <si>
    <t>$C$65=$E$65</t>
  </si>
  <si>
    <t>([((TAILTHK8_CLOSE_Q*TAILTHK8_CLOSE_CF)+(TAILTHK8_UNDERFLOW_Q*TAILTHK8_UNDERFLOW_CF))]=[((TAILTHK8_OPEN_Q*TAILTHK8_OPEN_CF)+(DI150_TAILTHK8_Q*DI150_TAILTHK8_CF))])</t>
  </si>
  <si>
    <t>$C$79=$E$79</t>
  </si>
  <si>
    <t>([((TK23_CLOSE_Q*TK23_CLOSE_CF)+(TK23_DI105_Q*TK23_DI105_CF))]=[((TK23_OPEN_Q*TK23_OPEN_CF)+(CONCTHK_TK23_Q*CONCTHK_TK23_CF))])</t>
  </si>
  <si>
    <t>$C$82=$E$82</t>
  </si>
  <si>
    <t>([((TK24_CLOSE_Q*TK24_CLOSE_CF)+(TK24_DI105_Q*TK24_DI105_CF))]=[((TK24_OPEN_Q*TK24_OPEN_CF)+(CONCTHK_TK24_Q*CONCTHK_TK24_CF))])</t>
  </si>
  <si>
    <t>$C$61=$E$61</t>
  </si>
  <si>
    <t>([((TAILTHK7_CLOSE_Q*TAILTHK7_CLOSE_CF)+(TAILTHK7_UNDERFLOW_Q*TAILTHK7_UNDERFLOW_CF))]=[((TAILTHK7_OPEN_Q*TAILTHK7_OPEN_CF)+(DI150_TAILTHK7_Q*DI150_TAILTHK7_CF))])</t>
  </si>
  <si>
    <t>$C$85=$E$85</t>
  </si>
  <si>
    <t>([((TK25_CLOSE_Q*TK25_CLOSE_CF)+(TK25_DI105_Q*TK25_DI105_CF))]=[((TK25_OPEN_Q*TK25_OPEN_CF)+(CONCTHK_TK25_Q*CONCTHK_TK25_CF))])</t>
  </si>
  <si>
    <t>$C$84=$E$84</t>
  </si>
  <si>
    <t>([((TK24_CLOSE_Q*TK24_CLOSE_WF)+(TK24_DI105_Q*TK24_DI105_WF))]=[((TK24_OPEN_Q*TK24_OPEN_WF)+(CONCTHK_TK24_Q*CONCTHK_TK24_WF))])</t>
  </si>
  <si>
    <t>$C$27=$E$27</t>
  </si>
  <si>
    <t>([(((DI150_TAILTHK6_Q*DI150_TAILTHK6_CF)+(DI150_TAILTHK7_Q*DI150_TAILTHK7_CF))+(DI150_TAILTHK8_Q*DI150_TAILTHK8_CF))]=[(TAILS_Q*TAILS_CF)])</t>
  </si>
  <si>
    <t>$C$29=$E$29</t>
  </si>
  <si>
    <t>([(((DI150_TAILTHK6_Q*DI150_TAILTHK6_WF)+(DI150_TAILTHK8_Q*DI150_TAILTHK8_WF))+(DI150_TAILTHK7_Q*DI150_TAILTHK7_WF))]=[(TAILS_Q*TAILS_WF)])</t>
  </si>
  <si>
    <t>$C$91=$E$91</t>
  </si>
  <si>
    <t>([((((((((H2OSEAL_DI30_Q+TK83_D25_Q)+TK83_MB2_Q)+H2OSEAL_REM_1_Q)+TK83_D20_Q)+TK83_MB3_Q)+TK83_MB1_Q)+H2OSEAL_REM_2_Q)+H2OSEAL_1CLN_Q)]=[H2OSEAL_Q])</t>
  </si>
  <si>
    <t>$C$47=$E$47</t>
  </si>
  <si>
    <t>([((PP51_DI104_Q*PP51_DI104_WF)+(PP51_DI101_Q*PP51_DI101_WF))]=[(CONCTHK21_PP51_Q*CONCTHK21_PP51_WF)])</t>
  </si>
  <si>
    <t>$C$48=$E$48</t>
  </si>
  <si>
    <t>([((PP52_DI101_Q*PP52_DI101_CF)+(PP52_DI104_Q*PP52_DI104_CF))]=[(CONCTHK21_PP52_Q*CONCTHK21_PP52_CF)])</t>
  </si>
  <si>
    <t>$C$56=$E$56</t>
  </si>
  <si>
    <t>([((PP54_DI101_Q*PP54_DI101_WF)+(PP54_DI104_Q*PP54_DI104_WF))]=[(CONCTHK22_PP54_Q*CONCTHK22_PP54_WF)])</t>
  </si>
  <si>
    <t>$C$73=$E$73</t>
  </si>
  <si>
    <t>([(TK140_TK165_Q*TK140_TK165_CF)]=[((TAILTHK8_UNDERFLOW_Q*TAILTHK8_UNDERFLOW_CF)+(TAILTHK7_UNDERFLOW_Q*TAILTHK7_UNDERFLOW_CF))])</t>
  </si>
  <si>
    <t>$C$53=$E$53</t>
  </si>
  <si>
    <t>([((PP53_DI104_Q*PP53_DI104_WF)+(PP53_DI101_Q*PP53_DI101_WF))]=[(CONCTHK22_PP53_Q*CONCTHK22_PP53_WF)])</t>
  </si>
  <si>
    <t>$C$54=$E$54</t>
  </si>
  <si>
    <t>([((PP54_DI101_Q*PP54_DI101_CF)+(PP54_DI104_Q*PP54_DI104_CF))]=[(CONCTHK22_PP54_Q*CONCTHK22_PP54_CF)])</t>
  </si>
  <si>
    <t>$C$50=$E$50</t>
  </si>
  <si>
    <t>([((PP52_DI101_Q*PP52_DI101_WF)+(PP52_DI104_Q*PP52_DI104_WF))]=[(CONCTHK21_PP52_Q*CONCTHK21_PP52_WF)])</t>
  </si>
  <si>
    <t>$C$51=$E$51</t>
  </si>
  <si>
    <t>([((PP53_DI101_Q*PP53_DI101_CF)+(PP53_DI104_Q*PP53_DI104_CF))]=[(CONCTHK22_PP53_Q*CONCTHK22_PP53_CF)])</t>
  </si>
  <si>
    <t>$C$45=$E$45</t>
  </si>
  <si>
    <t>([((PP51_DI101_Q*PP51_DI101_CF)+(PP51_DI104_Q*PP51_DI104_CF))]=[(CONCTHK21_PP51_Q*CONCTHK21_PP51_CF)])</t>
  </si>
  <si>
    <t>$C$76=$E$76</t>
  </si>
  <si>
    <t>([(TAILPOND_Q*TAILPOND_CF)]=[((TAILTHK6_UNDERFLOW_Q*TAILTHK6_UNDERFLOW_CF)+(TK140_TK165_Q*TK140_TK165_CF))])</t>
  </si>
  <si>
    <t>$C$78=$E$78</t>
  </si>
  <si>
    <t>([(TAILPOND_Q*TAILPOND_WF)]=[((TAILTHK6_UNDERFLOW_Q*TAILTHK6_UNDERFLOW_WF)+(TK140_TK165_Q*TK140_TK165_WF))])</t>
  </si>
  <si>
    <t>$C$12=$E$12</t>
  </si>
  <si>
    <t>([((DI101_CONCTHK21_Q*DI101_CONCTHK21_CF)+(DI101_CONCTHK22_Q*DI101_CONCTHK22_CF))]=[(DI101_TOTAL_Q*DI101_TOTAL_CF)])</t>
  </si>
  <si>
    <t>$C$14=$E$14</t>
  </si>
  <si>
    <t>([((DI101_CONCTHK21_Q*DI101_CONCTHK21_WF)+(DI101_CONCTHK22_Q*DI101_CONCTHK22_WF))]=[(DI101_TOTAL_Q*DI101_TOTAL_WF)])</t>
  </si>
  <si>
    <t>$C$75=$E$75</t>
  </si>
  <si>
    <t>([(TK140_TK165_Q*TK140_TK165_WF)]=[((TAILTHK7_UNDERFLOW_Q*TAILTHK7_UNDERFLOW_WF)+(TAILTHK8_UNDERFLOW_Q*TAILTHK8_UNDERFLOW_WF))])</t>
  </si>
  <si>
    <t>$C$30=$E$30</t>
  </si>
  <si>
    <t>([((FINALCONC_Q*FINALCONC_CF)+(TAILS_Q*TAILS_CF))]=[(ROUFEED_Q*ROUFEED_CF)])</t>
  </si>
  <si>
    <t>$C$39=$E$39</t>
  </si>
  <si>
    <t>([(ROUFEED_Q*ROUFEED_WF)]=[(POOL_MIXER_Q+(MILL_MIXER_Q*MILL_MIXER_WF))])</t>
  </si>
  <si>
    <t>$C$92=$E$92</t>
  </si>
  <si>
    <t>([((((TK83_CLOSE_Q+TK83_CHIL_Q)+H2OSEAL_Q)+PLANTA_RO_FEED_Q)+TK83_TANK_Q)]=[(TK83_OPEN_Q+H2OFRESH_TK83_Q)])</t>
  </si>
  <si>
    <t>$C$70=$E$70</t>
  </si>
  <si>
    <t>([((TANK_CLOSE_Q+H2ODISCHARGE_Q)+H2OPROCESSTOTAL_Q)]=[(((TANK_OPEN_Q+H2O_RECOVERED_Q)+RO_TANK_Q)+TK83_TANK_Q)])</t>
  </si>
  <si>
    <t>$C$34=$E$34</t>
  </si>
  <si>
    <t>([(MILL_MIXER_Q*MILL_MIXER_CF)]=[(FEED_Q*FEED_CF)])</t>
  </si>
  <si>
    <t>$C$16=$E$16</t>
  </si>
  <si>
    <t>([DI101_TOTAL_Q]=[((((FINALCONC_Q+PP51_DI101_Q)+PP52_DI101_Q)+PP53_DI101_Q)+PP54_DI101_Q)])</t>
  </si>
  <si>
    <t>$C$37=$E$37</t>
  </si>
  <si>
    <t>([(ROUFEED_Q*ROUFEED_CF)]=[(MILL_MIXER_Q*MILL_MIXER_CF)])</t>
  </si>
  <si>
    <t>$C$22=$E$22</t>
  </si>
  <si>
    <t>([CONCTHK_TKC_Q]=[(((PP52_DI104_Q+PP53_DI104_Q)+PP51_DI104_Q)+PP54_DI104_Q)])</t>
  </si>
  <si>
    <t>$C$93=$E$93</t>
  </si>
  <si>
    <t>([CONCTHK21_TOTVOL_CLOSE_Q]=[((0.239*CONCTHK21_CLOSE_Q)+(CONCTHK21_CLOSE_Q*CONCTHK21_CLOSE_WF))])</t>
  </si>
  <si>
    <t>$C$19=$E$19</t>
  </si>
  <si>
    <t>([(((CONCTHK_TK24_Q+CONCTHK_TK25_Q)+CONCTHK_TK26_Q)+CONCTHK_TK23_Q)]=[CONCTHK_TKC_Q])</t>
  </si>
  <si>
    <t>$C$4=$E$4</t>
  </si>
  <si>
    <t>([((CONCTHK21_CLOSE_Q+CONCTHK21_PP51_Q)+CONCTHK21_PP52_Q)]=[(CONCTHK21_OPEN_Q+DI101_CONCTHK21_Q)])</t>
  </si>
  <si>
    <t>$C$8=$E$8</t>
  </si>
  <si>
    <t>([((CONCTHK22_CLOSE_Q+CONCTHK22_PP53_Q)+CONCTHK22_PP54_Q)]=[(CONCTHK22_OPEN_Q+DI101_CONCTHK22_Q)])</t>
  </si>
  <si>
    <t>$C$140=$E$140</t>
  </si>
  <si>
    <t>([TAILTHK8_TOTVOL_CLOSE_Q]=[((TAILTHK8_CLOSE_Q*TAILTHK8_CLOSE_WF)+(0.3645*TAILTHK8_CLOSE_Q))])</t>
  </si>
  <si>
    <t>$C$136=$E$136</t>
  </si>
  <si>
    <t>([TAILTHK6_TOTVOL_CLOSE_Q]=[((TAILTHK6_CLOSE_Q*TAILTHK6_CLOSE_WF)+(0.3645*TAILTHK6_CLOSE_Q))])</t>
  </si>
  <si>
    <t>$C$96=$E$96</t>
  </si>
  <si>
    <t>([CONCTHK22_TOTVOL_CLOSE_Q]=[((CONCTHK22_CLOSE_Q*CONCTHK22_CLOSE_WF)+(0.239*CONCTHK22_CLOSE_Q))])</t>
  </si>
  <si>
    <t>$C$138=$E$138</t>
  </si>
  <si>
    <t>([TAILTHK7_TOTVOL_CLOSE_Q]=[((TAILTHK7_CLOSE_Q*TAILTHK7_CLOSE_WF)+(0.3645*TAILTHK7_CLOSE_Q))])</t>
  </si>
  <si>
    <t>$C$25=$E$25</t>
  </si>
  <si>
    <t>([TKC_PIPE_Q]=[(((TK24_DI105_Q+TK25_DI105_Q)+TK26_DI105_Q)+TK23_DI105_Q)])</t>
  </si>
  <si>
    <t>$C$41=$E$41</t>
  </si>
  <si>
    <t>([(PIPELINE_CLOSE_Q+PIPE_TKCLC_Q)]=[(PIPELINE_OPEN_Q+TKC_PIPE_Q)])</t>
  </si>
  <si>
    <t>$C$86=$E$86</t>
  </si>
  <si>
    <t>([(TK25_CLOSE_Q+TK25_DI105_Q)]=[(TK25_OPEN_Q+CONCTHK_TK25_Q)])</t>
  </si>
  <si>
    <t>$C$83=$E$83</t>
  </si>
  <si>
    <t>([(TK24_CLOSE_Q+TK24_DI105_Q)]=[(TK24_OPEN_Q+CONCTHK_TK24_Q)])</t>
  </si>
  <si>
    <t>$C$80=$E$80</t>
  </si>
  <si>
    <t>([(TK23_CLOSE_Q+TK23_DI105_Q)]=[(TK23_OPEN_Q+CONCTHK_TK23_Q)])</t>
  </si>
  <si>
    <t>$C$89=$E$89</t>
  </si>
  <si>
    <t>([(TK26_CLOSE_Q+TK26_DI105_Q)]=[(TK26_OPEN_Q+CONCTHK_TK26_Q)])</t>
  </si>
  <si>
    <t>$C$58=$E$58</t>
  </si>
  <si>
    <t>([(TAILTHK6_CLOSE_Q+TAILTHK6_UNDERFLOW_Q)]=[(TAILTHK6_OPEN_Q+DI150_TAILTHK6_Q)])</t>
  </si>
  <si>
    <t>$C$28=$E$28</t>
  </si>
  <si>
    <t>([((DI150_TAILTHK6_Q+DI150_TAILTHK7_Q)+DI150_TAILTHK8_Q)]=[TAILS_Q])</t>
  </si>
  <si>
    <t>$C$62=$E$62</t>
  </si>
  <si>
    <t>([(TAILTHK7_CLOSE_Q+TAILTHK7_UNDERFLOW_Q)]=[(TAILTHK7_OPEN_Q+DI150_TAILTHK7_Q)])</t>
  </si>
  <si>
    <t>$C$66=$E$66</t>
  </si>
  <si>
    <t>([(TAILTHK8_CLOSE_Q+TAILTHK8_UNDERFLOW_Q)]=[(TAILTHK8_OPEN_Q+DI150_TAILTHK8_Q)])</t>
  </si>
  <si>
    <t>$C$72=$E$72</t>
  </si>
  <si>
    <t>([H2O_RECOVERED_Q]=[((TK10_TK11_Q+CONCTHK_OVERFLOW_Q)+TAILTHK_OVERFLOW_Q)])</t>
  </si>
  <si>
    <t>$C$69=$E$69</t>
  </si>
  <si>
    <t>([TAILTHK_OVERFLOW_Q]=[((TAILTHK7_OVERFLOW_Q+TAILTHK6_OVERFLOW_Q)+TAILTHK8_OVERFLOW_Q)])</t>
  </si>
  <si>
    <t>$C$94=$E$94</t>
  </si>
  <si>
    <t>([((500*CONCTHK21_OPEN_CF)+(500*CONCTHK21_CLOSE_CF))]=[(1000*CONCTHK21_PP51_CF)])</t>
  </si>
  <si>
    <t>$C$98=$E$98</t>
  </si>
  <si>
    <t>([((500*CONCTHK22_CLOSE_CF)+(500*CONCTHK22_OPEN_CF))]=[(1000*CONCTHK22_PP54_CF)])</t>
  </si>
  <si>
    <t>$C$95=$E$95</t>
  </si>
  <si>
    <t>([((500*CONCTHK21_CLOSE_CF)+(500*CONCTHK21_OPEN_CF))]=[(1000*CONCTHK21_PP52_CF)])</t>
  </si>
  <si>
    <t>$C$33=$E$33</t>
  </si>
  <si>
    <t>([H2OFRESH_TK83_Q]=[(BOREWATER_Q+RIVERWATER_Q)])</t>
  </si>
  <si>
    <t>$C$97=$E$97</t>
  </si>
  <si>
    <t>([((500*CONCTHK22_OPEN_CF)+(500*CONCTHK22_CLOSE_CF))]=[(1000*CONCTHK22_PP53_CF)])</t>
  </si>
  <si>
    <t>$C$11=$E$11</t>
  </si>
  <si>
    <t>([CONCTHK_OVERFLOW_Q]=[(CONCTHK1_OVERFLOW_Q+CONCTHK2_OVERFLOW_Q)])</t>
  </si>
  <si>
    <t>$C$43=$E$43</t>
  </si>
  <si>
    <t>([(RO_POND_Q+RO_TANK_Q)]=[PLANTA_RO_FEED_Q])</t>
  </si>
  <si>
    <t>$C$77=$E$77</t>
  </si>
  <si>
    <t>([TAILPOND_Q]=[(TAILTHK6_UNDERFLOW_Q+TK140_TK165_Q)])</t>
  </si>
  <si>
    <t>$C$74=$E$74</t>
  </si>
  <si>
    <t>([TK140_TK165_Q]=[(TAILTHK7_UNDERFLOW_Q+TAILTHK8_UNDERFLOW_Q)])</t>
  </si>
  <si>
    <t>$C$49=$E$49</t>
  </si>
  <si>
    <t>([(PP52_DI101_Q+PP52_DI104_Q)]=[CONCTHK21_PP52_Q])</t>
  </si>
  <si>
    <t>$C$46=$E$46</t>
  </si>
  <si>
    <t>([(PP51_DI101_Q+PP51_DI104_Q)]=[CONCTHK21_PP51_Q])</t>
  </si>
  <si>
    <t>$C$13=$E$13</t>
  </si>
  <si>
    <t>([(DI101_CONCTHK22_Q+DI101_CONCTHK21_Q)]=[DI101_TOTAL_Q])</t>
  </si>
  <si>
    <t>$C$31=$E$31</t>
  </si>
  <si>
    <t>([(FINALCONC_Q+TAILS_Q)]=[ROUFEED_Q])</t>
  </si>
  <si>
    <t>$C$52=$E$52</t>
  </si>
  <si>
    <t>([(PP53_DI101_Q+PP53_DI104_Q)]=[CONCTHK22_PP53_Q])</t>
  </si>
  <si>
    <t>$C$55=$E$55</t>
  </si>
  <si>
    <t>([(PP54_DI101_Q+PP54_DI104_Q)]=[CONCTHK22_PP54_Q])</t>
  </si>
  <si>
    <t>$C$128=$E$128</t>
  </si>
  <si>
    <t>([(1000*CONCTHK22_PP53_CF)]=[(1000*PP53_DI101_CF)])</t>
  </si>
  <si>
    <t>$C$129=$E$129</t>
  </si>
  <si>
    <t>([(1000*CONCTHK22_PP53_WF)]=[(1000*PP53_DI104_WF)])</t>
  </si>
  <si>
    <t>$C$131=$E$131</t>
  </si>
  <si>
    <t>([(1000*CONCTHK22_PP54_CF)]=[(1000*PP54_DI104_CF)])</t>
  </si>
  <si>
    <t>$C$132=$E$132</t>
  </si>
  <si>
    <t>([(1000*CONCTHK22_PP54_CF)]=[(1000*PP54_DI101_CF)])</t>
  </si>
  <si>
    <t>$C$120=$E$120</t>
  </si>
  <si>
    <t>([(1000*CONCTHK21_PP51_CF)]=[(1000*PP51_DI101_CF)])</t>
  </si>
  <si>
    <t>$C$130=$E$130</t>
  </si>
  <si>
    <t>([(1000*CONCTHK22_PP53_WF)]=[(1000*PP53_DI101_WF)])</t>
  </si>
  <si>
    <t>$C$126=$E$126</t>
  </si>
  <si>
    <t>([(1000*CONCTHK21_PP52_WF)]=[(1000*PP52_DI101_WF)])</t>
  </si>
  <si>
    <t>$C$124=$E$124</t>
  </si>
  <si>
    <t>([(1000*CONCTHK21_PP52_CF)]=[(1000*PP52_DI101_CF)])</t>
  </si>
  <si>
    <t>$C$125=$E$125</t>
  </si>
  <si>
    <t>([(1000*CONCTHK21_PP52_WF)]=[(1000*PP52_DI104_WF)])</t>
  </si>
  <si>
    <t>$C$127=$E$127</t>
  </si>
  <si>
    <t>([(1000*CONCTHK22_PP53_CF)]=[(1000*PP53_DI104_CF)])</t>
  </si>
  <si>
    <t>$C$121=$E$121</t>
  </si>
  <si>
    <t>([(1000*CONCTHK21_PP51_WF)]=[(1000*PP51_DI104_WF)])</t>
  </si>
  <si>
    <t>$C$122=$E$122</t>
  </si>
  <si>
    <t>([(1000*CONCTHK21_PP51_WF)]=[(1000*PP51_DI101_WF)])</t>
  </si>
  <si>
    <t>$C$123=$E$123</t>
  </si>
  <si>
    <t>([(1000*CONCTHK21_PP52_CF)]=[(1000*PP52_DI104_CF)])</t>
  </si>
  <si>
    <t>$C$141=$E$141</t>
  </si>
  <si>
    <t>([TK23_DI105_CF]=[TK23_CLOSE_CF])</t>
  </si>
  <si>
    <t>$C$145=$E$145</t>
  </si>
  <si>
    <t>([TK25_DI105_CF]=[TK25_CLOSE_CF])</t>
  </si>
  <si>
    <t>$C$147=$E$147</t>
  </si>
  <si>
    <t>([TK26_DI105_CF]=[TK26_CLOSE_CF])</t>
  </si>
  <si>
    <t>$C$144=$E$144</t>
  </si>
  <si>
    <t>([TK24_DI105_WF]=[TK24_CLOSE_WF])</t>
  </si>
  <si>
    <t>$C$143=$E$143</t>
  </si>
  <si>
    <t>([TK24_DI105_CF]=[TK24_CLOSE_CF])</t>
  </si>
  <si>
    <t>$C$142=$E$142</t>
  </si>
  <si>
    <t>([TK23_DI105_WF]=[TK23_CLOSE_WF])</t>
  </si>
  <si>
    <t>$C$148=$E$148</t>
  </si>
  <si>
    <t>([TK26_DI105_WF]=[TK26_CLOSE_WF])</t>
  </si>
  <si>
    <t>$C$135=$E$135</t>
  </si>
  <si>
    <t>([TAILTHK6_UNDERFLOW_CF]=[TAILTHK6_CLOSE_CF])</t>
  </si>
  <si>
    <t>$C$134=$E$134</t>
  </si>
  <si>
    <t>([(1000*CONCTHK22_PP54_WF)]=[(1000*PP54_DI101_WF)])</t>
  </si>
  <si>
    <t>$C$133=$E$133</t>
  </si>
  <si>
    <t>([(1000*CONCTHK22_PP54_WF)]=[(1000*PP54_DI104_WF)])</t>
  </si>
  <si>
    <t>$C$146=$E$146</t>
  </si>
  <si>
    <t>([TK25_DI105_WF]=[TK25_CLOSE_WF])</t>
  </si>
  <si>
    <t>$C$139=$E$139</t>
  </si>
  <si>
    <t>([TAILTHK8_UNDERFLOW_CF]=[TAILTHK8_CLOSE_CF])</t>
  </si>
  <si>
    <t>$C$137=$E$137</t>
  </si>
  <si>
    <t>([TAILTHK7_UNDERFLOW_CF]=[TAILTHK7_CLOSE_CF])</t>
  </si>
  <si>
    <t>$C$100=$E$100</t>
  </si>
  <si>
    <t>([(10000*DI101_CONCTHK22_CF)]=[(10000*DI101_TOTAL_CF)])</t>
  </si>
  <si>
    <t>$C$99=$E$99</t>
  </si>
  <si>
    <t>([(10000*DI101_CONCTHK21_CF)]=[(10000*DI101_TOTAL_CF)])</t>
  </si>
  <si>
    <t>$C$71=$E$71</t>
  </si>
  <si>
    <t>([TK10_TK11_Q]=[POND_RECVR_Q])</t>
  </si>
  <si>
    <t>$C$101=$E$101</t>
  </si>
  <si>
    <t>([(10000*DI101_CONCTHK21_WF)]=[(10000*DI101_TOTAL_WF)])</t>
  </si>
  <si>
    <t>$C$104=$E$104</t>
  </si>
  <si>
    <t>([(1000*CONCTHK_TKC_WF)]=[(1000*CONCTHK_TK23_WF)])</t>
  </si>
  <si>
    <t>$C$103=$E$103</t>
  </si>
  <si>
    <t>([(1000*CONCTHK_TKC_CF)]=[(1000*CONCTHK_TK23_CF)])</t>
  </si>
  <si>
    <t>$C$102=$E$102</t>
  </si>
  <si>
    <t>([(10000*DI101_CONCTHK22_WF)]=[(10000*DI101_TOTAL_WF)])</t>
  </si>
  <si>
    <t>$C$35=$E$35</t>
  </si>
  <si>
    <t>([MILL_MIXER_Q]=[FEED_Q])</t>
  </si>
  <si>
    <t>$C$9=$E$9</t>
  </si>
  <si>
    <t>([CONCTHK22_TOTVOL_CLOSE_Q]=[CONCTHK22_TOTVOL_OPEN_Q])</t>
  </si>
  <si>
    <t>$C$5=$E$5</t>
  </si>
  <si>
    <t>([CONCTHK21_TOTVOL_CLOSE_Q]=[CONCTHK21_TOTVOL_OPEN_Q])</t>
  </si>
  <si>
    <t>$C$38=$E$38</t>
  </si>
  <si>
    <t>([ROUFEED_Q]=[MILL_MIXER_Q])</t>
  </si>
  <si>
    <t>$C$67=$E$67</t>
  </si>
  <si>
    <t>([TAILTHK8_TOTVOL_CLOSE_Q]=[TAILTHK8_TOTVOL_OPEN_Q])</t>
  </si>
  <si>
    <t>$C$63=$E$63</t>
  </si>
  <si>
    <t>([TAILTHK7_TOTVOL_CLOSE_Q]=[TAILTHK7_TOTVOL_OPEN_Q])</t>
  </si>
  <si>
    <t>$C$59=$E$59</t>
  </si>
  <si>
    <t>([TAILTHK6_TOTVOL_CLOSE_Q]=[TAILTHK6_TOTVOL_OPEN_Q])</t>
  </si>
  <si>
    <t>$C$105=$E$105</t>
  </si>
  <si>
    <t>([(1000*CONCTHK_TKC_CF)]=[(1000*CONCTHK_TK24_CF)])</t>
  </si>
  <si>
    <t>$C$115=$E$115</t>
  </si>
  <si>
    <t>([(10000*DI150_TAILTHK7_WF)]=[(10000*TAILS_WF)])</t>
  </si>
  <si>
    <t>$C$114=$E$114</t>
  </si>
  <si>
    <t>([(10000*DI150_TAILTHK6_WF)]=[(10000*TAILS_WF)])</t>
  </si>
  <si>
    <t>$C$113=$E$113</t>
  </si>
  <si>
    <t>([(10000*DI150_TAILTHK8_CF)]=[(10000*TAILS_CF)])</t>
  </si>
  <si>
    <t>$C$116=$E$116</t>
  </si>
  <si>
    <t>([(10000*DI150_TAILTHK8_WF)]=[(10000*TAILS_WF)])</t>
  </si>
  <si>
    <t>$C$119=$E$119</t>
  </si>
  <si>
    <t>([(1000*CONCTHK21_PP51_CF)]=[(1000*PP51_DI104_CF)])</t>
  </si>
  <si>
    <t>$C$118=$E$118</t>
  </si>
  <si>
    <t>([PIPE_TKCLC_WF]=[PIPELINE_CLOSE_WF])</t>
  </si>
  <si>
    <t>$C$117=$E$117</t>
  </si>
  <si>
    <t>([PIPE_TKCLC_CF]=[PIPELINE_CLOSE_CF])</t>
  </si>
  <si>
    <t>$C$108=$E$108</t>
  </si>
  <si>
    <t>([(1000*CONCTHK_TKC_WF)]=[(1000*CONCTHK_TK25_WF)])</t>
  </si>
  <si>
    <t>$C$107=$E$107</t>
  </si>
  <si>
    <t>([(1000*CONCTHK_TKC_CF)]=[(1000*CONCTHK_TK25_CF)])</t>
  </si>
  <si>
    <t>$C$106=$E$106</t>
  </si>
  <si>
    <t>([(1000*CONCTHK_TKC_WF)]=[(1000*CONCTHK_TK24_WF)])</t>
  </si>
  <si>
    <t>$C$109=$E$109</t>
  </si>
  <si>
    <t>([(1000*CONCTHK_TKC_CF)]=[(1000*CONCTHK_TK26_CF)])</t>
  </si>
  <si>
    <t>$C$112=$E$112</t>
  </si>
  <si>
    <t>([(10000*DI150_TAILTHK7_CF)]=[(10000*TAILS_CF)])</t>
  </si>
  <si>
    <t>$C$111=$E$111</t>
  </si>
  <si>
    <t>([(10000*DI150_TAILTHK6_CF)]=[(10000*TAILS_CF)])</t>
  </si>
  <si>
    <t>$C$110=$E$110</t>
  </si>
  <si>
    <t>([(1000*CONCTHK_TKC_WF)]=[(1000*CONCTHK_TK26_WF)])</t>
  </si>
  <si>
    <t>Report Created:2/18/2012 7:12:08 PM</t>
  </si>
  <si>
    <t>/* BOREWATER_Q MEASURED */ BOREWATER_Q: $NORMAL (6745.246, 337.2623);</t>
  </si>
  <si>
    <t>/* CONCTHK21_CLOSE_Q MEASURED */ CONCTHK21_CLOSE_Q: $NORMAL (1176.4, 470.56);</t>
  </si>
  <si>
    <t>/* CONCTHK22_CLOSE_Q MEASURED */ CONCTHK22_CLOSE_Q: $NORMAL (3986.593, 1594.6372);</t>
  </si>
  <si>
    <t>/* CONCTHK_TK23_WF MEASURED */ CONCTHK_TK23_WF: $NORMAL (.4938, .04938);</t>
  </si>
  <si>
    <t>/* CONCTHK_TK24_WF MEASURED */ CONCTHK_TK24_WF: $NORMAL (.4938, .04938);</t>
  </si>
  <si>
    <t>/* CONCTHK_TK25_Q MEASURED */ CONCTHK_TK25_Q: $NORMAL (653.3503, 130.67006);</t>
  </si>
  <si>
    <t>/* CONCTHK_TK25_WF MEASURED */ CONCTHK_TK25_WF: $NORMAL (.3889, .03889);</t>
  </si>
  <si>
    <t>/* CONCTHK_TK26_Q MEASURED */ CONCTHK_TK26_Q: $NORMAL (1266.343, 253.2686);</t>
  </si>
  <si>
    <t>/* CONCTHK_TK26_WF MEASURED */ CONCTHK_TK26_WF: $NORMAL (.4588, .04588);</t>
  </si>
  <si>
    <t>/* CONCTHK_TKC_CF MEASURED */ CONCTHK_TKC_CF: $NORMAL (.3828, .03828);</t>
  </si>
  <si>
    <t>/* CONCTHK_TKC_WF MEASURED */ CONCTHK_TKC_WF: $NORMAL (.4295, .04295);</t>
  </si>
  <si>
    <t>/* DI101_CONCTHK21_Q MEASURED */ DI101_CONCTHK21_Q: $NORMAL (115.6259, 69.37554);</t>
  </si>
  <si>
    <t>/* DI101_CONCTHK22_Q MEASURED */ DI101_CONCTHK22_Q: $NORMAL (2360.259, 1416.1554);</t>
  </si>
  <si>
    <t>/* DI150_TAILTHK6_Q MEASURED */ DI150_TAILTHK6_Q: $NORMAL (5571.327, 1114.2654);</t>
  </si>
  <si>
    <t>/* DI150_TAILTHK7_Q MEASURED */ DI150_TAILTHK7_Q: $NORMAL (19640.27, 3928.054);</t>
  </si>
  <si>
    <t>/* DI150_TAILTHK8_Q MEASURED */ DI150_TAILTHK8_Q: $NORMAL (16978.74, 3395.748);</t>
  </si>
  <si>
    <t>/* FEED_CF MEASURED */ FEED_CF: $NORMAL (.0188987, .0037797);</t>
  </si>
  <si>
    <t>/* FEED_Q MEASURED */ FEED_Q: $NORMAL (58642.96, 293.2148);</t>
  </si>
  <si>
    <t>/* FEED_WF MEASURED */ FEED_WF: $NORMAL (.0309, .000309);</t>
  </si>
  <si>
    <t>/* FINALCONC_WF MEASURED */ FINALCONC_WF: $NORMAL (2.5971, .051942);</t>
  </si>
  <si>
    <t>/* H2OSEAL_1CLN_Q MEASURED */ H2OSEAL_1CLN_Q: $NORMAL (247.9974, 24.79974);</t>
  </si>
  <si>
    <t>/* H2OSEAL_DI30_Q MEASURED */ H2OSEAL_DI30_Q: $NORMAL (157.6599, 15.76599);</t>
  </si>
  <si>
    <t>/* H2OSEAL_REM_1_Q MEASURED */ H2OSEAL_REM_1_Q: $NORMAL (253.7728, 25.37728);</t>
  </si>
  <si>
    <t>/* H2OSEAL_REM_2_Q MEASURED */ H2OSEAL_REM_2_Q: $NORMAL (463.4107, 46.34107);</t>
  </si>
  <si>
    <t>/* PIPELINE_CLOSE_CF MEASURED */ PIPELINE_CLOSE_CF: $NORMAL (.3964, .01982);</t>
  </si>
  <si>
    <t>/* PIPELINE_CLOSE_Q MEASURED */ PIPELINE_CLOSE_Q: $NORMAL (700, 0);</t>
  </si>
  <si>
    <t>/* PIPELINE_CLOSE_WF MEASURED */ PIPELINE_CLOSE_WF: $NORMAL (.4793, .04793);</t>
  </si>
  <si>
    <t>/* PIPE_TKCLC_CF MEASURED */ PIPE_TKCLC_CF: $NORMAL (.3964, .03964);</t>
  </si>
  <si>
    <t>/* PIPE_TKCLC_Q MEASURED */ PIPE_TKCLC_Q: $NORMAL (1761.547, 88.07735);</t>
  </si>
  <si>
    <t>/* PIPE_TKCLC_WF MEASURED */ PIPE_TKCLC_WF: $NORMAL (.5063, .10126);</t>
  </si>
  <si>
    <t>/* POND_RECVR_Q MEASURED */ POND_RECVR_Q: $NORMAL (26849.41, 2684.941);</t>
  </si>
  <si>
    <t>/* POOL_2CLN_Q MEASURED */ POOL_2CLN_Q: $NORMAL (5133.478, 513.3478);</t>
  </si>
  <si>
    <t>/* POOL_DI30_Q MEASURED */ POOL_DI30_Q: $NORMAL (2400, 240);</t>
  </si>
  <si>
    <t>/* POOL_M1_Q MEASURED */ POOL_M1_Q: $NORMAL (18119.22, 1811.922);</t>
  </si>
  <si>
    <t>/* POOL_MB1_Q MEASURED */ POOL_MB1_Q: $NORMAL (14623.82, 1462.382);</t>
  </si>
  <si>
    <t>/* POOL_MB2_Q MEASURED */ POOL_MB2_Q: $NORMAL (28797.78, 2879.778);</t>
  </si>
  <si>
    <t>/* POOL_MB3_Q MEASURED */ POOL_MB3_Q: $NORMAL (29860.14, 2986.014);</t>
  </si>
  <si>
    <t>/* POOL_MIXER_Q MEASURED */ POOL_MIXER_Q: $NORMAL (48000, 4800);</t>
  </si>
  <si>
    <t>/* POOL_REM_1_Q MEASURED */ POOL_REM_1_Q: $NORMAL (600, 60);</t>
  </si>
  <si>
    <t>/* POOL_SAG_Q MEASURED */ POOL_SAG_Q: $NORMAL (893.182, 89.3182);</t>
  </si>
  <si>
    <t>/* PP52_DI104_Q MEASURED */ PP52_DI104_Q: $NORMAL (474.1677, 118.541925);</t>
  </si>
  <si>
    <t>/* PP52_DI104_WF MEASURED */ PP52_DI104_WF: $NORMAL (.4604, .04604);</t>
  </si>
  <si>
    <t>/* PP53_DI104_Q MEASURED */ PP53_DI104_Q: $NORMAL (1740.969, 435.24225);</t>
  </si>
  <si>
    <t>/* PP53_DI104_WF MEASURED */ PP53_DI104_WF: $NORMAL (.4213, .04213);</t>
  </si>
  <si>
    <t>/* RIVERWATER_Q MEASURED */ RIVERWATER_Q: $NORMAL (15705.18, 785.259);</t>
  </si>
  <si>
    <t>/* ROUFEED_WF MEASURED */ ROUFEED_WF: $NORMAL (2.6496, .052992);</t>
  </si>
  <si>
    <t>/* TAILS_WF MEASURED */ TAILS_WF: $NORMAL (2.876, .05752);</t>
  </si>
  <si>
    <t>/* TAILTHK6_CLOSE_Q MEASURED */ TAILTHK6_CLOSE_Q: $NORMAL (22158.27, 4431.654);</t>
  </si>
  <si>
    <t>/* TAILTHK6_UNDERFLOW_Q MEASURED */ TAILTHK6_UNDERFLOW_Q: $NORMAL (10893.01, 2178.602);</t>
  </si>
  <si>
    <t>/* TAILTHK6_UNDERFLOW_WF MEASURED */ TAILTHK6_UNDERFLOW_WF: $NORMAL (.8801, .17602);</t>
  </si>
  <si>
    <t>/* TAILTHK7_CLOSE_Q MEASURED */ TAILTHK7_CLOSE_Q: $NORMAL (15785.49, 3157.098);</t>
  </si>
  <si>
    <t>/* TAILTHK7_UNDERFLOW_Q MEASURED */ TAILTHK7_UNDERFLOW_Q: $NORMAL (52808.45, 10561.69);</t>
  </si>
  <si>
    <t>/* TAILTHK7_UNDERFLOW_WF MEASURED */ TAILTHK7_UNDERFLOW_WF: $NORMAL (.7114, .14228);</t>
  </si>
  <si>
    <t>/* TAILTHK8_CLOSE_Q MEASURED */ TAILTHK8_CLOSE_Q: $NORMAL (16850.28, 3370.056);</t>
  </si>
  <si>
    <t>/* TAILTHK8_UNDERFLOW_Q MEASURED */ TAILTHK8_UNDERFLOW_Q: $NORMAL (21149.41, 4229.882);</t>
  </si>
  <si>
    <t>/* TAILTHK8_UNDERFLOW_WF MEASURED */ TAILTHK8_UNDERFLOW_WF: $NORMAL (.9877, .19754);</t>
  </si>
  <si>
    <t>/* TANK_CLOSE_Q MEASURED */ TANK_CLOSE_Q: $NORMAL (54321.49, 1086.4298);</t>
  </si>
  <si>
    <t>/* TK23_CLOSE_CF MEASURED */ TK23_CLOSE_CF: $NORMAL (.3216, .01608);</t>
  </si>
  <si>
    <t>/* TK24_CLOSE_CF MEASURED */ TK24_CLOSE_CF: $NORMAL (.2981, .014905);</t>
  </si>
  <si>
    <t>/* TK24_DI105_CF MEASURED */ TK24_DI105_CF: $NORMAL (.3403, .03403);</t>
  </si>
  <si>
    <t>/* TK25_CLOSE_CF MEASURED */ TK25_CLOSE_CF: $NORMAL (.3403, .017015);</t>
  </si>
  <si>
    <t>/* TK25_CLOSE_Q MEASURED */ TK25_CLOSE_Q: $NORMAL (1557.745, 31.1549);</t>
  </si>
  <si>
    <t>/* TK25_CLOSE_WF MEASURED */ TK25_CLOSE_WF: $NORMAL (.4793, .04793);</t>
  </si>
  <si>
    <t>/* TK25_DI105_CF MEASURED */ TK25_DI105_CF: $NORMAL (.2981001, .02981);</t>
  </si>
  <si>
    <t>/* TK25_DI105_Q MEASURED */ TK25_DI105_Q: $NORMAL (1759.017, 351.8034);</t>
  </si>
  <si>
    <t>/* TK26_CLOSE_CF MEASURED */ TK26_CLOSE_CF: $NORMAL (.3262, .01631);</t>
  </si>
  <si>
    <t>/* TK26_CLOSE_Q MEASURED */ TK26_CLOSE_Q: $NORMAL (2659.57, 53.1914);</t>
  </si>
  <si>
    <t>/* TK26_CLOSE_WF MEASURED */ TK26_CLOSE_WF: $NORMAL (.5314, .05314);</t>
  </si>
  <si>
    <t>/* TK26_DI105_CF MEASURED */ TK26_DI105_CF: $NORMAL (.3262, .03262);</t>
  </si>
  <si>
    <t>/* TK83_CHIL_Q MEASURED */ TK83_CHIL_Q: $NORMAL (791.9999, 79.19999);</t>
  </si>
  <si>
    <t>/* TK83_CLOSE_Q MEASURED */ TK83_CLOSE_Q: $NORMAL (3110.834, 62.21668);</t>
  </si>
  <si>
    <t>/* TK83_D25_Q MEASURED */ TK83_D25_Q: $NORMAL (194.4807, 19.44807);</t>
  </si>
  <si>
    <t>/* TK83_MB1_Q MEASURED */ TK83_MB1_Q: $NORMAL (266.7529, 26.67529);</t>
  </si>
  <si>
    <t>/* TK83_MB2_Q MEASURED */ TK83_MB2_Q: $NORMAL (189.0285, 18.90285);</t>
  </si>
  <si>
    <t>/* TK83_MB3_Q MEASURED */ TK83_MB3_Q: $NORMAL (189.0285, 18.90285);</t>
  </si>
  <si>
    <t>/* TKC_PIPE_CF MEASURED */ TKC_PIPE_CF: $NORMAL (.2981001, .02981);</t>
  </si>
  <si>
    <t>/* TKC_PIPE_Q MEASURED */ TKC_PIPE_Q: $NORMAL (1806.908, 307.17436);</t>
  </si>
  <si>
    <t>/* TKC_PIPE_WF MEASURED */ TKC_PIPE_WF: $NORMAL (.4499, .08998);</t>
  </si>
  <si>
    <t>Exact</t>
  </si>
  <si>
    <t>Realistic</t>
  </si>
  <si>
    <t>Report Created:2/18/2012 9:40:17 PM</t>
  </si>
  <si>
    <t>Maximum iterations</t>
  </si>
  <si>
    <t>Observable</t>
  </si>
  <si>
    <t>Unobservable</t>
  </si>
</sst>
</file>

<file path=xl/styles.xml><?xml version="1.0" encoding="utf-8"?>
<styleSheet xmlns="http://schemas.openxmlformats.org/spreadsheetml/2006/main">
  <fonts count="19"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Verdana"/>
      <family val="2"/>
    </font>
    <font>
      <u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4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Courier New"/>
      <family val="3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rgb="FF1F497D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1F497D"/>
      </top>
      <bottom style="medium">
        <color rgb="FF1F497D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2" fillId="0" borderId="0"/>
  </cellStyleXfs>
  <cellXfs count="69">
    <xf numFmtId="0" fontId="0" fillId="0" borderId="0" xfId="0"/>
    <xf numFmtId="0" fontId="2" fillId="0" borderId="0" xfId="0" applyFont="1"/>
    <xf numFmtId="0" fontId="0" fillId="0" borderId="0" xfId="0" quotePrefix="1"/>
    <xf numFmtId="0" fontId="0" fillId="2" borderId="0" xfId="0" applyFill="1"/>
    <xf numFmtId="0" fontId="0" fillId="0" borderId="0" xfId="0" applyFill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left" wrapText="1" indent="1"/>
    </xf>
    <xf numFmtId="0" fontId="6" fillId="0" borderId="0" xfId="1" applyFont="1" applyAlignment="1" applyProtection="1">
      <alignment horizontal="left" wrapText="1" indent="1"/>
    </xf>
    <xf numFmtId="0" fontId="1" fillId="0" borderId="0" xfId="1" applyAlignment="1" applyProtection="1"/>
    <xf numFmtId="0" fontId="3" fillId="0" borderId="1" xfId="0" applyFont="1" applyBorder="1"/>
    <xf numFmtId="0" fontId="0" fillId="0" borderId="1" xfId="0" applyBorder="1"/>
    <xf numFmtId="0" fontId="3" fillId="3" borderId="1" xfId="0" applyFont="1" applyFill="1" applyBorder="1" applyAlignment="1">
      <alignment horizontal="center"/>
    </xf>
    <xf numFmtId="0" fontId="0" fillId="0" borderId="1" xfId="0" quotePrefix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11" fontId="0" fillId="0" borderId="0" xfId="0" applyNumberFormat="1"/>
    <xf numFmtId="0" fontId="7" fillId="0" borderId="0" xfId="0" applyFont="1" applyAlignment="1">
      <alignment vertical="top" wrapText="1"/>
    </xf>
    <xf numFmtId="0" fontId="0" fillId="0" borderId="0" xfId="0" applyNumberFormat="1"/>
    <xf numFmtId="2" fontId="0" fillId="0" borderId="0" xfId="0" applyNumberFormat="1"/>
    <xf numFmtId="0" fontId="8" fillId="0" borderId="0" xfId="0" applyFont="1" applyAlignment="1">
      <alignment vertical="top" wrapText="1"/>
    </xf>
    <xf numFmtId="0" fontId="7" fillId="0" borderId="0" xfId="0" applyNumberFormat="1" applyFont="1" applyAlignment="1">
      <alignment vertical="top" wrapText="1"/>
    </xf>
    <xf numFmtId="0" fontId="0" fillId="0" borderId="0" xfId="0" applyProtection="1">
      <protection locked="0"/>
    </xf>
    <xf numFmtId="0" fontId="0" fillId="2" borderId="0" xfId="0" applyNumberFormat="1" applyFill="1"/>
    <xf numFmtId="0" fontId="3" fillId="0" borderId="0" xfId="0" applyFont="1" applyFill="1"/>
    <xf numFmtId="0" fontId="2" fillId="0" borderId="0" xfId="1" applyFont="1" applyFill="1" applyAlignment="1" applyProtection="1"/>
    <xf numFmtId="0" fontId="2" fillId="0" borderId="0" xfId="0" applyFont="1" applyFill="1"/>
    <xf numFmtId="0" fontId="2" fillId="0" borderId="0" xfId="0" quotePrefix="1" applyFont="1" applyFill="1"/>
    <xf numFmtId="0" fontId="10" fillId="0" borderId="0" xfId="0" applyFont="1" applyFill="1"/>
    <xf numFmtId="0" fontId="2" fillId="0" borderId="0" xfId="2"/>
    <xf numFmtId="0" fontId="2" fillId="0" borderId="0" xfId="2" quotePrefix="1"/>
    <xf numFmtId="0" fontId="12" fillId="2" borderId="0" xfId="0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15" fillId="2" borderId="0" xfId="0" applyFont="1" applyFill="1" applyAlignment="1">
      <alignment vertical="center" wrapText="1"/>
    </xf>
    <xf numFmtId="0" fontId="13" fillId="2" borderId="0" xfId="0" applyFont="1" applyFill="1"/>
    <xf numFmtId="0" fontId="12" fillId="2" borderId="0" xfId="0" applyFont="1" applyFill="1"/>
    <xf numFmtId="0" fontId="15" fillId="2" borderId="0" xfId="0" applyFont="1" applyFill="1" applyAlignment="1">
      <alignment vertical="top" wrapText="1"/>
    </xf>
    <xf numFmtId="0" fontId="13" fillId="2" borderId="0" xfId="0" applyFont="1" applyFill="1" applyAlignment="1"/>
    <xf numFmtId="0" fontId="11" fillId="0" borderId="0" xfId="0" applyFont="1" applyFill="1" applyAlignment="1">
      <alignment horizontal="left"/>
    </xf>
    <xf numFmtId="0" fontId="11" fillId="0" borderId="0" xfId="0" applyNumberFormat="1" applyFont="1" applyFill="1" applyAlignment="1">
      <alignment horizontal="left"/>
    </xf>
    <xf numFmtId="0" fontId="11" fillId="0" borderId="0" xfId="0" quotePrefix="1" applyFont="1" applyFill="1" applyAlignment="1">
      <alignment horizontal="left"/>
    </xf>
    <xf numFmtId="0" fontId="14" fillId="2" borderId="0" xfId="0" applyFont="1" applyFill="1" applyAlignment="1">
      <alignment horizontal="left" vertical="center"/>
    </xf>
    <xf numFmtId="0" fontId="0" fillId="0" borderId="0" xfId="0" applyFill="1" applyAlignment="1"/>
    <xf numFmtId="0" fontId="13" fillId="0" borderId="0" xfId="0" applyFont="1" applyFill="1"/>
    <xf numFmtId="0" fontId="13" fillId="0" borderId="0" xfId="0" applyFont="1" applyFill="1" applyAlignment="1">
      <alignment vertical="center"/>
    </xf>
    <xf numFmtId="0" fontId="15" fillId="2" borderId="1" xfId="0" applyFont="1" applyFill="1" applyBorder="1" applyAlignment="1">
      <alignment vertical="center" wrapText="1"/>
    </xf>
    <xf numFmtId="0" fontId="12" fillId="2" borderId="1" xfId="0" applyFont="1" applyFill="1" applyBorder="1" applyAlignment="1">
      <alignment vertical="center"/>
    </xf>
    <xf numFmtId="0" fontId="15" fillId="2" borderId="1" xfId="0" applyFont="1" applyFill="1" applyBorder="1" applyAlignment="1">
      <alignment vertical="top" wrapText="1"/>
    </xf>
    <xf numFmtId="0" fontId="12" fillId="2" borderId="1" xfId="0" applyFont="1" applyFill="1" applyBorder="1"/>
    <xf numFmtId="0" fontId="16" fillId="0" borderId="0" xfId="0" applyFont="1" applyFill="1" applyBorder="1" applyAlignment="1"/>
    <xf numFmtId="0" fontId="16" fillId="2" borderId="1" xfId="0" applyFont="1" applyFill="1" applyBorder="1" applyAlignment="1"/>
    <xf numFmtId="0" fontId="17" fillId="0" borderId="0" xfId="0" applyFont="1"/>
    <xf numFmtId="0" fontId="17" fillId="0" borderId="8" xfId="0" applyFont="1" applyBorder="1" applyAlignment="1">
      <alignment horizontal="center" vertical="top" wrapText="1"/>
    </xf>
    <xf numFmtId="0" fontId="18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9" fillId="2" borderId="5" xfId="0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34</xdr:row>
      <xdr:rowOff>85725</xdr:rowOff>
    </xdr:from>
    <xdr:to>
      <xdr:col>7</xdr:col>
      <xdr:colOff>666750</xdr:colOff>
      <xdr:row>39</xdr:row>
      <xdr:rowOff>38100</xdr:rowOff>
    </xdr:to>
    <xdr:sp macro="" textlink="">
      <xdr:nvSpPr>
        <xdr:cNvPr id="2" name="Rounded Rectangle 1"/>
        <xdr:cNvSpPr/>
      </xdr:nvSpPr>
      <xdr:spPr>
        <a:xfrm>
          <a:off x="2571750" y="6562725"/>
          <a:ext cx="1552575" cy="904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1</a:t>
          </a:r>
        </a:p>
        <a:p>
          <a:pPr algn="ctr"/>
          <a:r>
            <a:rPr lang="en-US" sz="1100"/>
            <a:t>Mixer</a:t>
          </a:r>
        </a:p>
      </xdr:txBody>
    </xdr:sp>
    <xdr:clientData/>
  </xdr:twoCellAnchor>
  <xdr:twoCellAnchor>
    <xdr:from>
      <xdr:col>10</xdr:col>
      <xdr:colOff>0</xdr:colOff>
      <xdr:row>34</xdr:row>
      <xdr:rowOff>76200</xdr:rowOff>
    </xdr:from>
    <xdr:to>
      <xdr:col>14</xdr:col>
      <xdr:colOff>133350</xdr:colOff>
      <xdr:row>39</xdr:row>
      <xdr:rowOff>28575</xdr:rowOff>
    </xdr:to>
    <xdr:sp macro="" textlink="">
      <xdr:nvSpPr>
        <xdr:cNvPr id="3" name="Rounded Rectangle 2"/>
        <xdr:cNvSpPr/>
      </xdr:nvSpPr>
      <xdr:spPr>
        <a:xfrm>
          <a:off x="5172075" y="6553200"/>
          <a:ext cx="2324100" cy="904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2</a:t>
          </a:r>
        </a:p>
        <a:p>
          <a:pPr algn="ctr"/>
          <a:r>
            <a:rPr lang="en-US" sz="1100"/>
            <a:t>Reactor</a:t>
          </a:r>
        </a:p>
      </xdr:txBody>
    </xdr:sp>
    <xdr:clientData/>
  </xdr:twoCellAnchor>
  <xdr:twoCellAnchor>
    <xdr:from>
      <xdr:col>16</xdr:col>
      <xdr:colOff>219076</xdr:colOff>
      <xdr:row>29</xdr:row>
      <xdr:rowOff>114300</xdr:rowOff>
    </xdr:from>
    <xdr:to>
      <xdr:col>17</xdr:col>
      <xdr:colOff>742951</xdr:colOff>
      <xdr:row>44</xdr:row>
      <xdr:rowOff>0</xdr:rowOff>
    </xdr:to>
    <xdr:sp macro="" textlink="">
      <xdr:nvSpPr>
        <xdr:cNvPr id="4" name="Rounded Rectangle 3"/>
        <xdr:cNvSpPr/>
      </xdr:nvSpPr>
      <xdr:spPr>
        <a:xfrm>
          <a:off x="8439151" y="5638800"/>
          <a:ext cx="857250" cy="27432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3</a:t>
          </a:r>
        </a:p>
        <a:p>
          <a:pPr algn="ctr"/>
          <a:r>
            <a:rPr lang="en-US" sz="1100"/>
            <a:t>Separator</a:t>
          </a:r>
        </a:p>
      </xdr:txBody>
    </xdr:sp>
    <xdr:clientData/>
  </xdr:twoCellAnchor>
  <xdr:twoCellAnchor>
    <xdr:from>
      <xdr:col>11</xdr:col>
      <xdr:colOff>533401</xdr:colOff>
      <xdr:row>23</xdr:row>
      <xdr:rowOff>161925</xdr:rowOff>
    </xdr:from>
    <xdr:to>
      <xdr:col>13</xdr:col>
      <xdr:colOff>219076</xdr:colOff>
      <xdr:row>30</xdr:row>
      <xdr:rowOff>171450</xdr:rowOff>
    </xdr:to>
    <xdr:sp macro="" textlink="">
      <xdr:nvSpPr>
        <xdr:cNvPr id="5" name="Rounded Rectangle 4"/>
        <xdr:cNvSpPr/>
      </xdr:nvSpPr>
      <xdr:spPr>
        <a:xfrm>
          <a:off x="5962651" y="4543425"/>
          <a:ext cx="857250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4</a:t>
          </a:r>
        </a:p>
        <a:p>
          <a:pPr algn="ctr"/>
          <a:r>
            <a:rPr lang="en-US" sz="1100"/>
            <a:t>Splitter</a:t>
          </a:r>
        </a:p>
      </xdr:txBody>
    </xdr:sp>
    <xdr:clientData/>
  </xdr:twoCellAnchor>
  <xdr:twoCellAnchor>
    <xdr:from>
      <xdr:col>13</xdr:col>
      <xdr:colOff>219076</xdr:colOff>
      <xdr:row>27</xdr:row>
      <xdr:rowOff>71438</xdr:rowOff>
    </xdr:from>
    <xdr:to>
      <xdr:col>17</xdr:col>
      <xdr:colOff>314326</xdr:colOff>
      <xdr:row>29</xdr:row>
      <xdr:rowOff>114300</xdr:rowOff>
    </xdr:to>
    <xdr:cxnSp macro="">
      <xdr:nvCxnSpPr>
        <xdr:cNvPr id="7" name="Shape 6"/>
        <xdr:cNvCxnSpPr>
          <a:stCxn id="4" idx="0"/>
          <a:endCxn id="5" idx="3"/>
        </xdr:cNvCxnSpPr>
      </xdr:nvCxnSpPr>
      <xdr:spPr>
        <a:xfrm rot="16200000" flipV="1">
          <a:off x="7631908" y="4402931"/>
          <a:ext cx="423862" cy="2047875"/>
        </a:xfrm>
        <a:prstGeom prst="bentConnector2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185739</xdr:colOff>
      <xdr:row>27</xdr:row>
      <xdr:rowOff>71437</xdr:rowOff>
    </xdr:from>
    <xdr:to>
      <xdr:col>11</xdr:col>
      <xdr:colOff>533402</xdr:colOff>
      <xdr:row>34</xdr:row>
      <xdr:rowOff>85724</xdr:rowOff>
    </xdr:to>
    <xdr:cxnSp macro="">
      <xdr:nvCxnSpPr>
        <xdr:cNvPr id="8" name="Shape 7"/>
        <xdr:cNvCxnSpPr>
          <a:stCxn id="5" idx="1"/>
          <a:endCxn id="2" idx="0"/>
        </xdr:cNvCxnSpPr>
      </xdr:nvCxnSpPr>
      <xdr:spPr>
        <a:xfrm rot="10800000" flipV="1">
          <a:off x="3348039" y="5214937"/>
          <a:ext cx="2614613" cy="1347787"/>
        </a:xfrm>
        <a:prstGeom prst="bentConnector2">
          <a:avLst/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133350</xdr:colOff>
      <xdr:row>36</xdr:row>
      <xdr:rowOff>147638</xdr:rowOff>
    </xdr:from>
    <xdr:to>
      <xdr:col>16</xdr:col>
      <xdr:colOff>219076</xdr:colOff>
      <xdr:row>36</xdr:row>
      <xdr:rowOff>152400</xdr:rowOff>
    </xdr:to>
    <xdr:cxnSp macro="">
      <xdr:nvCxnSpPr>
        <xdr:cNvPr id="11" name="Shape 10"/>
        <xdr:cNvCxnSpPr>
          <a:stCxn id="3" idx="3"/>
          <a:endCxn id="4" idx="1"/>
        </xdr:cNvCxnSpPr>
      </xdr:nvCxnSpPr>
      <xdr:spPr>
        <a:xfrm>
          <a:off x="7496175" y="7005638"/>
          <a:ext cx="942976" cy="4762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666750</xdr:colOff>
      <xdr:row>36</xdr:row>
      <xdr:rowOff>147638</xdr:rowOff>
    </xdr:from>
    <xdr:to>
      <xdr:col>10</xdr:col>
      <xdr:colOff>0</xdr:colOff>
      <xdr:row>36</xdr:row>
      <xdr:rowOff>157163</xdr:rowOff>
    </xdr:to>
    <xdr:cxnSp macro="">
      <xdr:nvCxnSpPr>
        <xdr:cNvPr id="15" name="Shape 14"/>
        <xdr:cNvCxnSpPr>
          <a:stCxn id="2" idx="3"/>
          <a:endCxn id="3" idx="1"/>
        </xdr:cNvCxnSpPr>
      </xdr:nvCxnSpPr>
      <xdr:spPr>
        <a:xfrm flipV="1">
          <a:off x="4124325" y="7005638"/>
          <a:ext cx="1047750" cy="9525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36</xdr:row>
      <xdr:rowOff>152400</xdr:rowOff>
    </xdr:from>
    <xdr:to>
      <xdr:col>5</xdr:col>
      <xdr:colOff>180975</xdr:colOff>
      <xdr:row>36</xdr:row>
      <xdr:rowOff>157163</xdr:rowOff>
    </xdr:to>
    <xdr:cxnSp macro="">
      <xdr:nvCxnSpPr>
        <xdr:cNvPr id="18" name="Shape 17"/>
        <xdr:cNvCxnSpPr>
          <a:endCxn id="2" idx="1"/>
        </xdr:cNvCxnSpPr>
      </xdr:nvCxnSpPr>
      <xdr:spPr>
        <a:xfrm>
          <a:off x="1695450" y="7010400"/>
          <a:ext cx="876300" cy="4763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190501</xdr:colOff>
      <xdr:row>21</xdr:row>
      <xdr:rowOff>123825</xdr:rowOff>
    </xdr:from>
    <xdr:to>
      <xdr:col>12</xdr:col>
      <xdr:colOff>190503</xdr:colOff>
      <xdr:row>23</xdr:row>
      <xdr:rowOff>161925</xdr:rowOff>
    </xdr:to>
    <xdr:cxnSp macro="">
      <xdr:nvCxnSpPr>
        <xdr:cNvPr id="23" name="Shape 17"/>
        <xdr:cNvCxnSpPr>
          <a:stCxn id="5" idx="0"/>
        </xdr:cNvCxnSpPr>
      </xdr:nvCxnSpPr>
      <xdr:spPr>
        <a:xfrm rot="5400000" flipH="1" flipV="1">
          <a:off x="6181727" y="4333874"/>
          <a:ext cx="419100" cy="2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314325</xdr:colOff>
      <xdr:row>44</xdr:row>
      <xdr:rowOff>1</xdr:rowOff>
    </xdr:from>
    <xdr:to>
      <xdr:col>17</xdr:col>
      <xdr:colOff>314326</xdr:colOff>
      <xdr:row>47</xdr:row>
      <xdr:rowOff>152401</xdr:rowOff>
    </xdr:to>
    <xdr:cxnSp macro="">
      <xdr:nvCxnSpPr>
        <xdr:cNvPr id="26" name="Shape 17"/>
        <xdr:cNvCxnSpPr>
          <a:stCxn id="4" idx="2"/>
        </xdr:cNvCxnSpPr>
      </xdr:nvCxnSpPr>
      <xdr:spPr>
        <a:xfrm rot="5400000">
          <a:off x="8505826" y="8743950"/>
          <a:ext cx="723900" cy="1"/>
        </a:xfrm>
        <a:prstGeom prst="bentConnector3">
          <a:avLst>
            <a:gd name="adj1" fmla="val 50000"/>
          </a:avLst>
        </a:prstGeom>
        <a:ln w="3810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21</xdr:row>
      <xdr:rowOff>171450</xdr:rowOff>
    </xdr:from>
    <xdr:to>
      <xdr:col>14</xdr:col>
      <xdr:colOff>104775</xdr:colOff>
      <xdr:row>23</xdr:row>
      <xdr:rowOff>66675</xdr:rowOff>
    </xdr:to>
    <xdr:sp macro="" textlink="">
      <xdr:nvSpPr>
        <xdr:cNvPr id="41" name="Parallelogram 40"/>
        <xdr:cNvSpPr/>
      </xdr:nvSpPr>
      <xdr:spPr>
        <a:xfrm>
          <a:off x="6638925" y="4171950"/>
          <a:ext cx="828675" cy="2762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Purge 6</a:t>
          </a:r>
        </a:p>
      </xdr:txBody>
    </xdr:sp>
    <xdr:clientData/>
  </xdr:twoCellAnchor>
  <xdr:twoCellAnchor>
    <xdr:from>
      <xdr:col>14</xdr:col>
      <xdr:colOff>142875</xdr:colOff>
      <xdr:row>24</xdr:row>
      <xdr:rowOff>180975</xdr:rowOff>
    </xdr:from>
    <xdr:to>
      <xdr:col>16</xdr:col>
      <xdr:colOff>114300</xdr:colOff>
      <xdr:row>26</xdr:row>
      <xdr:rowOff>114300</xdr:rowOff>
    </xdr:to>
    <xdr:sp macro="" textlink="">
      <xdr:nvSpPr>
        <xdr:cNvPr id="42" name="Parallelogram 41"/>
        <xdr:cNvSpPr/>
      </xdr:nvSpPr>
      <xdr:spPr>
        <a:xfrm>
          <a:off x="7505700" y="475297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8</xdr:col>
      <xdr:colOff>9525</xdr:colOff>
      <xdr:row>25</xdr:row>
      <xdr:rowOff>9525</xdr:rowOff>
    </xdr:from>
    <xdr:to>
      <xdr:col>9</xdr:col>
      <xdr:colOff>504825</xdr:colOff>
      <xdr:row>26</xdr:row>
      <xdr:rowOff>133350</xdr:rowOff>
    </xdr:to>
    <xdr:sp macro="" textlink="">
      <xdr:nvSpPr>
        <xdr:cNvPr id="43" name="Parallelogram 42"/>
        <xdr:cNvSpPr/>
      </xdr:nvSpPr>
      <xdr:spPr>
        <a:xfrm>
          <a:off x="4238625" y="477202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8</xdr:col>
      <xdr:colOff>66675</xdr:colOff>
      <xdr:row>34</xdr:row>
      <xdr:rowOff>95250</xdr:rowOff>
    </xdr:from>
    <xdr:to>
      <xdr:col>9</xdr:col>
      <xdr:colOff>561975</xdr:colOff>
      <xdr:row>36</xdr:row>
      <xdr:rowOff>28575</xdr:rowOff>
    </xdr:to>
    <xdr:sp macro="" textlink="">
      <xdr:nvSpPr>
        <xdr:cNvPr id="44" name="Parallelogram 43"/>
        <xdr:cNvSpPr/>
      </xdr:nvSpPr>
      <xdr:spPr>
        <a:xfrm>
          <a:off x="4295775" y="6572250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3</xdr:col>
      <xdr:colOff>361950</xdr:colOff>
      <xdr:row>34</xdr:row>
      <xdr:rowOff>85725</xdr:rowOff>
    </xdr:from>
    <xdr:to>
      <xdr:col>4</xdr:col>
      <xdr:colOff>447675</xdr:colOff>
      <xdr:row>36</xdr:row>
      <xdr:rowOff>19050</xdr:rowOff>
    </xdr:to>
    <xdr:sp macro="" textlink="">
      <xdr:nvSpPr>
        <xdr:cNvPr id="45" name="Parallelogram 44"/>
        <xdr:cNvSpPr/>
      </xdr:nvSpPr>
      <xdr:spPr>
        <a:xfrm>
          <a:off x="1543050" y="656272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14</xdr:col>
      <xdr:colOff>180975</xdr:colOff>
      <xdr:row>34</xdr:row>
      <xdr:rowOff>85725</xdr:rowOff>
    </xdr:from>
    <xdr:to>
      <xdr:col>16</xdr:col>
      <xdr:colOff>152400</xdr:colOff>
      <xdr:row>36</xdr:row>
      <xdr:rowOff>19050</xdr:rowOff>
    </xdr:to>
    <xdr:sp macro="" textlink="">
      <xdr:nvSpPr>
        <xdr:cNvPr id="46" name="Parallelogram 45"/>
        <xdr:cNvSpPr/>
      </xdr:nvSpPr>
      <xdr:spPr>
        <a:xfrm>
          <a:off x="7543800" y="656272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15</xdr:col>
      <xdr:colOff>276225</xdr:colOff>
      <xdr:row>44</xdr:row>
      <xdr:rowOff>123825</xdr:rowOff>
    </xdr:from>
    <xdr:to>
      <xdr:col>17</xdr:col>
      <xdr:colOff>180975</xdr:colOff>
      <xdr:row>46</xdr:row>
      <xdr:rowOff>57150</xdr:rowOff>
    </xdr:to>
    <xdr:sp macro="" textlink="">
      <xdr:nvSpPr>
        <xdr:cNvPr id="47" name="Parallelogram 46"/>
        <xdr:cNvSpPr/>
      </xdr:nvSpPr>
      <xdr:spPr>
        <a:xfrm>
          <a:off x="7905750" y="8505825"/>
          <a:ext cx="828675" cy="314325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9</xdr:col>
      <xdr:colOff>19050</xdr:colOff>
      <xdr:row>41</xdr:row>
      <xdr:rowOff>142875</xdr:rowOff>
    </xdr:from>
    <xdr:to>
      <xdr:col>13</xdr:col>
      <xdr:colOff>476250</xdr:colOff>
      <xdr:row>44</xdr:row>
      <xdr:rowOff>19050</xdr:rowOff>
    </xdr:to>
    <xdr:sp macro="" textlink="">
      <xdr:nvSpPr>
        <xdr:cNvPr id="48" name="Rectangle 47"/>
        <xdr:cNvSpPr/>
      </xdr:nvSpPr>
      <xdr:spPr>
        <a:xfrm>
          <a:off x="4581525" y="7953375"/>
          <a:ext cx="2495550" cy="4476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Ammonia</a:t>
          </a:r>
          <a:r>
            <a:rPr lang="en-US" sz="1100" baseline="0"/>
            <a:t> Synthesis Loop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36</xdr:row>
      <xdr:rowOff>142875</xdr:rowOff>
    </xdr:from>
    <xdr:to>
      <xdr:col>5</xdr:col>
      <xdr:colOff>76200</xdr:colOff>
      <xdr:row>47</xdr:row>
      <xdr:rowOff>95250</xdr:rowOff>
    </xdr:to>
    <xdr:sp macro="" textlink="">
      <xdr:nvSpPr>
        <xdr:cNvPr id="2" name="Flowchart: Alternate Process 1"/>
        <xdr:cNvSpPr/>
      </xdr:nvSpPr>
      <xdr:spPr>
        <a:xfrm>
          <a:off x="1819275" y="2428875"/>
          <a:ext cx="695325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T3</a:t>
          </a:r>
        </a:p>
      </xdr:txBody>
    </xdr:sp>
    <xdr:clientData/>
  </xdr:twoCellAnchor>
  <xdr:twoCellAnchor>
    <xdr:from>
      <xdr:col>4</xdr:col>
      <xdr:colOff>142875</xdr:colOff>
      <xdr:row>29</xdr:row>
      <xdr:rowOff>114300</xdr:rowOff>
    </xdr:from>
    <xdr:to>
      <xdr:col>4</xdr:col>
      <xdr:colOff>514350</xdr:colOff>
      <xdr:row>31</xdr:row>
      <xdr:rowOff>104775</xdr:rowOff>
    </xdr:to>
    <xdr:sp macro="" textlink="">
      <xdr:nvSpPr>
        <xdr:cNvPr id="3" name="Oval 2"/>
        <xdr:cNvSpPr/>
      </xdr:nvSpPr>
      <xdr:spPr>
        <a:xfrm>
          <a:off x="1971675" y="1066800"/>
          <a:ext cx="3714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sz="1100"/>
            <a:t>J4</a:t>
          </a:r>
        </a:p>
      </xdr:txBody>
    </xdr:sp>
    <xdr:clientData/>
  </xdr:twoCellAnchor>
  <xdr:twoCellAnchor>
    <xdr:from>
      <xdr:col>9</xdr:col>
      <xdr:colOff>504825</xdr:colOff>
      <xdr:row>36</xdr:row>
      <xdr:rowOff>133350</xdr:rowOff>
    </xdr:from>
    <xdr:to>
      <xdr:col>10</xdr:col>
      <xdr:colOff>590550</xdr:colOff>
      <xdr:row>47</xdr:row>
      <xdr:rowOff>85725</xdr:rowOff>
    </xdr:to>
    <xdr:sp macro="" textlink="">
      <xdr:nvSpPr>
        <xdr:cNvPr id="4" name="Flowchart: Alternate Process 3"/>
        <xdr:cNvSpPr/>
      </xdr:nvSpPr>
      <xdr:spPr>
        <a:xfrm>
          <a:off x="5381625" y="2419350"/>
          <a:ext cx="695325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T5</a:t>
          </a:r>
        </a:p>
      </xdr:txBody>
    </xdr:sp>
    <xdr:clientData/>
  </xdr:twoCellAnchor>
  <xdr:twoCellAnchor>
    <xdr:from>
      <xdr:col>12</xdr:col>
      <xdr:colOff>57150</xdr:colOff>
      <xdr:row>32</xdr:row>
      <xdr:rowOff>28575</xdr:rowOff>
    </xdr:from>
    <xdr:to>
      <xdr:col>13</xdr:col>
      <xdr:colOff>333375</xdr:colOff>
      <xdr:row>34</xdr:row>
      <xdr:rowOff>171450</xdr:rowOff>
    </xdr:to>
    <xdr:sp macro="" textlink="">
      <xdr:nvSpPr>
        <xdr:cNvPr id="5" name="Flowchart: Alternate Process 4"/>
        <xdr:cNvSpPr/>
      </xdr:nvSpPr>
      <xdr:spPr>
        <a:xfrm>
          <a:off x="6762750" y="1552575"/>
          <a:ext cx="8858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D7</a:t>
          </a:r>
        </a:p>
      </xdr:txBody>
    </xdr:sp>
    <xdr:clientData/>
  </xdr:twoCellAnchor>
  <xdr:twoCellAnchor>
    <xdr:from>
      <xdr:col>6</xdr:col>
      <xdr:colOff>190500</xdr:colOff>
      <xdr:row>49</xdr:row>
      <xdr:rowOff>95250</xdr:rowOff>
    </xdr:from>
    <xdr:to>
      <xdr:col>7</xdr:col>
      <xdr:colOff>466725</xdr:colOff>
      <xdr:row>52</xdr:row>
      <xdr:rowOff>47625</xdr:rowOff>
    </xdr:to>
    <xdr:sp macro="" textlink="">
      <xdr:nvSpPr>
        <xdr:cNvPr id="6" name="Flowchart: Alternate Process 5"/>
        <xdr:cNvSpPr/>
      </xdr:nvSpPr>
      <xdr:spPr>
        <a:xfrm>
          <a:off x="3238500" y="4857750"/>
          <a:ext cx="8858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D4</a:t>
          </a:r>
        </a:p>
      </xdr:txBody>
    </xdr:sp>
    <xdr:clientData/>
  </xdr:twoCellAnchor>
  <xdr:twoCellAnchor>
    <xdr:from>
      <xdr:col>5</xdr:col>
      <xdr:colOff>76200</xdr:colOff>
      <xdr:row>42</xdr:row>
      <xdr:rowOff>23813</xdr:rowOff>
    </xdr:from>
    <xdr:to>
      <xdr:col>10</xdr:col>
      <xdr:colOff>242888</xdr:colOff>
      <xdr:row>47</xdr:row>
      <xdr:rowOff>85725</xdr:rowOff>
    </xdr:to>
    <xdr:cxnSp macro="">
      <xdr:nvCxnSpPr>
        <xdr:cNvPr id="7" name="Shape 6"/>
        <xdr:cNvCxnSpPr>
          <a:stCxn id="4" idx="2"/>
          <a:endCxn id="2" idx="3"/>
        </xdr:cNvCxnSpPr>
      </xdr:nvCxnSpPr>
      <xdr:spPr>
        <a:xfrm rot="5400000" flipH="1">
          <a:off x="3614738" y="2352675"/>
          <a:ext cx="1014412" cy="3214688"/>
        </a:xfrm>
        <a:prstGeom prst="bentConnector4">
          <a:avLst>
            <a:gd name="adj1" fmla="val -22535"/>
            <a:gd name="adj2" fmla="val 55407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338138</xdr:colOff>
      <xdr:row>47</xdr:row>
      <xdr:rowOff>95250</xdr:rowOff>
    </xdr:from>
    <xdr:to>
      <xdr:col>6</xdr:col>
      <xdr:colOff>190500</xdr:colOff>
      <xdr:row>50</xdr:row>
      <xdr:rowOff>166688</xdr:rowOff>
    </xdr:to>
    <xdr:cxnSp macro="">
      <xdr:nvCxnSpPr>
        <xdr:cNvPr id="8" name="Shape 7"/>
        <xdr:cNvCxnSpPr>
          <a:stCxn id="2" idx="2"/>
          <a:endCxn id="6" idx="1"/>
        </xdr:cNvCxnSpPr>
      </xdr:nvCxnSpPr>
      <xdr:spPr>
        <a:xfrm rot="16200000" flipH="1">
          <a:off x="2381250" y="4262438"/>
          <a:ext cx="642938" cy="107156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314325</xdr:colOff>
      <xdr:row>41</xdr:row>
      <xdr:rowOff>9525</xdr:rowOff>
    </xdr:from>
    <xdr:to>
      <xdr:col>13</xdr:col>
      <xdr:colOff>76200</xdr:colOff>
      <xdr:row>43</xdr:row>
      <xdr:rowOff>0</xdr:rowOff>
    </xdr:to>
    <xdr:sp macro="" textlink="">
      <xdr:nvSpPr>
        <xdr:cNvPr id="9" name="Oval 8"/>
        <xdr:cNvSpPr/>
      </xdr:nvSpPr>
      <xdr:spPr>
        <a:xfrm>
          <a:off x="7019925" y="3248025"/>
          <a:ext cx="3714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J6</a:t>
          </a:r>
        </a:p>
      </xdr:txBody>
    </xdr:sp>
    <xdr:clientData/>
  </xdr:twoCellAnchor>
  <xdr:twoCellAnchor>
    <xdr:from>
      <xdr:col>7</xdr:col>
      <xdr:colOff>466725</xdr:colOff>
      <xdr:row>43</xdr:row>
      <xdr:rowOff>0</xdr:rowOff>
    </xdr:from>
    <xdr:to>
      <xdr:col>12</xdr:col>
      <xdr:colOff>500063</xdr:colOff>
      <xdr:row>50</xdr:row>
      <xdr:rowOff>166688</xdr:rowOff>
    </xdr:to>
    <xdr:cxnSp macro="">
      <xdr:nvCxnSpPr>
        <xdr:cNvPr id="10" name="Shape 9"/>
        <xdr:cNvCxnSpPr>
          <a:stCxn id="6" idx="3"/>
          <a:endCxn id="9" idx="4"/>
        </xdr:cNvCxnSpPr>
      </xdr:nvCxnSpPr>
      <xdr:spPr>
        <a:xfrm flipV="1">
          <a:off x="4124325" y="3619500"/>
          <a:ext cx="3081338" cy="150018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590551</xdr:colOff>
      <xdr:row>42</xdr:row>
      <xdr:rowOff>4762</xdr:rowOff>
    </xdr:from>
    <xdr:to>
      <xdr:col>12</xdr:col>
      <xdr:colOff>314326</xdr:colOff>
      <xdr:row>42</xdr:row>
      <xdr:rowOff>14287</xdr:rowOff>
    </xdr:to>
    <xdr:cxnSp macro="">
      <xdr:nvCxnSpPr>
        <xdr:cNvPr id="11" name="Shape 17"/>
        <xdr:cNvCxnSpPr>
          <a:stCxn id="9" idx="2"/>
          <a:endCxn id="4" idx="3"/>
        </xdr:cNvCxnSpPr>
      </xdr:nvCxnSpPr>
      <xdr:spPr>
        <a:xfrm rot="10800000" flipV="1">
          <a:off x="6076951" y="3433762"/>
          <a:ext cx="942975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493714</xdr:colOff>
      <xdr:row>34</xdr:row>
      <xdr:rowOff>177799</xdr:rowOff>
    </xdr:from>
    <xdr:to>
      <xdr:col>12</xdr:col>
      <xdr:colOff>506414</xdr:colOff>
      <xdr:row>41</xdr:row>
      <xdr:rowOff>15874</xdr:rowOff>
    </xdr:to>
    <xdr:cxnSp macro="">
      <xdr:nvCxnSpPr>
        <xdr:cNvPr id="12" name="Shape 17"/>
        <xdr:cNvCxnSpPr>
          <a:stCxn id="5" idx="2"/>
          <a:endCxn id="9" idx="0"/>
        </xdr:cNvCxnSpPr>
      </xdr:nvCxnSpPr>
      <xdr:spPr>
        <a:xfrm rot="5400000">
          <a:off x="6619876" y="2662237"/>
          <a:ext cx="1171575" cy="1270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242889</xdr:colOff>
      <xdr:row>33</xdr:row>
      <xdr:rowOff>100013</xdr:rowOff>
    </xdr:from>
    <xdr:to>
      <xdr:col>12</xdr:col>
      <xdr:colOff>57151</xdr:colOff>
      <xdr:row>36</xdr:row>
      <xdr:rowOff>133350</xdr:rowOff>
    </xdr:to>
    <xdr:cxnSp macro="">
      <xdr:nvCxnSpPr>
        <xdr:cNvPr id="13" name="Shape 17"/>
        <xdr:cNvCxnSpPr>
          <a:stCxn id="4" idx="0"/>
          <a:endCxn id="5" idx="1"/>
        </xdr:cNvCxnSpPr>
      </xdr:nvCxnSpPr>
      <xdr:spPr>
        <a:xfrm rot="5400000" flipH="1" flipV="1">
          <a:off x="5943601" y="1600201"/>
          <a:ext cx="604837" cy="103346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328613</xdr:colOff>
      <xdr:row>31</xdr:row>
      <xdr:rowOff>104775</xdr:rowOff>
    </xdr:from>
    <xdr:to>
      <xdr:col>4</xdr:col>
      <xdr:colOff>338138</xdr:colOff>
      <xdr:row>36</xdr:row>
      <xdr:rowOff>142875</xdr:rowOff>
    </xdr:to>
    <xdr:cxnSp macro="">
      <xdr:nvCxnSpPr>
        <xdr:cNvPr id="14" name="Shape 17"/>
        <xdr:cNvCxnSpPr>
          <a:stCxn id="2" idx="0"/>
          <a:endCxn id="3" idx="4"/>
        </xdr:cNvCxnSpPr>
      </xdr:nvCxnSpPr>
      <xdr:spPr>
        <a:xfrm rot="16200000" flipV="1">
          <a:off x="1666876" y="1928812"/>
          <a:ext cx="990600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42</xdr:row>
      <xdr:rowOff>9525</xdr:rowOff>
    </xdr:from>
    <xdr:to>
      <xdr:col>3</xdr:col>
      <xdr:colOff>600075</xdr:colOff>
      <xdr:row>42</xdr:row>
      <xdr:rowOff>23813</xdr:rowOff>
    </xdr:to>
    <xdr:cxnSp macro="">
      <xdr:nvCxnSpPr>
        <xdr:cNvPr id="15" name="Shape 17"/>
        <xdr:cNvCxnSpPr>
          <a:endCxn id="2" idx="1"/>
        </xdr:cNvCxnSpPr>
      </xdr:nvCxnSpPr>
      <xdr:spPr>
        <a:xfrm>
          <a:off x="914400" y="3438525"/>
          <a:ext cx="904875" cy="14288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514350</xdr:colOff>
      <xdr:row>30</xdr:row>
      <xdr:rowOff>109538</xdr:rowOff>
    </xdr:from>
    <xdr:to>
      <xdr:col>12</xdr:col>
      <xdr:colOff>500063</xdr:colOff>
      <xdr:row>32</xdr:row>
      <xdr:rowOff>28575</xdr:rowOff>
    </xdr:to>
    <xdr:cxnSp macro="">
      <xdr:nvCxnSpPr>
        <xdr:cNvPr id="16" name="Shape 17"/>
        <xdr:cNvCxnSpPr>
          <a:stCxn id="3" idx="6"/>
          <a:endCxn id="5" idx="0"/>
        </xdr:cNvCxnSpPr>
      </xdr:nvCxnSpPr>
      <xdr:spPr>
        <a:xfrm>
          <a:off x="2343150" y="1252538"/>
          <a:ext cx="4862513" cy="30003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323854</xdr:colOff>
      <xdr:row>26</xdr:row>
      <xdr:rowOff>47625</xdr:rowOff>
    </xdr:from>
    <xdr:to>
      <xdr:col>4</xdr:col>
      <xdr:colOff>328614</xdr:colOff>
      <xdr:row>29</xdr:row>
      <xdr:rowOff>114300</xdr:rowOff>
    </xdr:to>
    <xdr:cxnSp macro="">
      <xdr:nvCxnSpPr>
        <xdr:cNvPr id="17" name="Shape 17"/>
        <xdr:cNvCxnSpPr>
          <a:stCxn id="3" idx="0"/>
        </xdr:cNvCxnSpPr>
      </xdr:nvCxnSpPr>
      <xdr:spPr>
        <a:xfrm rot="16200000" flipV="1">
          <a:off x="1835946" y="745333"/>
          <a:ext cx="638175" cy="476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19051</xdr:colOff>
      <xdr:row>26</xdr:row>
      <xdr:rowOff>66675</xdr:rowOff>
    </xdr:from>
    <xdr:to>
      <xdr:col>7</xdr:col>
      <xdr:colOff>23814</xdr:colOff>
      <xdr:row>49</xdr:row>
      <xdr:rowOff>95250</xdr:rowOff>
    </xdr:to>
    <xdr:cxnSp macro="">
      <xdr:nvCxnSpPr>
        <xdr:cNvPr id="18" name="Shape 17"/>
        <xdr:cNvCxnSpPr>
          <a:stCxn id="6" idx="0"/>
        </xdr:cNvCxnSpPr>
      </xdr:nvCxnSpPr>
      <xdr:spPr>
        <a:xfrm rot="16200000" flipV="1">
          <a:off x="1473995" y="2650331"/>
          <a:ext cx="4410075" cy="4763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333375</xdr:colOff>
      <xdr:row>26</xdr:row>
      <xdr:rowOff>66675</xdr:rowOff>
    </xdr:from>
    <xdr:to>
      <xdr:col>14</xdr:col>
      <xdr:colOff>0</xdr:colOff>
      <xdr:row>33</xdr:row>
      <xdr:rowOff>100013</xdr:rowOff>
    </xdr:to>
    <xdr:cxnSp macro="">
      <xdr:nvCxnSpPr>
        <xdr:cNvPr id="19" name="Shape 17"/>
        <xdr:cNvCxnSpPr>
          <a:stCxn id="5" idx="3"/>
        </xdr:cNvCxnSpPr>
      </xdr:nvCxnSpPr>
      <xdr:spPr>
        <a:xfrm flipV="1">
          <a:off x="7648575" y="447675"/>
          <a:ext cx="276225" cy="136683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43</xdr:row>
      <xdr:rowOff>38100</xdr:rowOff>
    </xdr:from>
    <xdr:to>
      <xdr:col>3</xdr:col>
      <xdr:colOff>485775</xdr:colOff>
      <xdr:row>44</xdr:row>
      <xdr:rowOff>57150</xdr:rowOff>
    </xdr:to>
    <xdr:sp macro="" textlink="">
      <xdr:nvSpPr>
        <xdr:cNvPr id="20" name="Parallelogram 19"/>
        <xdr:cNvSpPr/>
      </xdr:nvSpPr>
      <xdr:spPr>
        <a:xfrm>
          <a:off x="914400" y="3657600"/>
          <a:ext cx="790575" cy="20955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algn="ctr"/>
          <a:r>
            <a:rPr lang="en-US" sz="1000"/>
            <a:t>sour</a:t>
          </a:r>
          <a:r>
            <a:rPr lang="en-US" sz="1000" baseline="0"/>
            <a:t> gas</a:t>
          </a:r>
          <a:endParaRPr lang="en-US" sz="1000"/>
        </a:p>
      </xdr:txBody>
    </xdr:sp>
    <xdr:clientData/>
  </xdr:twoCellAnchor>
  <xdr:twoCellAnchor>
    <xdr:from>
      <xdr:col>2</xdr:col>
      <xdr:colOff>542926</xdr:colOff>
      <xdr:row>33</xdr:row>
      <xdr:rowOff>104775</xdr:rowOff>
    </xdr:from>
    <xdr:to>
      <xdr:col>4</xdr:col>
      <xdr:colOff>219076</xdr:colOff>
      <xdr:row>34</xdr:row>
      <xdr:rowOff>142875</xdr:rowOff>
    </xdr:to>
    <xdr:sp macro="" textlink="">
      <xdr:nvSpPr>
        <xdr:cNvPr id="21" name="Parallelogram 20"/>
        <xdr:cNvSpPr/>
      </xdr:nvSpPr>
      <xdr:spPr>
        <a:xfrm>
          <a:off x="1152526" y="1819275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ovhd</a:t>
          </a:r>
        </a:p>
      </xdr:txBody>
    </xdr:sp>
    <xdr:clientData/>
  </xdr:twoCellAnchor>
  <xdr:twoCellAnchor>
    <xdr:from>
      <xdr:col>2</xdr:col>
      <xdr:colOff>552451</xdr:colOff>
      <xdr:row>26</xdr:row>
      <xdr:rowOff>114300</xdr:rowOff>
    </xdr:from>
    <xdr:to>
      <xdr:col>4</xdr:col>
      <xdr:colOff>228601</xdr:colOff>
      <xdr:row>27</xdr:row>
      <xdr:rowOff>152400</xdr:rowOff>
    </xdr:to>
    <xdr:sp macro="" textlink="">
      <xdr:nvSpPr>
        <xdr:cNvPr id="22" name="Parallelogram 21"/>
        <xdr:cNvSpPr/>
      </xdr:nvSpPr>
      <xdr:spPr>
        <a:xfrm>
          <a:off x="1162051" y="495300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treat gas</a:t>
          </a:r>
        </a:p>
      </xdr:txBody>
    </xdr:sp>
    <xdr:clientData/>
  </xdr:twoCellAnchor>
  <xdr:twoCellAnchor>
    <xdr:from>
      <xdr:col>8</xdr:col>
      <xdr:colOff>133351</xdr:colOff>
      <xdr:row>30</xdr:row>
      <xdr:rowOff>171450</xdr:rowOff>
    </xdr:from>
    <xdr:to>
      <xdr:col>9</xdr:col>
      <xdr:colOff>419101</xdr:colOff>
      <xdr:row>32</xdr:row>
      <xdr:rowOff>19050</xdr:rowOff>
    </xdr:to>
    <xdr:sp macro="" textlink="">
      <xdr:nvSpPr>
        <xdr:cNvPr id="23" name="Parallelogram 22"/>
        <xdr:cNvSpPr/>
      </xdr:nvSpPr>
      <xdr:spPr>
        <a:xfrm>
          <a:off x="4400551" y="1314450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bypass</a:t>
          </a:r>
        </a:p>
      </xdr:txBody>
    </xdr:sp>
    <xdr:clientData/>
  </xdr:twoCellAnchor>
  <xdr:twoCellAnchor>
    <xdr:from>
      <xdr:col>5</xdr:col>
      <xdr:colOff>266701</xdr:colOff>
      <xdr:row>26</xdr:row>
      <xdr:rowOff>114300</xdr:rowOff>
    </xdr:from>
    <xdr:to>
      <xdr:col>6</xdr:col>
      <xdr:colOff>552451</xdr:colOff>
      <xdr:row>27</xdr:row>
      <xdr:rowOff>152400</xdr:rowOff>
    </xdr:to>
    <xdr:sp macro="" textlink="">
      <xdr:nvSpPr>
        <xdr:cNvPr id="24" name="Parallelogram 23"/>
        <xdr:cNvSpPr/>
      </xdr:nvSpPr>
      <xdr:spPr>
        <a:xfrm>
          <a:off x="2705101" y="495300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fuel gas</a:t>
          </a:r>
        </a:p>
      </xdr:txBody>
    </xdr:sp>
    <xdr:clientData/>
  </xdr:twoCellAnchor>
  <xdr:twoCellAnchor>
    <xdr:from>
      <xdr:col>12</xdr:col>
      <xdr:colOff>219076</xdr:colOff>
      <xdr:row>26</xdr:row>
      <xdr:rowOff>114300</xdr:rowOff>
    </xdr:from>
    <xdr:to>
      <xdr:col>13</xdr:col>
      <xdr:colOff>504826</xdr:colOff>
      <xdr:row>27</xdr:row>
      <xdr:rowOff>152400</xdr:rowOff>
    </xdr:to>
    <xdr:sp macro="" textlink="">
      <xdr:nvSpPr>
        <xdr:cNvPr id="25" name="Parallelogram 24"/>
        <xdr:cNvSpPr/>
      </xdr:nvSpPr>
      <xdr:spPr>
        <a:xfrm>
          <a:off x="6924676" y="495300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acid gas</a:t>
          </a:r>
        </a:p>
      </xdr:txBody>
    </xdr:sp>
    <xdr:clientData/>
  </xdr:twoCellAnchor>
  <xdr:twoCellAnchor>
    <xdr:from>
      <xdr:col>8</xdr:col>
      <xdr:colOff>114301</xdr:colOff>
      <xdr:row>34</xdr:row>
      <xdr:rowOff>38100</xdr:rowOff>
    </xdr:from>
    <xdr:to>
      <xdr:col>9</xdr:col>
      <xdr:colOff>400051</xdr:colOff>
      <xdr:row>35</xdr:row>
      <xdr:rowOff>76200</xdr:rowOff>
    </xdr:to>
    <xdr:sp macro="" textlink="">
      <xdr:nvSpPr>
        <xdr:cNvPr id="26" name="Parallelogram 25"/>
        <xdr:cNvSpPr/>
      </xdr:nvSpPr>
      <xdr:spPr>
        <a:xfrm>
          <a:off x="4381501" y="1943100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sep ovhd</a:t>
          </a:r>
        </a:p>
      </xdr:txBody>
    </xdr:sp>
    <xdr:clientData/>
  </xdr:twoCellAnchor>
  <xdr:twoCellAnchor>
    <xdr:from>
      <xdr:col>8</xdr:col>
      <xdr:colOff>47626</xdr:colOff>
      <xdr:row>47</xdr:row>
      <xdr:rowOff>0</xdr:rowOff>
    </xdr:from>
    <xdr:to>
      <xdr:col>9</xdr:col>
      <xdr:colOff>333376</xdr:colOff>
      <xdr:row>48</xdr:row>
      <xdr:rowOff>38100</xdr:rowOff>
    </xdr:to>
    <xdr:sp macro="" textlink="">
      <xdr:nvSpPr>
        <xdr:cNvPr id="27" name="Parallelogram 26"/>
        <xdr:cNvSpPr/>
      </xdr:nvSpPr>
      <xdr:spPr>
        <a:xfrm>
          <a:off x="4314826" y="4381500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lean</a:t>
          </a:r>
          <a:r>
            <a:rPr lang="en-US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oil</a:t>
          </a:r>
          <a:endParaRPr lang="en-US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104776</xdr:colOff>
      <xdr:row>43</xdr:row>
      <xdr:rowOff>28575</xdr:rowOff>
    </xdr:from>
    <xdr:to>
      <xdr:col>12</xdr:col>
      <xdr:colOff>390526</xdr:colOff>
      <xdr:row>44</xdr:row>
      <xdr:rowOff>66675</xdr:rowOff>
    </xdr:to>
    <xdr:sp macro="" textlink="">
      <xdr:nvSpPr>
        <xdr:cNvPr id="28" name="Parallelogram 27"/>
        <xdr:cNvSpPr/>
      </xdr:nvSpPr>
      <xdr:spPr>
        <a:xfrm>
          <a:off x="6200776" y="3648075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recycle</a:t>
          </a:r>
        </a:p>
      </xdr:txBody>
    </xdr:sp>
    <xdr:clientData/>
  </xdr:twoCellAnchor>
  <xdr:twoCellAnchor>
    <xdr:from>
      <xdr:col>12</xdr:col>
      <xdr:colOff>571501</xdr:colOff>
      <xdr:row>36</xdr:row>
      <xdr:rowOff>171450</xdr:rowOff>
    </xdr:from>
    <xdr:to>
      <xdr:col>14</xdr:col>
      <xdr:colOff>247651</xdr:colOff>
      <xdr:row>38</xdr:row>
      <xdr:rowOff>19050</xdr:rowOff>
    </xdr:to>
    <xdr:sp macro="" textlink="">
      <xdr:nvSpPr>
        <xdr:cNvPr id="29" name="Parallelogram 28"/>
        <xdr:cNvSpPr/>
      </xdr:nvSpPr>
      <xdr:spPr>
        <a:xfrm>
          <a:off x="7277101" y="2457450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condensate</a:t>
          </a:r>
        </a:p>
      </xdr:txBody>
    </xdr:sp>
    <xdr:clientData/>
  </xdr:twoCellAnchor>
  <xdr:twoCellAnchor>
    <xdr:from>
      <xdr:col>8</xdr:col>
      <xdr:colOff>66676</xdr:colOff>
      <xdr:row>51</xdr:row>
      <xdr:rowOff>57150</xdr:rowOff>
    </xdr:from>
    <xdr:to>
      <xdr:col>9</xdr:col>
      <xdr:colOff>352426</xdr:colOff>
      <xdr:row>52</xdr:row>
      <xdr:rowOff>95250</xdr:rowOff>
    </xdr:to>
    <xdr:sp macro="" textlink="">
      <xdr:nvSpPr>
        <xdr:cNvPr id="30" name="Parallelogram 29"/>
        <xdr:cNvSpPr/>
      </xdr:nvSpPr>
      <xdr:spPr>
        <a:xfrm>
          <a:off x="4333876" y="5200650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fat oil</a:t>
          </a:r>
        </a:p>
      </xdr:txBody>
    </xdr:sp>
    <xdr:clientData/>
  </xdr:twoCellAnchor>
  <xdr:twoCellAnchor>
    <xdr:from>
      <xdr:col>4</xdr:col>
      <xdr:colOff>238126</xdr:colOff>
      <xdr:row>51</xdr:row>
      <xdr:rowOff>66675</xdr:rowOff>
    </xdr:from>
    <xdr:to>
      <xdr:col>5</xdr:col>
      <xdr:colOff>523876</xdr:colOff>
      <xdr:row>52</xdr:row>
      <xdr:rowOff>104775</xdr:rowOff>
    </xdr:to>
    <xdr:sp macro="" textlink="">
      <xdr:nvSpPr>
        <xdr:cNvPr id="31" name="Parallelogram 30"/>
        <xdr:cNvSpPr/>
      </xdr:nvSpPr>
      <xdr:spPr>
        <a:xfrm>
          <a:off x="2066926" y="5210175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btms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42</xdr:row>
      <xdr:rowOff>142875</xdr:rowOff>
    </xdr:from>
    <xdr:to>
      <xdr:col>5</xdr:col>
      <xdr:colOff>76200</xdr:colOff>
      <xdr:row>53</xdr:row>
      <xdr:rowOff>95250</xdr:rowOff>
    </xdr:to>
    <xdr:sp macro="" textlink="">
      <xdr:nvSpPr>
        <xdr:cNvPr id="2" name="Flowchart: Alternate Process 1"/>
        <xdr:cNvSpPr/>
      </xdr:nvSpPr>
      <xdr:spPr>
        <a:xfrm>
          <a:off x="2409825" y="7096125"/>
          <a:ext cx="895350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T3</a:t>
          </a:r>
        </a:p>
      </xdr:txBody>
    </xdr:sp>
    <xdr:clientData/>
  </xdr:twoCellAnchor>
  <xdr:twoCellAnchor>
    <xdr:from>
      <xdr:col>4</xdr:col>
      <xdr:colOff>142875</xdr:colOff>
      <xdr:row>35</xdr:row>
      <xdr:rowOff>114300</xdr:rowOff>
    </xdr:from>
    <xdr:to>
      <xdr:col>4</xdr:col>
      <xdr:colOff>514350</xdr:colOff>
      <xdr:row>37</xdr:row>
      <xdr:rowOff>104775</xdr:rowOff>
    </xdr:to>
    <xdr:sp macro="" textlink="">
      <xdr:nvSpPr>
        <xdr:cNvPr id="3" name="Oval 2"/>
        <xdr:cNvSpPr/>
      </xdr:nvSpPr>
      <xdr:spPr>
        <a:xfrm>
          <a:off x="2562225" y="5734050"/>
          <a:ext cx="3714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sz="1100"/>
            <a:t>J4</a:t>
          </a:r>
        </a:p>
      </xdr:txBody>
    </xdr:sp>
    <xdr:clientData/>
  </xdr:twoCellAnchor>
  <xdr:twoCellAnchor>
    <xdr:from>
      <xdr:col>9</xdr:col>
      <xdr:colOff>504825</xdr:colOff>
      <xdr:row>42</xdr:row>
      <xdr:rowOff>133350</xdr:rowOff>
    </xdr:from>
    <xdr:to>
      <xdr:col>10</xdr:col>
      <xdr:colOff>590550</xdr:colOff>
      <xdr:row>53</xdr:row>
      <xdr:rowOff>85725</xdr:rowOff>
    </xdr:to>
    <xdr:sp macro="" textlink="">
      <xdr:nvSpPr>
        <xdr:cNvPr id="4" name="Flowchart: Alternate Process 3"/>
        <xdr:cNvSpPr/>
      </xdr:nvSpPr>
      <xdr:spPr>
        <a:xfrm>
          <a:off x="6572250" y="7086600"/>
          <a:ext cx="819150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T5</a:t>
          </a:r>
        </a:p>
      </xdr:txBody>
    </xdr:sp>
    <xdr:clientData/>
  </xdr:twoCellAnchor>
  <xdr:twoCellAnchor>
    <xdr:from>
      <xdr:col>12</xdr:col>
      <xdr:colOff>57150</xdr:colOff>
      <xdr:row>38</xdr:row>
      <xdr:rowOff>28575</xdr:rowOff>
    </xdr:from>
    <xdr:to>
      <xdr:col>13</xdr:col>
      <xdr:colOff>333375</xdr:colOff>
      <xdr:row>40</xdr:row>
      <xdr:rowOff>171450</xdr:rowOff>
    </xdr:to>
    <xdr:sp macro="" textlink="">
      <xdr:nvSpPr>
        <xdr:cNvPr id="5" name="Flowchart: Alternate Process 4"/>
        <xdr:cNvSpPr/>
      </xdr:nvSpPr>
      <xdr:spPr>
        <a:xfrm>
          <a:off x="8172450" y="6219825"/>
          <a:ext cx="10763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D7</a:t>
          </a:r>
        </a:p>
      </xdr:txBody>
    </xdr:sp>
    <xdr:clientData/>
  </xdr:twoCellAnchor>
  <xdr:twoCellAnchor>
    <xdr:from>
      <xdr:col>6</xdr:col>
      <xdr:colOff>190500</xdr:colOff>
      <xdr:row>55</xdr:row>
      <xdr:rowOff>95250</xdr:rowOff>
    </xdr:from>
    <xdr:to>
      <xdr:col>7</xdr:col>
      <xdr:colOff>466725</xdr:colOff>
      <xdr:row>58</xdr:row>
      <xdr:rowOff>47625</xdr:rowOff>
    </xdr:to>
    <xdr:sp macro="" textlink="">
      <xdr:nvSpPr>
        <xdr:cNvPr id="6" name="Flowchart: Alternate Process 5"/>
        <xdr:cNvSpPr/>
      </xdr:nvSpPr>
      <xdr:spPr>
        <a:xfrm>
          <a:off x="4029075" y="9525000"/>
          <a:ext cx="8858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D4</a:t>
          </a:r>
        </a:p>
      </xdr:txBody>
    </xdr:sp>
    <xdr:clientData/>
  </xdr:twoCellAnchor>
  <xdr:twoCellAnchor>
    <xdr:from>
      <xdr:col>5</xdr:col>
      <xdr:colOff>76200</xdr:colOff>
      <xdr:row>48</xdr:row>
      <xdr:rowOff>23813</xdr:rowOff>
    </xdr:from>
    <xdr:to>
      <xdr:col>10</xdr:col>
      <xdr:colOff>242888</xdr:colOff>
      <xdr:row>53</xdr:row>
      <xdr:rowOff>85725</xdr:rowOff>
    </xdr:to>
    <xdr:cxnSp macro="">
      <xdr:nvCxnSpPr>
        <xdr:cNvPr id="7" name="Shape 6"/>
        <xdr:cNvCxnSpPr>
          <a:stCxn id="4" idx="2"/>
          <a:endCxn id="2" idx="3"/>
        </xdr:cNvCxnSpPr>
      </xdr:nvCxnSpPr>
      <xdr:spPr>
        <a:xfrm rot="5400000" flipH="1">
          <a:off x="4667251" y="6757987"/>
          <a:ext cx="1014412" cy="3738563"/>
        </a:xfrm>
        <a:prstGeom prst="bentConnector4">
          <a:avLst>
            <a:gd name="adj1" fmla="val -22535"/>
            <a:gd name="adj2" fmla="val 55407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338138</xdr:colOff>
      <xdr:row>53</xdr:row>
      <xdr:rowOff>95250</xdr:rowOff>
    </xdr:from>
    <xdr:to>
      <xdr:col>6</xdr:col>
      <xdr:colOff>190500</xdr:colOff>
      <xdr:row>56</xdr:row>
      <xdr:rowOff>166688</xdr:rowOff>
    </xdr:to>
    <xdr:cxnSp macro="">
      <xdr:nvCxnSpPr>
        <xdr:cNvPr id="8" name="Shape 7"/>
        <xdr:cNvCxnSpPr>
          <a:stCxn id="2" idx="2"/>
          <a:endCxn id="6" idx="1"/>
        </xdr:cNvCxnSpPr>
      </xdr:nvCxnSpPr>
      <xdr:spPr>
        <a:xfrm rot="16200000" flipH="1">
          <a:off x="3071813" y="8829675"/>
          <a:ext cx="642938" cy="127158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314325</xdr:colOff>
      <xdr:row>47</xdr:row>
      <xdr:rowOff>9525</xdr:rowOff>
    </xdr:from>
    <xdr:to>
      <xdr:col>13</xdr:col>
      <xdr:colOff>76200</xdr:colOff>
      <xdr:row>49</xdr:row>
      <xdr:rowOff>0</xdr:rowOff>
    </xdr:to>
    <xdr:sp macro="" textlink="">
      <xdr:nvSpPr>
        <xdr:cNvPr id="9" name="Oval 8"/>
        <xdr:cNvSpPr/>
      </xdr:nvSpPr>
      <xdr:spPr>
        <a:xfrm>
          <a:off x="8429625" y="7915275"/>
          <a:ext cx="5619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J6</a:t>
          </a:r>
        </a:p>
      </xdr:txBody>
    </xdr:sp>
    <xdr:clientData/>
  </xdr:twoCellAnchor>
  <xdr:twoCellAnchor>
    <xdr:from>
      <xdr:col>7</xdr:col>
      <xdr:colOff>466725</xdr:colOff>
      <xdr:row>49</xdr:row>
      <xdr:rowOff>0</xdr:rowOff>
    </xdr:from>
    <xdr:to>
      <xdr:col>12</xdr:col>
      <xdr:colOff>500063</xdr:colOff>
      <xdr:row>56</xdr:row>
      <xdr:rowOff>166688</xdr:rowOff>
    </xdr:to>
    <xdr:cxnSp macro="">
      <xdr:nvCxnSpPr>
        <xdr:cNvPr id="10" name="Shape 9"/>
        <xdr:cNvCxnSpPr>
          <a:stCxn id="6" idx="3"/>
          <a:endCxn id="9" idx="4"/>
        </xdr:cNvCxnSpPr>
      </xdr:nvCxnSpPr>
      <xdr:spPr>
        <a:xfrm flipV="1">
          <a:off x="4914900" y="8286750"/>
          <a:ext cx="3700463" cy="150018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590551</xdr:colOff>
      <xdr:row>48</xdr:row>
      <xdr:rowOff>4762</xdr:rowOff>
    </xdr:from>
    <xdr:to>
      <xdr:col>12</xdr:col>
      <xdr:colOff>314326</xdr:colOff>
      <xdr:row>48</xdr:row>
      <xdr:rowOff>14287</xdr:rowOff>
    </xdr:to>
    <xdr:cxnSp macro="">
      <xdr:nvCxnSpPr>
        <xdr:cNvPr id="11" name="Shape 17"/>
        <xdr:cNvCxnSpPr>
          <a:stCxn id="9" idx="2"/>
          <a:endCxn id="4" idx="3"/>
        </xdr:cNvCxnSpPr>
      </xdr:nvCxnSpPr>
      <xdr:spPr>
        <a:xfrm rot="10800000" flipV="1">
          <a:off x="7391401" y="8101012"/>
          <a:ext cx="1038225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493714</xdr:colOff>
      <xdr:row>40</xdr:row>
      <xdr:rowOff>177799</xdr:rowOff>
    </xdr:from>
    <xdr:to>
      <xdr:col>12</xdr:col>
      <xdr:colOff>506414</xdr:colOff>
      <xdr:row>47</xdr:row>
      <xdr:rowOff>15874</xdr:rowOff>
    </xdr:to>
    <xdr:cxnSp macro="">
      <xdr:nvCxnSpPr>
        <xdr:cNvPr id="12" name="Shape 17"/>
        <xdr:cNvCxnSpPr>
          <a:stCxn id="5" idx="2"/>
          <a:endCxn id="9" idx="0"/>
        </xdr:cNvCxnSpPr>
      </xdr:nvCxnSpPr>
      <xdr:spPr>
        <a:xfrm rot="5400000">
          <a:off x="8029576" y="7329487"/>
          <a:ext cx="1171575" cy="1270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242889</xdr:colOff>
      <xdr:row>39</xdr:row>
      <xdr:rowOff>100013</xdr:rowOff>
    </xdr:from>
    <xdr:to>
      <xdr:col>12</xdr:col>
      <xdr:colOff>57151</xdr:colOff>
      <xdr:row>42</xdr:row>
      <xdr:rowOff>133350</xdr:rowOff>
    </xdr:to>
    <xdr:cxnSp macro="">
      <xdr:nvCxnSpPr>
        <xdr:cNvPr id="13" name="Shape 17"/>
        <xdr:cNvCxnSpPr>
          <a:stCxn id="4" idx="0"/>
          <a:endCxn id="5" idx="1"/>
        </xdr:cNvCxnSpPr>
      </xdr:nvCxnSpPr>
      <xdr:spPr>
        <a:xfrm rot="5400000" flipH="1" flipV="1">
          <a:off x="7305676" y="6219826"/>
          <a:ext cx="604837" cy="112871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328613</xdr:colOff>
      <xdr:row>37</xdr:row>
      <xdr:rowOff>104775</xdr:rowOff>
    </xdr:from>
    <xdr:to>
      <xdr:col>4</xdr:col>
      <xdr:colOff>338138</xdr:colOff>
      <xdr:row>42</xdr:row>
      <xdr:rowOff>142875</xdr:rowOff>
    </xdr:to>
    <xdr:cxnSp macro="">
      <xdr:nvCxnSpPr>
        <xdr:cNvPr id="14" name="Shape 17"/>
        <xdr:cNvCxnSpPr>
          <a:stCxn id="2" idx="0"/>
          <a:endCxn id="3" idx="4"/>
        </xdr:cNvCxnSpPr>
      </xdr:nvCxnSpPr>
      <xdr:spPr>
        <a:xfrm rot="16200000" flipV="1">
          <a:off x="2257426" y="6596062"/>
          <a:ext cx="990600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48</xdr:row>
      <xdr:rowOff>9525</xdr:rowOff>
    </xdr:from>
    <xdr:to>
      <xdr:col>3</xdr:col>
      <xdr:colOff>600075</xdr:colOff>
      <xdr:row>48</xdr:row>
      <xdr:rowOff>23813</xdr:rowOff>
    </xdr:to>
    <xdr:cxnSp macro="">
      <xdr:nvCxnSpPr>
        <xdr:cNvPr id="15" name="Shape 17"/>
        <xdr:cNvCxnSpPr>
          <a:endCxn id="2" idx="1"/>
        </xdr:cNvCxnSpPr>
      </xdr:nvCxnSpPr>
      <xdr:spPr>
        <a:xfrm>
          <a:off x="1400175" y="8105775"/>
          <a:ext cx="1009650" cy="14288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514350</xdr:colOff>
      <xdr:row>36</xdr:row>
      <xdr:rowOff>109538</xdr:rowOff>
    </xdr:from>
    <xdr:to>
      <xdr:col>12</xdr:col>
      <xdr:colOff>500063</xdr:colOff>
      <xdr:row>38</xdr:row>
      <xdr:rowOff>28575</xdr:rowOff>
    </xdr:to>
    <xdr:cxnSp macro="">
      <xdr:nvCxnSpPr>
        <xdr:cNvPr id="16" name="Shape 17"/>
        <xdr:cNvCxnSpPr>
          <a:stCxn id="3" idx="6"/>
          <a:endCxn id="5" idx="0"/>
        </xdr:cNvCxnSpPr>
      </xdr:nvCxnSpPr>
      <xdr:spPr>
        <a:xfrm>
          <a:off x="2933700" y="5919788"/>
          <a:ext cx="5681663" cy="30003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323854</xdr:colOff>
      <xdr:row>32</xdr:row>
      <xdr:rowOff>47625</xdr:rowOff>
    </xdr:from>
    <xdr:to>
      <xdr:col>4</xdr:col>
      <xdr:colOff>328614</xdr:colOff>
      <xdr:row>35</xdr:row>
      <xdr:rowOff>114300</xdr:rowOff>
    </xdr:to>
    <xdr:cxnSp macro="">
      <xdr:nvCxnSpPr>
        <xdr:cNvPr id="17" name="Shape 17"/>
        <xdr:cNvCxnSpPr>
          <a:stCxn id="3" idx="0"/>
        </xdr:cNvCxnSpPr>
      </xdr:nvCxnSpPr>
      <xdr:spPr>
        <a:xfrm rot="16200000" flipV="1">
          <a:off x="2426496" y="5412583"/>
          <a:ext cx="638175" cy="476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19051</xdr:colOff>
      <xdr:row>32</xdr:row>
      <xdr:rowOff>66675</xdr:rowOff>
    </xdr:from>
    <xdr:to>
      <xdr:col>7</xdr:col>
      <xdr:colOff>23814</xdr:colOff>
      <xdr:row>55</xdr:row>
      <xdr:rowOff>95250</xdr:rowOff>
    </xdr:to>
    <xdr:cxnSp macro="">
      <xdr:nvCxnSpPr>
        <xdr:cNvPr id="18" name="Shape 17"/>
        <xdr:cNvCxnSpPr>
          <a:stCxn id="6" idx="0"/>
        </xdr:cNvCxnSpPr>
      </xdr:nvCxnSpPr>
      <xdr:spPr>
        <a:xfrm rot="16200000" flipV="1">
          <a:off x="2264570" y="7317581"/>
          <a:ext cx="4410075" cy="4763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333375</xdr:colOff>
      <xdr:row>32</xdr:row>
      <xdr:rowOff>66675</xdr:rowOff>
    </xdr:from>
    <xdr:to>
      <xdr:col>14</xdr:col>
      <xdr:colOff>0</xdr:colOff>
      <xdr:row>39</xdr:row>
      <xdr:rowOff>100013</xdr:rowOff>
    </xdr:to>
    <xdr:cxnSp macro="">
      <xdr:nvCxnSpPr>
        <xdr:cNvPr id="19" name="Shape 17"/>
        <xdr:cNvCxnSpPr>
          <a:stCxn id="5" idx="3"/>
        </xdr:cNvCxnSpPr>
      </xdr:nvCxnSpPr>
      <xdr:spPr>
        <a:xfrm flipV="1">
          <a:off x="9248775" y="5114925"/>
          <a:ext cx="371475" cy="136683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49</xdr:row>
      <xdr:rowOff>38100</xdr:rowOff>
    </xdr:from>
    <xdr:to>
      <xdr:col>3</xdr:col>
      <xdr:colOff>485775</xdr:colOff>
      <xdr:row>50</xdr:row>
      <xdr:rowOff>57150</xdr:rowOff>
    </xdr:to>
    <xdr:sp macro="" textlink="">
      <xdr:nvSpPr>
        <xdr:cNvPr id="20" name="Parallelogram 19"/>
        <xdr:cNvSpPr/>
      </xdr:nvSpPr>
      <xdr:spPr>
        <a:xfrm>
          <a:off x="1400175" y="8324850"/>
          <a:ext cx="895350" cy="20955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algn="ctr"/>
          <a:r>
            <a:rPr lang="en-US" sz="1000"/>
            <a:t>sour</a:t>
          </a:r>
          <a:r>
            <a:rPr lang="en-US" sz="1000" baseline="0"/>
            <a:t> gas</a:t>
          </a:r>
          <a:endParaRPr lang="en-US" sz="1000"/>
        </a:p>
      </xdr:txBody>
    </xdr:sp>
    <xdr:clientData/>
  </xdr:twoCellAnchor>
  <xdr:twoCellAnchor>
    <xdr:from>
      <xdr:col>2</xdr:col>
      <xdr:colOff>542926</xdr:colOff>
      <xdr:row>39</xdr:row>
      <xdr:rowOff>104775</xdr:rowOff>
    </xdr:from>
    <xdr:to>
      <xdr:col>4</xdr:col>
      <xdr:colOff>219076</xdr:colOff>
      <xdr:row>40</xdr:row>
      <xdr:rowOff>142875</xdr:rowOff>
    </xdr:to>
    <xdr:sp macro="" textlink="">
      <xdr:nvSpPr>
        <xdr:cNvPr id="21" name="Parallelogram 20"/>
        <xdr:cNvSpPr/>
      </xdr:nvSpPr>
      <xdr:spPr>
        <a:xfrm>
          <a:off x="1638301" y="6486525"/>
          <a:ext cx="1000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ovhd</a:t>
          </a:r>
        </a:p>
      </xdr:txBody>
    </xdr:sp>
    <xdr:clientData/>
  </xdr:twoCellAnchor>
  <xdr:twoCellAnchor>
    <xdr:from>
      <xdr:col>2</xdr:col>
      <xdr:colOff>552451</xdr:colOff>
      <xdr:row>32</xdr:row>
      <xdr:rowOff>114300</xdr:rowOff>
    </xdr:from>
    <xdr:to>
      <xdr:col>4</xdr:col>
      <xdr:colOff>228601</xdr:colOff>
      <xdr:row>33</xdr:row>
      <xdr:rowOff>152400</xdr:rowOff>
    </xdr:to>
    <xdr:sp macro="" textlink="">
      <xdr:nvSpPr>
        <xdr:cNvPr id="22" name="Parallelogram 21"/>
        <xdr:cNvSpPr/>
      </xdr:nvSpPr>
      <xdr:spPr>
        <a:xfrm>
          <a:off x="1647826" y="5162550"/>
          <a:ext cx="1000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treat gas</a:t>
          </a:r>
        </a:p>
      </xdr:txBody>
    </xdr:sp>
    <xdr:clientData/>
  </xdr:twoCellAnchor>
  <xdr:twoCellAnchor>
    <xdr:from>
      <xdr:col>8</xdr:col>
      <xdr:colOff>133351</xdr:colOff>
      <xdr:row>36</xdr:row>
      <xdr:rowOff>171450</xdr:rowOff>
    </xdr:from>
    <xdr:to>
      <xdr:col>9</xdr:col>
      <xdr:colOff>419101</xdr:colOff>
      <xdr:row>38</xdr:row>
      <xdr:rowOff>19050</xdr:rowOff>
    </xdr:to>
    <xdr:sp macro="" textlink="">
      <xdr:nvSpPr>
        <xdr:cNvPr id="23" name="Parallelogram 22"/>
        <xdr:cNvSpPr/>
      </xdr:nvSpPr>
      <xdr:spPr>
        <a:xfrm>
          <a:off x="5191126" y="5981700"/>
          <a:ext cx="12954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bypass</a:t>
          </a:r>
        </a:p>
      </xdr:txBody>
    </xdr:sp>
    <xdr:clientData/>
  </xdr:twoCellAnchor>
  <xdr:twoCellAnchor>
    <xdr:from>
      <xdr:col>5</xdr:col>
      <xdr:colOff>266701</xdr:colOff>
      <xdr:row>32</xdr:row>
      <xdr:rowOff>114300</xdr:rowOff>
    </xdr:from>
    <xdr:to>
      <xdr:col>6</xdr:col>
      <xdr:colOff>552451</xdr:colOff>
      <xdr:row>33</xdr:row>
      <xdr:rowOff>152400</xdr:rowOff>
    </xdr:to>
    <xdr:sp macro="" textlink="">
      <xdr:nvSpPr>
        <xdr:cNvPr id="24" name="Parallelogram 23"/>
        <xdr:cNvSpPr/>
      </xdr:nvSpPr>
      <xdr:spPr>
        <a:xfrm>
          <a:off x="3495676" y="5162550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fuel gas</a:t>
          </a:r>
        </a:p>
      </xdr:txBody>
    </xdr:sp>
    <xdr:clientData/>
  </xdr:twoCellAnchor>
  <xdr:twoCellAnchor>
    <xdr:from>
      <xdr:col>12</xdr:col>
      <xdr:colOff>219076</xdr:colOff>
      <xdr:row>32</xdr:row>
      <xdr:rowOff>114300</xdr:rowOff>
    </xdr:from>
    <xdr:to>
      <xdr:col>13</xdr:col>
      <xdr:colOff>504826</xdr:colOff>
      <xdr:row>33</xdr:row>
      <xdr:rowOff>152400</xdr:rowOff>
    </xdr:to>
    <xdr:sp macro="" textlink="">
      <xdr:nvSpPr>
        <xdr:cNvPr id="25" name="Parallelogram 24"/>
        <xdr:cNvSpPr/>
      </xdr:nvSpPr>
      <xdr:spPr>
        <a:xfrm>
          <a:off x="8334376" y="5162550"/>
          <a:ext cx="10858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acid gas</a:t>
          </a:r>
        </a:p>
      </xdr:txBody>
    </xdr:sp>
    <xdr:clientData/>
  </xdr:twoCellAnchor>
  <xdr:twoCellAnchor>
    <xdr:from>
      <xdr:col>8</xdr:col>
      <xdr:colOff>114301</xdr:colOff>
      <xdr:row>40</xdr:row>
      <xdr:rowOff>38100</xdr:rowOff>
    </xdr:from>
    <xdr:to>
      <xdr:col>9</xdr:col>
      <xdr:colOff>400051</xdr:colOff>
      <xdr:row>41</xdr:row>
      <xdr:rowOff>76200</xdr:rowOff>
    </xdr:to>
    <xdr:sp macro="" textlink="">
      <xdr:nvSpPr>
        <xdr:cNvPr id="26" name="Parallelogram 25"/>
        <xdr:cNvSpPr/>
      </xdr:nvSpPr>
      <xdr:spPr>
        <a:xfrm>
          <a:off x="5172076" y="6610350"/>
          <a:ext cx="12954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sep ovhd</a:t>
          </a:r>
        </a:p>
      </xdr:txBody>
    </xdr:sp>
    <xdr:clientData/>
  </xdr:twoCellAnchor>
  <xdr:twoCellAnchor>
    <xdr:from>
      <xdr:col>8</xdr:col>
      <xdr:colOff>47626</xdr:colOff>
      <xdr:row>53</xdr:row>
      <xdr:rowOff>0</xdr:rowOff>
    </xdr:from>
    <xdr:to>
      <xdr:col>9</xdr:col>
      <xdr:colOff>333376</xdr:colOff>
      <xdr:row>54</xdr:row>
      <xdr:rowOff>38100</xdr:rowOff>
    </xdr:to>
    <xdr:sp macro="" textlink="">
      <xdr:nvSpPr>
        <xdr:cNvPr id="27" name="Parallelogram 26"/>
        <xdr:cNvSpPr/>
      </xdr:nvSpPr>
      <xdr:spPr>
        <a:xfrm>
          <a:off x="5105401" y="9048750"/>
          <a:ext cx="12954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lean</a:t>
          </a:r>
          <a:r>
            <a:rPr lang="en-US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oil</a:t>
          </a:r>
          <a:endParaRPr lang="en-US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104776</xdr:colOff>
      <xdr:row>49</xdr:row>
      <xdr:rowOff>28575</xdr:rowOff>
    </xdr:from>
    <xdr:to>
      <xdr:col>12</xdr:col>
      <xdr:colOff>390526</xdr:colOff>
      <xdr:row>50</xdr:row>
      <xdr:rowOff>66675</xdr:rowOff>
    </xdr:to>
    <xdr:sp macro="" textlink="">
      <xdr:nvSpPr>
        <xdr:cNvPr id="28" name="Parallelogram 27"/>
        <xdr:cNvSpPr/>
      </xdr:nvSpPr>
      <xdr:spPr>
        <a:xfrm>
          <a:off x="7610476" y="8315325"/>
          <a:ext cx="8953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recycle</a:t>
          </a:r>
        </a:p>
      </xdr:txBody>
    </xdr:sp>
    <xdr:clientData/>
  </xdr:twoCellAnchor>
  <xdr:twoCellAnchor>
    <xdr:from>
      <xdr:col>12</xdr:col>
      <xdr:colOff>571501</xdr:colOff>
      <xdr:row>42</xdr:row>
      <xdr:rowOff>171450</xdr:rowOff>
    </xdr:from>
    <xdr:to>
      <xdr:col>14</xdr:col>
      <xdr:colOff>247651</xdr:colOff>
      <xdr:row>44</xdr:row>
      <xdr:rowOff>19050</xdr:rowOff>
    </xdr:to>
    <xdr:sp macro="" textlink="">
      <xdr:nvSpPr>
        <xdr:cNvPr id="29" name="Parallelogram 28"/>
        <xdr:cNvSpPr/>
      </xdr:nvSpPr>
      <xdr:spPr>
        <a:xfrm>
          <a:off x="8686801" y="7124700"/>
          <a:ext cx="11811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condensate</a:t>
          </a:r>
        </a:p>
      </xdr:txBody>
    </xdr:sp>
    <xdr:clientData/>
  </xdr:twoCellAnchor>
  <xdr:twoCellAnchor>
    <xdr:from>
      <xdr:col>8</xdr:col>
      <xdr:colOff>66676</xdr:colOff>
      <xdr:row>57</xdr:row>
      <xdr:rowOff>57150</xdr:rowOff>
    </xdr:from>
    <xdr:to>
      <xdr:col>9</xdr:col>
      <xdr:colOff>352426</xdr:colOff>
      <xdr:row>58</xdr:row>
      <xdr:rowOff>95250</xdr:rowOff>
    </xdr:to>
    <xdr:sp macro="" textlink="">
      <xdr:nvSpPr>
        <xdr:cNvPr id="30" name="Parallelogram 29"/>
        <xdr:cNvSpPr/>
      </xdr:nvSpPr>
      <xdr:spPr>
        <a:xfrm>
          <a:off x="5124451" y="9867900"/>
          <a:ext cx="12954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fat oil</a:t>
          </a:r>
        </a:p>
      </xdr:txBody>
    </xdr:sp>
    <xdr:clientData/>
  </xdr:twoCellAnchor>
  <xdr:twoCellAnchor>
    <xdr:from>
      <xdr:col>4</xdr:col>
      <xdr:colOff>238126</xdr:colOff>
      <xdr:row>57</xdr:row>
      <xdr:rowOff>66675</xdr:rowOff>
    </xdr:from>
    <xdr:to>
      <xdr:col>5</xdr:col>
      <xdr:colOff>523876</xdr:colOff>
      <xdr:row>58</xdr:row>
      <xdr:rowOff>104775</xdr:rowOff>
    </xdr:to>
    <xdr:sp macro="" textlink="">
      <xdr:nvSpPr>
        <xdr:cNvPr id="31" name="Parallelogram 30"/>
        <xdr:cNvSpPr/>
      </xdr:nvSpPr>
      <xdr:spPr>
        <a:xfrm>
          <a:off x="2657476" y="9877425"/>
          <a:ext cx="109537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btms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600075</xdr:colOff>
      <xdr:row>29</xdr:row>
      <xdr:rowOff>142875</xdr:rowOff>
    </xdr:from>
    <xdr:to>
      <xdr:col>5</xdr:col>
      <xdr:colOff>76200</xdr:colOff>
      <xdr:row>40</xdr:row>
      <xdr:rowOff>95250</xdr:rowOff>
    </xdr:to>
    <xdr:sp macro="" textlink="">
      <xdr:nvSpPr>
        <xdr:cNvPr id="2" name="Flowchart: Alternate Process 1"/>
        <xdr:cNvSpPr/>
      </xdr:nvSpPr>
      <xdr:spPr>
        <a:xfrm>
          <a:off x="2085975" y="8124825"/>
          <a:ext cx="1133475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T3</a:t>
          </a:r>
        </a:p>
      </xdr:txBody>
    </xdr:sp>
    <xdr:clientData/>
  </xdr:twoCellAnchor>
  <xdr:twoCellAnchor>
    <xdr:from>
      <xdr:col>4</xdr:col>
      <xdr:colOff>142875</xdr:colOff>
      <xdr:row>22</xdr:row>
      <xdr:rowOff>114300</xdr:rowOff>
    </xdr:from>
    <xdr:to>
      <xdr:col>4</xdr:col>
      <xdr:colOff>514350</xdr:colOff>
      <xdr:row>24</xdr:row>
      <xdr:rowOff>104775</xdr:rowOff>
    </xdr:to>
    <xdr:sp macro="" textlink="">
      <xdr:nvSpPr>
        <xdr:cNvPr id="3" name="Oval 2"/>
        <xdr:cNvSpPr/>
      </xdr:nvSpPr>
      <xdr:spPr>
        <a:xfrm>
          <a:off x="2228850" y="6762750"/>
          <a:ext cx="3714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en-US" sz="1100"/>
            <a:t>J4</a:t>
          </a:r>
        </a:p>
      </xdr:txBody>
    </xdr:sp>
    <xdr:clientData/>
  </xdr:twoCellAnchor>
  <xdr:twoCellAnchor>
    <xdr:from>
      <xdr:col>11</xdr:col>
      <xdr:colOff>504825</xdr:colOff>
      <xdr:row>29</xdr:row>
      <xdr:rowOff>133350</xdr:rowOff>
    </xdr:from>
    <xdr:to>
      <xdr:col>12</xdr:col>
      <xdr:colOff>590550</xdr:colOff>
      <xdr:row>40</xdr:row>
      <xdr:rowOff>85725</xdr:rowOff>
    </xdr:to>
    <xdr:sp macro="" textlink="">
      <xdr:nvSpPr>
        <xdr:cNvPr id="4" name="Flowchart: Alternate Process 3"/>
        <xdr:cNvSpPr/>
      </xdr:nvSpPr>
      <xdr:spPr>
        <a:xfrm>
          <a:off x="6867525" y="8115300"/>
          <a:ext cx="676275" cy="2047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T5</a:t>
          </a:r>
        </a:p>
      </xdr:txBody>
    </xdr:sp>
    <xdr:clientData/>
  </xdr:twoCellAnchor>
  <xdr:twoCellAnchor>
    <xdr:from>
      <xdr:col>14</xdr:col>
      <xdr:colOff>57150</xdr:colOff>
      <xdr:row>25</xdr:row>
      <xdr:rowOff>28575</xdr:rowOff>
    </xdr:from>
    <xdr:to>
      <xdr:col>15</xdr:col>
      <xdr:colOff>333375</xdr:colOff>
      <xdr:row>27</xdr:row>
      <xdr:rowOff>171450</xdr:rowOff>
    </xdr:to>
    <xdr:sp macro="" textlink="">
      <xdr:nvSpPr>
        <xdr:cNvPr id="5" name="Flowchart: Alternate Process 4"/>
        <xdr:cNvSpPr/>
      </xdr:nvSpPr>
      <xdr:spPr>
        <a:xfrm>
          <a:off x="8248650" y="7248525"/>
          <a:ext cx="10763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D7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466725</xdr:colOff>
      <xdr:row>45</xdr:row>
      <xdr:rowOff>47625</xdr:rowOff>
    </xdr:to>
    <xdr:sp macro="" textlink="">
      <xdr:nvSpPr>
        <xdr:cNvPr id="6" name="Flowchart: Alternate Process 5"/>
        <xdr:cNvSpPr/>
      </xdr:nvSpPr>
      <xdr:spPr>
        <a:xfrm>
          <a:off x="4238625" y="10553700"/>
          <a:ext cx="885825" cy="523875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D4</a:t>
          </a:r>
        </a:p>
      </xdr:txBody>
    </xdr:sp>
    <xdr:clientData/>
  </xdr:twoCellAnchor>
  <xdr:twoCellAnchor>
    <xdr:from>
      <xdr:col>5</xdr:col>
      <xdr:colOff>76200</xdr:colOff>
      <xdr:row>35</xdr:row>
      <xdr:rowOff>23813</xdr:rowOff>
    </xdr:from>
    <xdr:to>
      <xdr:col>12</xdr:col>
      <xdr:colOff>242888</xdr:colOff>
      <xdr:row>40</xdr:row>
      <xdr:rowOff>85725</xdr:rowOff>
    </xdr:to>
    <xdr:cxnSp macro="">
      <xdr:nvCxnSpPr>
        <xdr:cNvPr id="7" name="Shape 6"/>
        <xdr:cNvCxnSpPr>
          <a:stCxn id="4" idx="2"/>
          <a:endCxn id="2" idx="3"/>
        </xdr:cNvCxnSpPr>
      </xdr:nvCxnSpPr>
      <xdr:spPr>
        <a:xfrm rot="5400000" flipH="1">
          <a:off x="4700588" y="7667625"/>
          <a:ext cx="1014412" cy="3976688"/>
        </a:xfrm>
        <a:prstGeom prst="bentConnector4">
          <a:avLst>
            <a:gd name="adj1" fmla="val -22535"/>
            <a:gd name="adj2" fmla="val 55407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338138</xdr:colOff>
      <xdr:row>40</xdr:row>
      <xdr:rowOff>95250</xdr:rowOff>
    </xdr:from>
    <xdr:to>
      <xdr:col>8</xdr:col>
      <xdr:colOff>0</xdr:colOff>
      <xdr:row>43</xdr:row>
      <xdr:rowOff>166688</xdr:rowOff>
    </xdr:to>
    <xdr:cxnSp macro="">
      <xdr:nvCxnSpPr>
        <xdr:cNvPr id="8" name="Shape 7"/>
        <xdr:cNvCxnSpPr>
          <a:stCxn id="2" idx="2"/>
          <a:endCxn id="6" idx="1"/>
        </xdr:cNvCxnSpPr>
      </xdr:nvCxnSpPr>
      <xdr:spPr>
        <a:xfrm rot="16200000" flipH="1">
          <a:off x="3009900" y="9586913"/>
          <a:ext cx="642938" cy="181451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314325</xdr:colOff>
      <xdr:row>34</xdr:row>
      <xdr:rowOff>9525</xdr:rowOff>
    </xdr:from>
    <xdr:to>
      <xdr:col>15</xdr:col>
      <xdr:colOff>76200</xdr:colOff>
      <xdr:row>36</xdr:row>
      <xdr:rowOff>0</xdr:rowOff>
    </xdr:to>
    <xdr:sp macro="" textlink="">
      <xdr:nvSpPr>
        <xdr:cNvPr id="9" name="Oval 8"/>
        <xdr:cNvSpPr/>
      </xdr:nvSpPr>
      <xdr:spPr>
        <a:xfrm>
          <a:off x="8505825" y="8943975"/>
          <a:ext cx="561975" cy="3714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ea"/>
              <a:cs typeface="+mn-cs"/>
            </a:rPr>
            <a:t>J6</a:t>
          </a:r>
        </a:p>
      </xdr:txBody>
    </xdr:sp>
    <xdr:clientData/>
  </xdr:twoCellAnchor>
  <xdr:twoCellAnchor>
    <xdr:from>
      <xdr:col>9</xdr:col>
      <xdr:colOff>466725</xdr:colOff>
      <xdr:row>36</xdr:row>
      <xdr:rowOff>0</xdr:rowOff>
    </xdr:from>
    <xdr:to>
      <xdr:col>14</xdr:col>
      <xdr:colOff>500063</xdr:colOff>
      <xdr:row>43</xdr:row>
      <xdr:rowOff>166688</xdr:rowOff>
    </xdr:to>
    <xdr:cxnSp macro="">
      <xdr:nvCxnSpPr>
        <xdr:cNvPr id="10" name="Shape 9"/>
        <xdr:cNvCxnSpPr>
          <a:stCxn id="6" idx="3"/>
          <a:endCxn id="9" idx="4"/>
        </xdr:cNvCxnSpPr>
      </xdr:nvCxnSpPr>
      <xdr:spPr>
        <a:xfrm flipV="1">
          <a:off x="5124450" y="9315450"/>
          <a:ext cx="3567113" cy="150018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590551</xdr:colOff>
      <xdr:row>35</xdr:row>
      <xdr:rowOff>4762</xdr:rowOff>
    </xdr:from>
    <xdr:to>
      <xdr:col>14</xdr:col>
      <xdr:colOff>314326</xdr:colOff>
      <xdr:row>35</xdr:row>
      <xdr:rowOff>14287</xdr:rowOff>
    </xdr:to>
    <xdr:cxnSp macro="">
      <xdr:nvCxnSpPr>
        <xdr:cNvPr id="11" name="Shape 17"/>
        <xdr:cNvCxnSpPr>
          <a:stCxn id="9" idx="2"/>
          <a:endCxn id="4" idx="3"/>
        </xdr:cNvCxnSpPr>
      </xdr:nvCxnSpPr>
      <xdr:spPr>
        <a:xfrm rot="10800000" flipV="1">
          <a:off x="7543801" y="9129712"/>
          <a:ext cx="962025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493714</xdr:colOff>
      <xdr:row>27</xdr:row>
      <xdr:rowOff>177799</xdr:rowOff>
    </xdr:from>
    <xdr:to>
      <xdr:col>14</xdr:col>
      <xdr:colOff>506414</xdr:colOff>
      <xdr:row>34</xdr:row>
      <xdr:rowOff>15874</xdr:rowOff>
    </xdr:to>
    <xdr:cxnSp macro="">
      <xdr:nvCxnSpPr>
        <xdr:cNvPr id="12" name="Shape 17"/>
        <xdr:cNvCxnSpPr>
          <a:stCxn id="5" idx="2"/>
          <a:endCxn id="9" idx="0"/>
        </xdr:cNvCxnSpPr>
      </xdr:nvCxnSpPr>
      <xdr:spPr>
        <a:xfrm rot="5400000">
          <a:off x="8105776" y="8358187"/>
          <a:ext cx="1171575" cy="1270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242889</xdr:colOff>
      <xdr:row>26</xdr:row>
      <xdr:rowOff>100013</xdr:rowOff>
    </xdr:from>
    <xdr:to>
      <xdr:col>14</xdr:col>
      <xdr:colOff>57151</xdr:colOff>
      <xdr:row>29</xdr:row>
      <xdr:rowOff>133350</xdr:rowOff>
    </xdr:to>
    <xdr:cxnSp macro="">
      <xdr:nvCxnSpPr>
        <xdr:cNvPr id="13" name="Shape 17"/>
        <xdr:cNvCxnSpPr>
          <a:stCxn id="4" idx="0"/>
          <a:endCxn id="5" idx="1"/>
        </xdr:cNvCxnSpPr>
      </xdr:nvCxnSpPr>
      <xdr:spPr>
        <a:xfrm rot="5400000" flipH="1" flipV="1">
          <a:off x="7419976" y="7286626"/>
          <a:ext cx="604837" cy="1052512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328613</xdr:colOff>
      <xdr:row>24</xdr:row>
      <xdr:rowOff>104775</xdr:rowOff>
    </xdr:from>
    <xdr:to>
      <xdr:col>4</xdr:col>
      <xdr:colOff>338138</xdr:colOff>
      <xdr:row>29</xdr:row>
      <xdr:rowOff>142875</xdr:rowOff>
    </xdr:to>
    <xdr:cxnSp macro="">
      <xdr:nvCxnSpPr>
        <xdr:cNvPr id="14" name="Shape 17"/>
        <xdr:cNvCxnSpPr>
          <a:stCxn id="2" idx="0"/>
          <a:endCxn id="3" idx="4"/>
        </xdr:cNvCxnSpPr>
      </xdr:nvCxnSpPr>
      <xdr:spPr>
        <a:xfrm rot="16200000" flipV="1">
          <a:off x="1924051" y="7624762"/>
          <a:ext cx="990600" cy="9525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35</xdr:row>
      <xdr:rowOff>9525</xdr:rowOff>
    </xdr:from>
    <xdr:to>
      <xdr:col>3</xdr:col>
      <xdr:colOff>600075</xdr:colOff>
      <xdr:row>35</xdr:row>
      <xdr:rowOff>23813</xdr:rowOff>
    </xdr:to>
    <xdr:cxnSp macro="">
      <xdr:nvCxnSpPr>
        <xdr:cNvPr id="15" name="Shape 17"/>
        <xdr:cNvCxnSpPr>
          <a:endCxn id="2" idx="1"/>
        </xdr:cNvCxnSpPr>
      </xdr:nvCxnSpPr>
      <xdr:spPr>
        <a:xfrm>
          <a:off x="1190625" y="9134475"/>
          <a:ext cx="895350" cy="14288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514350</xdr:colOff>
      <xdr:row>23</xdr:row>
      <xdr:rowOff>109538</xdr:rowOff>
    </xdr:from>
    <xdr:to>
      <xdr:col>14</xdr:col>
      <xdr:colOff>500063</xdr:colOff>
      <xdr:row>25</xdr:row>
      <xdr:rowOff>28575</xdr:rowOff>
    </xdr:to>
    <xdr:cxnSp macro="">
      <xdr:nvCxnSpPr>
        <xdr:cNvPr id="16" name="Shape 17"/>
        <xdr:cNvCxnSpPr>
          <a:stCxn id="3" idx="6"/>
          <a:endCxn id="5" idx="0"/>
        </xdr:cNvCxnSpPr>
      </xdr:nvCxnSpPr>
      <xdr:spPr>
        <a:xfrm>
          <a:off x="2600325" y="6948488"/>
          <a:ext cx="6091238" cy="300037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323854</xdr:colOff>
      <xdr:row>19</xdr:row>
      <xdr:rowOff>47625</xdr:rowOff>
    </xdr:from>
    <xdr:to>
      <xdr:col>4</xdr:col>
      <xdr:colOff>328614</xdr:colOff>
      <xdr:row>22</xdr:row>
      <xdr:rowOff>114300</xdr:rowOff>
    </xdr:to>
    <xdr:cxnSp macro="">
      <xdr:nvCxnSpPr>
        <xdr:cNvPr id="17" name="Shape 17"/>
        <xdr:cNvCxnSpPr>
          <a:stCxn id="3" idx="0"/>
        </xdr:cNvCxnSpPr>
      </xdr:nvCxnSpPr>
      <xdr:spPr>
        <a:xfrm rot="16200000" flipV="1">
          <a:off x="2093121" y="6441283"/>
          <a:ext cx="638175" cy="4760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19051</xdr:colOff>
      <xdr:row>19</xdr:row>
      <xdr:rowOff>66675</xdr:rowOff>
    </xdr:from>
    <xdr:to>
      <xdr:col>9</xdr:col>
      <xdr:colOff>23814</xdr:colOff>
      <xdr:row>42</xdr:row>
      <xdr:rowOff>95250</xdr:rowOff>
    </xdr:to>
    <xdr:cxnSp macro="">
      <xdr:nvCxnSpPr>
        <xdr:cNvPr id="18" name="Shape 17"/>
        <xdr:cNvCxnSpPr>
          <a:stCxn id="6" idx="0"/>
        </xdr:cNvCxnSpPr>
      </xdr:nvCxnSpPr>
      <xdr:spPr>
        <a:xfrm rot="16200000" flipV="1">
          <a:off x="2474120" y="8346281"/>
          <a:ext cx="4410075" cy="4763"/>
        </a:xfrm>
        <a:prstGeom prst="bentConnector3">
          <a:avLst>
            <a:gd name="adj1" fmla="val 50000"/>
          </a:avLst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333375</xdr:colOff>
      <xdr:row>19</xdr:row>
      <xdr:rowOff>66675</xdr:rowOff>
    </xdr:from>
    <xdr:to>
      <xdr:col>16</xdr:col>
      <xdr:colOff>0</xdr:colOff>
      <xdr:row>26</xdr:row>
      <xdr:rowOff>100013</xdr:rowOff>
    </xdr:to>
    <xdr:cxnSp macro="">
      <xdr:nvCxnSpPr>
        <xdr:cNvPr id="19" name="Shape 17"/>
        <xdr:cNvCxnSpPr>
          <a:stCxn id="5" idx="3"/>
        </xdr:cNvCxnSpPr>
      </xdr:nvCxnSpPr>
      <xdr:spPr>
        <a:xfrm flipV="1">
          <a:off x="9324975" y="6143625"/>
          <a:ext cx="371475" cy="1366838"/>
        </a:xfrm>
        <a:prstGeom prst="bentConnector2">
          <a:avLst/>
        </a:prstGeom>
        <a:ln w="381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304800</xdr:colOff>
      <xdr:row>36</xdr:row>
      <xdr:rowOff>38100</xdr:rowOff>
    </xdr:from>
    <xdr:to>
      <xdr:col>3</xdr:col>
      <xdr:colOff>485775</xdr:colOff>
      <xdr:row>37</xdr:row>
      <xdr:rowOff>57150</xdr:rowOff>
    </xdr:to>
    <xdr:sp macro="" textlink="">
      <xdr:nvSpPr>
        <xdr:cNvPr id="20" name="Parallelogram 19"/>
        <xdr:cNvSpPr/>
      </xdr:nvSpPr>
      <xdr:spPr>
        <a:xfrm>
          <a:off x="1190625" y="9353550"/>
          <a:ext cx="895350" cy="20955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algn="ctr"/>
          <a:r>
            <a:rPr lang="en-US" sz="1000"/>
            <a:t>sour</a:t>
          </a:r>
          <a:r>
            <a:rPr lang="en-US" sz="1000" baseline="0"/>
            <a:t> gas</a:t>
          </a:r>
          <a:endParaRPr lang="en-US" sz="1000"/>
        </a:p>
      </xdr:txBody>
    </xdr:sp>
    <xdr:clientData/>
  </xdr:twoCellAnchor>
  <xdr:twoCellAnchor>
    <xdr:from>
      <xdr:col>2</xdr:col>
      <xdr:colOff>542926</xdr:colOff>
      <xdr:row>26</xdr:row>
      <xdr:rowOff>104775</xdr:rowOff>
    </xdr:from>
    <xdr:to>
      <xdr:col>4</xdr:col>
      <xdr:colOff>219076</xdr:colOff>
      <xdr:row>27</xdr:row>
      <xdr:rowOff>142875</xdr:rowOff>
    </xdr:to>
    <xdr:sp macro="" textlink="">
      <xdr:nvSpPr>
        <xdr:cNvPr id="21" name="Parallelogram 20"/>
        <xdr:cNvSpPr/>
      </xdr:nvSpPr>
      <xdr:spPr>
        <a:xfrm>
          <a:off x="1428751" y="7515225"/>
          <a:ext cx="8763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ovhd</a:t>
          </a:r>
        </a:p>
      </xdr:txBody>
    </xdr:sp>
    <xdr:clientData/>
  </xdr:twoCellAnchor>
  <xdr:twoCellAnchor>
    <xdr:from>
      <xdr:col>2</xdr:col>
      <xdr:colOff>552451</xdr:colOff>
      <xdr:row>19</xdr:row>
      <xdr:rowOff>114300</xdr:rowOff>
    </xdr:from>
    <xdr:to>
      <xdr:col>4</xdr:col>
      <xdr:colOff>228601</xdr:colOff>
      <xdr:row>20</xdr:row>
      <xdr:rowOff>152400</xdr:rowOff>
    </xdr:to>
    <xdr:sp macro="" textlink="">
      <xdr:nvSpPr>
        <xdr:cNvPr id="22" name="Parallelogram 21"/>
        <xdr:cNvSpPr/>
      </xdr:nvSpPr>
      <xdr:spPr>
        <a:xfrm>
          <a:off x="1438276" y="6191250"/>
          <a:ext cx="8763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treat gas</a:t>
          </a:r>
        </a:p>
      </xdr:txBody>
    </xdr:sp>
    <xdr:clientData/>
  </xdr:twoCellAnchor>
  <xdr:twoCellAnchor>
    <xdr:from>
      <xdr:col>10</xdr:col>
      <xdr:colOff>133351</xdr:colOff>
      <xdr:row>23</xdr:row>
      <xdr:rowOff>171450</xdr:rowOff>
    </xdr:from>
    <xdr:to>
      <xdr:col>11</xdr:col>
      <xdr:colOff>419101</xdr:colOff>
      <xdr:row>25</xdr:row>
      <xdr:rowOff>19050</xdr:rowOff>
    </xdr:to>
    <xdr:sp macro="" textlink="">
      <xdr:nvSpPr>
        <xdr:cNvPr id="23" name="Parallelogram 22"/>
        <xdr:cNvSpPr/>
      </xdr:nvSpPr>
      <xdr:spPr>
        <a:xfrm>
          <a:off x="5400676" y="701040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bypass</a:t>
          </a:r>
        </a:p>
      </xdr:txBody>
    </xdr:sp>
    <xdr:clientData/>
  </xdr:twoCellAnchor>
  <xdr:twoCellAnchor>
    <xdr:from>
      <xdr:col>5</xdr:col>
      <xdr:colOff>266701</xdr:colOff>
      <xdr:row>19</xdr:row>
      <xdr:rowOff>114300</xdr:rowOff>
    </xdr:from>
    <xdr:to>
      <xdr:col>8</xdr:col>
      <xdr:colOff>0</xdr:colOff>
      <xdr:row>20</xdr:row>
      <xdr:rowOff>152400</xdr:rowOff>
    </xdr:to>
    <xdr:sp macro="" textlink="">
      <xdr:nvSpPr>
        <xdr:cNvPr id="24" name="Parallelogram 23"/>
        <xdr:cNvSpPr/>
      </xdr:nvSpPr>
      <xdr:spPr>
        <a:xfrm>
          <a:off x="3409951" y="6191250"/>
          <a:ext cx="11906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fuel gas</a:t>
          </a:r>
        </a:p>
      </xdr:txBody>
    </xdr:sp>
    <xdr:clientData/>
  </xdr:twoCellAnchor>
  <xdr:twoCellAnchor>
    <xdr:from>
      <xdr:col>14</xdr:col>
      <xdr:colOff>219076</xdr:colOff>
      <xdr:row>19</xdr:row>
      <xdr:rowOff>114300</xdr:rowOff>
    </xdr:from>
    <xdr:to>
      <xdr:col>15</xdr:col>
      <xdr:colOff>504826</xdr:colOff>
      <xdr:row>20</xdr:row>
      <xdr:rowOff>152400</xdr:rowOff>
    </xdr:to>
    <xdr:sp macro="" textlink="">
      <xdr:nvSpPr>
        <xdr:cNvPr id="25" name="Parallelogram 24"/>
        <xdr:cNvSpPr/>
      </xdr:nvSpPr>
      <xdr:spPr>
        <a:xfrm>
          <a:off x="8410576" y="6191250"/>
          <a:ext cx="108585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acid gas</a:t>
          </a:r>
        </a:p>
      </xdr:txBody>
    </xdr:sp>
    <xdr:clientData/>
  </xdr:twoCellAnchor>
  <xdr:twoCellAnchor>
    <xdr:from>
      <xdr:col>10</xdr:col>
      <xdr:colOff>114301</xdr:colOff>
      <xdr:row>27</xdr:row>
      <xdr:rowOff>38100</xdr:rowOff>
    </xdr:from>
    <xdr:to>
      <xdr:col>11</xdr:col>
      <xdr:colOff>400051</xdr:colOff>
      <xdr:row>28</xdr:row>
      <xdr:rowOff>76200</xdr:rowOff>
    </xdr:to>
    <xdr:sp macro="" textlink="">
      <xdr:nvSpPr>
        <xdr:cNvPr id="26" name="Parallelogram 25"/>
        <xdr:cNvSpPr/>
      </xdr:nvSpPr>
      <xdr:spPr>
        <a:xfrm>
          <a:off x="5381626" y="763905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sep ovhd</a:t>
          </a:r>
        </a:p>
      </xdr:txBody>
    </xdr:sp>
    <xdr:clientData/>
  </xdr:twoCellAnchor>
  <xdr:twoCellAnchor>
    <xdr:from>
      <xdr:col>10</xdr:col>
      <xdr:colOff>47626</xdr:colOff>
      <xdr:row>40</xdr:row>
      <xdr:rowOff>0</xdr:rowOff>
    </xdr:from>
    <xdr:to>
      <xdr:col>11</xdr:col>
      <xdr:colOff>333376</xdr:colOff>
      <xdr:row>41</xdr:row>
      <xdr:rowOff>38100</xdr:rowOff>
    </xdr:to>
    <xdr:sp macro="" textlink="">
      <xdr:nvSpPr>
        <xdr:cNvPr id="27" name="Parallelogram 26"/>
        <xdr:cNvSpPr/>
      </xdr:nvSpPr>
      <xdr:spPr>
        <a:xfrm>
          <a:off x="5314951" y="1007745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lean</a:t>
          </a:r>
          <a:r>
            <a:rPr lang="en-US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oil</a:t>
          </a:r>
          <a:endParaRPr lang="en-US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104776</xdr:colOff>
      <xdr:row>36</xdr:row>
      <xdr:rowOff>28575</xdr:rowOff>
    </xdr:from>
    <xdr:to>
      <xdr:col>14</xdr:col>
      <xdr:colOff>390526</xdr:colOff>
      <xdr:row>37</xdr:row>
      <xdr:rowOff>66675</xdr:rowOff>
    </xdr:to>
    <xdr:sp macro="" textlink="">
      <xdr:nvSpPr>
        <xdr:cNvPr id="28" name="Parallelogram 27"/>
        <xdr:cNvSpPr/>
      </xdr:nvSpPr>
      <xdr:spPr>
        <a:xfrm>
          <a:off x="7753351" y="9344025"/>
          <a:ext cx="82867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t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recycle</a:t>
          </a:r>
        </a:p>
      </xdr:txBody>
    </xdr:sp>
    <xdr:clientData/>
  </xdr:twoCellAnchor>
  <xdr:twoCellAnchor>
    <xdr:from>
      <xdr:col>14</xdr:col>
      <xdr:colOff>571501</xdr:colOff>
      <xdr:row>29</xdr:row>
      <xdr:rowOff>171450</xdr:rowOff>
    </xdr:from>
    <xdr:to>
      <xdr:col>16</xdr:col>
      <xdr:colOff>247651</xdr:colOff>
      <xdr:row>31</xdr:row>
      <xdr:rowOff>19050</xdr:rowOff>
    </xdr:to>
    <xdr:sp macro="" textlink="">
      <xdr:nvSpPr>
        <xdr:cNvPr id="29" name="Parallelogram 28"/>
        <xdr:cNvSpPr/>
      </xdr:nvSpPr>
      <xdr:spPr>
        <a:xfrm>
          <a:off x="8763001" y="8153400"/>
          <a:ext cx="1181100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condensate</a:t>
          </a:r>
        </a:p>
      </xdr:txBody>
    </xdr:sp>
    <xdr:clientData/>
  </xdr:twoCellAnchor>
  <xdr:twoCellAnchor>
    <xdr:from>
      <xdr:col>10</xdr:col>
      <xdr:colOff>66676</xdr:colOff>
      <xdr:row>44</xdr:row>
      <xdr:rowOff>57150</xdr:rowOff>
    </xdr:from>
    <xdr:to>
      <xdr:col>11</xdr:col>
      <xdr:colOff>352426</xdr:colOff>
      <xdr:row>45</xdr:row>
      <xdr:rowOff>95250</xdr:rowOff>
    </xdr:to>
    <xdr:sp macro="" textlink="">
      <xdr:nvSpPr>
        <xdr:cNvPr id="30" name="Parallelogram 29"/>
        <xdr:cNvSpPr/>
      </xdr:nvSpPr>
      <xdr:spPr>
        <a:xfrm>
          <a:off x="5334001" y="10896600"/>
          <a:ext cx="13811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fat oil</a:t>
          </a:r>
        </a:p>
      </xdr:txBody>
    </xdr:sp>
    <xdr:clientData/>
  </xdr:twoCellAnchor>
  <xdr:twoCellAnchor>
    <xdr:from>
      <xdr:col>4</xdr:col>
      <xdr:colOff>238126</xdr:colOff>
      <xdr:row>44</xdr:row>
      <xdr:rowOff>66675</xdr:rowOff>
    </xdr:from>
    <xdr:to>
      <xdr:col>5</xdr:col>
      <xdr:colOff>523876</xdr:colOff>
      <xdr:row>45</xdr:row>
      <xdr:rowOff>104775</xdr:rowOff>
    </xdr:to>
    <xdr:sp macro="" textlink="">
      <xdr:nvSpPr>
        <xdr:cNvPr id="31" name="Parallelogram 30"/>
        <xdr:cNvSpPr/>
      </xdr:nvSpPr>
      <xdr:spPr>
        <a:xfrm>
          <a:off x="2324101" y="10906125"/>
          <a:ext cx="1343025" cy="228600"/>
        </a:xfrm>
        <a:prstGeom prst="parallelogram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marL="0" indent="0" algn="ctr"/>
          <a:r>
            <a:rPr lang="en-US" sz="1000">
              <a:solidFill>
                <a:schemeClr val="lt1"/>
              </a:solidFill>
              <a:latin typeface="+mn-lt"/>
              <a:ea typeface="+mn-ea"/>
              <a:cs typeface="+mn-cs"/>
            </a:rPr>
            <a:t>abs btms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eterL/AppData/Roaming/Microsoft/AddIns/Reconciliation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Reconciliation Report 1"/>
      <sheetName val="Reconciliation Report 2"/>
      <sheetName val="ResolverReservedData"/>
      <sheetName val="Simple Linear Problem"/>
      <sheetName val="Sheet2"/>
      <sheetName val="Sheet3"/>
    </sheetNames>
    <definedNames>
      <definedName name="Gaussia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mass_balance@J_6" TargetMode="External"/><Relationship Id="rId7" Type="http://schemas.openxmlformats.org/officeDocument/2006/relationships/hyperlink" Target="mailto:mass_balance@world" TargetMode="External"/><Relationship Id="rId2" Type="http://schemas.openxmlformats.org/officeDocument/2006/relationships/hyperlink" Target="mailto:mass_balance@J_4" TargetMode="External"/><Relationship Id="rId1" Type="http://schemas.openxmlformats.org/officeDocument/2006/relationships/hyperlink" Target="mailto:mass_balance@D_2" TargetMode="External"/><Relationship Id="rId6" Type="http://schemas.openxmlformats.org/officeDocument/2006/relationships/hyperlink" Target="mailto:mass_balance@D_7" TargetMode="External"/><Relationship Id="rId5" Type="http://schemas.openxmlformats.org/officeDocument/2006/relationships/hyperlink" Target="mailto:mass_balance@T_3" TargetMode="External"/><Relationship Id="rId10" Type="http://schemas.openxmlformats.org/officeDocument/2006/relationships/drawing" Target="../drawings/drawing2.xml"/><Relationship Id="rId4" Type="http://schemas.openxmlformats.org/officeDocument/2006/relationships/hyperlink" Target="mailto:mass_balance@T_5" TargetMode="External"/><Relationship Id="rId9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mass_balance@J_6" TargetMode="External"/><Relationship Id="rId7" Type="http://schemas.openxmlformats.org/officeDocument/2006/relationships/hyperlink" Target="mailto:mass_balance@world" TargetMode="External"/><Relationship Id="rId2" Type="http://schemas.openxmlformats.org/officeDocument/2006/relationships/hyperlink" Target="mailto:mass_balance@J_4" TargetMode="External"/><Relationship Id="rId1" Type="http://schemas.openxmlformats.org/officeDocument/2006/relationships/hyperlink" Target="mailto:mass_balance@D_2" TargetMode="External"/><Relationship Id="rId6" Type="http://schemas.openxmlformats.org/officeDocument/2006/relationships/hyperlink" Target="mailto:mass_balance@D_7" TargetMode="External"/><Relationship Id="rId5" Type="http://schemas.openxmlformats.org/officeDocument/2006/relationships/hyperlink" Target="mailto:mass_balance@T_3" TargetMode="External"/><Relationship Id="rId4" Type="http://schemas.openxmlformats.org/officeDocument/2006/relationships/hyperlink" Target="mailto:mass_balance@T_5" TargetMode="External"/><Relationship Id="rId9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hyperlink" Target="mailto:mass_balance@J_6" TargetMode="External"/><Relationship Id="rId7" Type="http://schemas.openxmlformats.org/officeDocument/2006/relationships/hyperlink" Target="mailto:mass_balance@world" TargetMode="External"/><Relationship Id="rId2" Type="http://schemas.openxmlformats.org/officeDocument/2006/relationships/hyperlink" Target="mailto:mass_balance@J_4" TargetMode="External"/><Relationship Id="rId1" Type="http://schemas.openxmlformats.org/officeDocument/2006/relationships/hyperlink" Target="mailto:mass_balance@D_2" TargetMode="External"/><Relationship Id="rId6" Type="http://schemas.openxmlformats.org/officeDocument/2006/relationships/hyperlink" Target="mailto:mass_balance@D_7" TargetMode="External"/><Relationship Id="rId5" Type="http://schemas.openxmlformats.org/officeDocument/2006/relationships/hyperlink" Target="mailto:mass_balance@T_3" TargetMode="External"/><Relationship Id="rId4" Type="http://schemas.openxmlformats.org/officeDocument/2006/relationships/hyperlink" Target="mailto:mass_balance@T_5" TargetMode="External"/><Relationship Id="rId9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0"/>
  <dimension ref="A1:G10"/>
  <sheetViews>
    <sheetView workbookViewId="0">
      <selection activeCell="C22" sqref="C22"/>
    </sheetView>
  </sheetViews>
  <sheetFormatPr defaultRowHeight="15"/>
  <cols>
    <col min="1" max="1" width="12.140625" customWidth="1"/>
  </cols>
  <sheetData>
    <row r="1" spans="1:7">
      <c r="A1" s="26" t="str">
        <f>'Ammonia Reconciliation Problem'!A1</f>
        <v>Ammonia Reconciliation Problem</v>
      </c>
      <c r="B1">
        <f>'Test1 Problem'!A1</f>
        <v>0</v>
      </c>
      <c r="C1" t="str">
        <f>'Large Nonlinear Problem'!A1</f>
        <v>Large Nonlinear problem</v>
      </c>
      <c r="D1">
        <f>'Simple Linear Problem'!A1</f>
        <v>0</v>
      </c>
      <c r="E1">
        <f>'TestNL4 Problem'!A1</f>
        <v>0</v>
      </c>
      <c r="F1">
        <f>'Simple  Mass Volume Problem'!A1</f>
        <v>0</v>
      </c>
      <c r="G1">
        <f>Bilinear!A1</f>
        <v>0</v>
      </c>
    </row>
    <row r="2" spans="1:7">
      <c r="A2">
        <f>$B$21</f>
        <v>0</v>
      </c>
      <c r="B2">
        <f>$K$18</f>
        <v>0</v>
      </c>
      <c r="C2">
        <f>$G$2</f>
        <v>0</v>
      </c>
      <c r="D2">
        <f>$C$14</f>
        <v>0</v>
      </c>
      <c r="E2">
        <f>$O$2</f>
        <v>0</v>
      </c>
      <c r="F2">
        <f>$C$14</f>
        <v>0</v>
      </c>
      <c r="G2">
        <f>$H$2</f>
        <v>0</v>
      </c>
    </row>
    <row r="3" spans="1:7">
      <c r="A3" t="e">
        <f ca="1">MIN($A$10)</f>
        <v>#NAME?</v>
      </c>
      <c r="B3" t="e">
        <f>MIN($B$7)</f>
        <v>#VALUE!</v>
      </c>
      <c r="C3" t="e">
        <f>MIN($C$8)</f>
        <v>#VALUE!</v>
      </c>
      <c r="D3" t="e">
        <f>MIN($D$7)</f>
        <v>#VALUE!</v>
      </c>
      <c r="E3" t="e">
        <f>MIN($E$7)</f>
        <v>#VALUE!</v>
      </c>
      <c r="F3" t="e">
        <f>MIN($F$7)</f>
        <v>#VALUE!</v>
      </c>
      <c r="G3" t="e">
        <f>MIN($G$7)</f>
        <v>#VALUE!</v>
      </c>
    </row>
    <row r="4" spans="1:7">
      <c r="A4">
        <f>COUNT($C$4:$C$6,$C$8:$C$12,$G$4:$G$6,$G$8:$G$10,$K$4:$K$6,$K$8:$K$10,$O$6:$O$7)</f>
        <v>3</v>
      </c>
      <c r="B4">
        <f>COUNT($I$4:$I$15)</f>
        <v>0</v>
      </c>
      <c r="C4">
        <f>COUNT($C$316:$C$507,$C$510:$C$516)</f>
        <v>0</v>
      </c>
      <c r="D4">
        <f>COUNT($I$4:$I$15)</f>
        <v>0</v>
      </c>
      <c r="E4">
        <f>COUNT($I$3:$I$10)</f>
        <v>0</v>
      </c>
      <c r="F4">
        <f>COUNT($K$4:$K$15,$Q$4:$Q$15)</f>
        <v>0</v>
      </c>
      <c r="G4">
        <f>COUNT($C$151:$C$387)</f>
        <v>0</v>
      </c>
    </row>
    <row r="5" spans="1:7">
      <c r="A5" t="b">
        <f t="array" ref="A5">$D$15:$D$19=$F$15:$F$19</f>
        <v>1</v>
      </c>
      <c r="B5" t="b">
        <f t="array" ref="B5">$C$4:$C$9=$E$4:$E$9</f>
        <v>1</v>
      </c>
      <c r="C5" t="b">
        <f t="array" ref="C5">$C$2:$C$97=$E$2:$E$97</f>
        <v>1</v>
      </c>
      <c r="D5" t="b">
        <f t="array" ref="D5">$C$4:$C$9=$E$4:$E$9</f>
        <v>1</v>
      </c>
      <c r="E5" t="e">
        <f t="array" ref="E5">$C$3:$C$8=$E$3:$E$8</f>
        <v>#VALUE!</v>
      </c>
      <c r="F5" t="b">
        <f t="array" ref="F5">$C$4:$C$9=$E$4:$E$9</f>
        <v>1</v>
      </c>
      <c r="G5" t="e">
        <f t="array" ref="G5">$C$3:$C$148=$E$3:$E$148</f>
        <v>#VALUE!</v>
      </c>
    </row>
    <row r="6" spans="1:7">
      <c r="A6" t="b">
        <f t="array" ref="A6">$H$15:$H$19=$J$15:$J$19</f>
        <v>1</v>
      </c>
      <c r="B6">
        <f>{100,100,0.000001,5,TRUE,TRUE,TRUE,1,1,1,0.0001,TRUE,FALSE}</f>
        <v>100</v>
      </c>
      <c r="C6" t="b">
        <f t="array" ref="C6">$C$100:$C$134=$E$100:$E$134</f>
        <v>1</v>
      </c>
      <c r="D6">
        <f>{10,20,0.000001,5,TRUE,TRUE,TRUE,1,1,1,0.0001,FALSE,FALSE}</f>
        <v>10</v>
      </c>
      <c r="E6">
        <f>{1000,100,0.000001,5,TRUE,TRUE,TRUE,1,1,1,0.00000001,TRUE,TRUE}</f>
        <v>1000</v>
      </c>
      <c r="F6">
        <f>{10,20,0.000001,5,TRUE,TRUE,TRUE,1,1,1,0.0001,FALSE,FALSE}</f>
        <v>10</v>
      </c>
      <c r="G6">
        <f>{1000,100,0.000001,5,TRUE,TRUE,TRUE,1,1,1,0.00000001,FALSE,FALSE}</f>
        <v>1000</v>
      </c>
    </row>
    <row r="7" spans="1:7">
      <c r="A7" t="b">
        <f t="array" ref="A7">$L$15:$L$19=$N$15:$N$19</f>
        <v>1</v>
      </c>
      <c r="B7" t="e">
        <f>[1]!Gaussian($I$4:$I$15)</f>
        <v>#VALUE!</v>
      </c>
      <c r="C7">
        <f>{10,100,0.000001,5,TRUE,TRUE,TRUE,1,1,1,0.00000001,FALSE,FALSE}</f>
        <v>10</v>
      </c>
      <c r="D7" t="e">
        <f>[1]!Gaussian($I$4:$I$15)</f>
        <v>#VALUE!</v>
      </c>
      <c r="E7" t="e">
        <f>[1]!Gaussian($I$3:$I$10)</f>
        <v>#VALUE!</v>
      </c>
      <c r="F7" t="e">
        <f>[1]!Gaussian($K$4:$K$15,$Q$4:$Q$15)</f>
        <v>#VALUE!</v>
      </c>
      <c r="G7" t="e">
        <f>Gaussian($C$151:$C$387)</f>
        <v>#VALUE!</v>
      </c>
    </row>
    <row r="8" spans="1:7">
      <c r="A8" t="b">
        <f t="array" ref="A8">$P$16:$P$17=$R$16:$R$17</f>
        <v>1</v>
      </c>
      <c r="C8" t="e">
        <f>[1]!Gaussian($C$316:$C$507,$C$510:$C$516)</f>
        <v>#VALUE!</v>
      </c>
    </row>
    <row r="9" spans="1:7">
      <c r="A9">
        <f>{10,100,0.000001,5,TRUE,TRUE,TRUE,1,1,1,0.0001,FALSE,TRUE}</f>
        <v>10</v>
      </c>
      <c r="C9" t="e">
        <f>[1]!Gaussian($C$316:$C$507,$C$510:$C$516)</f>
        <v>#VALUE!</v>
      </c>
    </row>
    <row r="10" spans="1:7">
      <c r="A10" t="e">
        <f ca="1">[1]!Gaussian($C$4:$C$6,$C$8:$C$12,$G$4:$G$6,$G$8:$G$10,$K$4:$K$6,$K$8:$K$10,$O$6:$O$7)</f>
        <v>#NAME?</v>
      </c>
    </row>
  </sheetData>
  <pageMargins left="0.7" right="0.7" top="0.75" bottom="0.75" header="0.3" footer="0.3"/>
  <customProperties>
    <customPr name="DVSECTIONID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3"/>
  <dimension ref="A1:R28"/>
  <sheetViews>
    <sheetView topLeftCell="A7" workbookViewId="0">
      <selection activeCell="B29" sqref="B29"/>
    </sheetView>
  </sheetViews>
  <sheetFormatPr defaultRowHeight="15"/>
  <cols>
    <col min="1" max="1" width="2.28515625" customWidth="1"/>
    <col min="2" max="2" width="10.85546875" customWidth="1"/>
    <col min="3" max="3" width="4.5703125" customWidth="1"/>
    <col min="4" max="4" width="11.140625" customWidth="1"/>
    <col min="5" max="5" width="7" bestFit="1" customWidth="1"/>
    <col min="6" max="6" width="11.5703125" customWidth="1"/>
    <col min="7" max="7" width="4.42578125" customWidth="1"/>
    <col min="8" max="8" width="11.5703125" customWidth="1"/>
    <col min="9" max="9" width="5" bestFit="1" customWidth="1"/>
    <col min="11" max="11" width="3.85546875" customWidth="1"/>
    <col min="12" max="12" width="11.5703125" customWidth="1"/>
    <col min="13" max="13" width="6" bestFit="1" customWidth="1"/>
    <col min="14" max="14" width="11.42578125" customWidth="1"/>
    <col min="15" max="15" width="4" customWidth="1"/>
    <col min="16" max="16" width="8.85546875" customWidth="1"/>
    <col min="17" max="17" width="5" bestFit="1" customWidth="1"/>
    <col min="18" max="18" width="12.42578125" customWidth="1"/>
  </cols>
  <sheetData>
    <row r="1" spans="1:18">
      <c r="A1" s="5" t="s">
        <v>61</v>
      </c>
    </row>
    <row r="2" spans="1:18">
      <c r="A2" s="10" t="s">
        <v>46</v>
      </c>
      <c r="B2" s="11"/>
      <c r="C2" s="61" t="s">
        <v>42</v>
      </c>
      <c r="D2" s="61"/>
      <c r="E2" s="61"/>
      <c r="F2" s="61"/>
      <c r="G2" s="61" t="s">
        <v>43</v>
      </c>
      <c r="H2" s="61"/>
      <c r="I2" s="61"/>
      <c r="J2" s="61"/>
      <c r="K2" s="61" t="s">
        <v>44</v>
      </c>
      <c r="L2" s="61"/>
      <c r="M2" s="61"/>
      <c r="N2" s="61"/>
      <c r="O2" s="61" t="s">
        <v>45</v>
      </c>
      <c r="P2" s="61"/>
      <c r="Q2" s="61"/>
      <c r="R2" s="61"/>
    </row>
    <row r="3" spans="1:18">
      <c r="A3" s="14"/>
      <c r="B3" s="10" t="s">
        <v>32</v>
      </c>
      <c r="C3" s="12" t="s">
        <v>57</v>
      </c>
      <c r="D3" s="12" t="s">
        <v>47</v>
      </c>
      <c r="E3" s="12" t="s">
        <v>41</v>
      </c>
      <c r="F3" s="12" t="s">
        <v>40</v>
      </c>
      <c r="G3" s="12" t="s">
        <v>57</v>
      </c>
      <c r="H3" s="12" t="s">
        <v>47</v>
      </c>
      <c r="I3" s="12" t="s">
        <v>41</v>
      </c>
      <c r="J3" s="12" t="s">
        <v>40</v>
      </c>
      <c r="K3" s="12" t="s">
        <v>57</v>
      </c>
      <c r="L3" s="12" t="s">
        <v>47</v>
      </c>
      <c r="M3" s="12" t="s">
        <v>41</v>
      </c>
      <c r="N3" s="12" t="s">
        <v>40</v>
      </c>
      <c r="O3" s="12" t="s">
        <v>57</v>
      </c>
      <c r="P3" s="12" t="s">
        <v>47</v>
      </c>
      <c r="Q3" s="12" t="s">
        <v>41</v>
      </c>
      <c r="R3" s="12" t="s">
        <v>40</v>
      </c>
    </row>
    <row r="4" spans="1:18">
      <c r="A4" s="15"/>
      <c r="B4" s="11" t="s">
        <v>33</v>
      </c>
      <c r="C4" s="11">
        <f t="array" ref="C4">D4:F4</f>
        <v>31.696545913395415</v>
      </c>
      <c r="D4" s="11">
        <v>31.696545913395415</v>
      </c>
      <c r="E4" s="11">
        <v>0.3</v>
      </c>
      <c r="F4" s="11">
        <v>33</v>
      </c>
      <c r="G4" s="11">
        <f t="array" ref="G4">H4:J4</f>
        <v>94.998950814723599</v>
      </c>
      <c r="H4" s="11">
        <v>94.998950814723599</v>
      </c>
      <c r="I4" s="11">
        <v>0.89</v>
      </c>
      <c r="J4" s="11">
        <v>89</v>
      </c>
      <c r="K4" s="11">
        <f t="array" ref="K4">L4:N4</f>
        <v>0.40117963961021685</v>
      </c>
      <c r="L4" s="11">
        <v>0.40117963961021685</v>
      </c>
      <c r="M4" s="11">
        <v>4.0000000000000001E-3</v>
      </c>
      <c r="N4" s="11">
        <v>0.4</v>
      </c>
      <c r="O4" s="11">
        <f t="array" ref="O4">P4:R4</f>
        <v>0</v>
      </c>
      <c r="P4" s="11">
        <v>0</v>
      </c>
      <c r="Q4" s="11">
        <v>0</v>
      </c>
      <c r="R4" s="11">
        <v>0</v>
      </c>
    </row>
    <row r="5" spans="1:18">
      <c r="A5" s="15"/>
      <c r="B5" s="11" t="s">
        <v>34</v>
      </c>
      <c r="C5" s="11">
        <f t="array" ref="C5">D5:F5</f>
        <v>99.948143642901144</v>
      </c>
      <c r="D5" s="11">
        <v>99.948143642901144</v>
      </c>
      <c r="E5" s="11">
        <v>1</v>
      </c>
      <c r="F5" s="11">
        <v>101</v>
      </c>
      <c r="G5" s="11">
        <f t="array" ref="G5">H5:J5</f>
        <v>295.29152562324305</v>
      </c>
      <c r="H5" s="11">
        <v>295.29152562324305</v>
      </c>
      <c r="I5" s="11"/>
      <c r="J5" s="11"/>
      <c r="K5" s="11">
        <f t="array" ref="K5">L5:N5</f>
        <v>20.141083188155676</v>
      </c>
      <c r="L5" s="11">
        <v>20.141083188155676</v>
      </c>
      <c r="M5" s="11">
        <v>0.2</v>
      </c>
      <c r="N5" s="11">
        <v>20.2</v>
      </c>
      <c r="O5" s="11">
        <f t="array" ref="O5">P5:R5</f>
        <v>0</v>
      </c>
      <c r="P5" s="11">
        <v>0</v>
      </c>
      <c r="Q5" s="11">
        <v>0</v>
      </c>
      <c r="R5" s="11">
        <v>0</v>
      </c>
    </row>
    <row r="6" spans="1:18">
      <c r="A6" s="15"/>
      <c r="B6" s="11" t="s">
        <v>35</v>
      </c>
      <c r="C6" s="11">
        <f t="array" ref="C6">D6:F6</f>
        <v>69.638694242684295</v>
      </c>
      <c r="D6" s="11">
        <v>69.638694242684295</v>
      </c>
      <c r="E6" s="11">
        <v>0.69</v>
      </c>
      <c r="F6" s="11">
        <v>69</v>
      </c>
      <c r="G6" s="11">
        <f t="array" ref="G6">H6:J6</f>
        <v>204.36317742259254</v>
      </c>
      <c r="H6" s="11">
        <v>204.36317742259254</v>
      </c>
      <c r="I6" s="11"/>
      <c r="J6" s="11"/>
      <c r="K6" s="11">
        <f t="array" ref="K6">L6:N6</f>
        <v>20.141083188155676</v>
      </c>
      <c r="L6" s="11">
        <v>20.141083188155676</v>
      </c>
      <c r="M6" s="11"/>
      <c r="N6" s="11"/>
      <c r="O6" s="11">
        <f t="array" ref="O6">P6:R6</f>
        <v>60.618898800433705</v>
      </c>
      <c r="P6" s="11">
        <v>60.618898800433705</v>
      </c>
      <c r="Q6" s="11"/>
      <c r="R6" s="11"/>
    </row>
    <row r="7" spans="1:18">
      <c r="A7" s="15"/>
      <c r="B7" s="11" t="s">
        <v>36</v>
      </c>
      <c r="C7" s="11">
        <f t="array" ref="C7">D7:F7</f>
        <v>0</v>
      </c>
      <c r="D7" s="11">
        <v>0</v>
      </c>
      <c r="E7" s="11">
        <v>0</v>
      </c>
      <c r="F7" s="11">
        <v>0</v>
      </c>
      <c r="G7" s="11">
        <f t="array" ref="G7">H7:J7</f>
        <v>0</v>
      </c>
      <c r="H7" s="11">
        <v>0</v>
      </c>
      <c r="I7" s="11">
        <v>0</v>
      </c>
      <c r="J7" s="11">
        <v>0</v>
      </c>
      <c r="K7" s="11">
        <f t="array" ref="K7">L7:N7</f>
        <v>0</v>
      </c>
      <c r="L7" s="11">
        <v>0</v>
      </c>
      <c r="M7" s="11">
        <v>0</v>
      </c>
      <c r="N7" s="11">
        <v>0</v>
      </c>
      <c r="O7" s="11">
        <f t="array" ref="O7">P7:R7</f>
        <v>60.618898800433705</v>
      </c>
      <c r="P7" s="11">
        <v>60.618898800433705</v>
      </c>
      <c r="Q7" s="11">
        <v>0.62</v>
      </c>
      <c r="R7" s="11">
        <v>62</v>
      </c>
    </row>
    <row r="8" spans="1:18">
      <c r="A8" s="15"/>
      <c r="B8" s="11" t="s">
        <v>37</v>
      </c>
      <c r="C8" s="11">
        <f t="array" ref="C8">D8:F8</f>
        <v>69.638694242684295</v>
      </c>
      <c r="D8" s="11">
        <v>69.638694242684295</v>
      </c>
      <c r="E8" s="11"/>
      <c r="F8" s="11"/>
      <c r="G8" s="11">
        <f t="array" ref="G8">H8:J8</f>
        <v>204.36317742259254</v>
      </c>
      <c r="H8" s="11">
        <v>204.36317742259254</v>
      </c>
      <c r="I8" s="11">
        <v>2.0499999999999998</v>
      </c>
      <c r="J8" s="11">
        <v>205</v>
      </c>
      <c r="K8" s="11">
        <f t="array" ref="K8">L8:N8</f>
        <v>20.141083188155676</v>
      </c>
      <c r="L8" s="11">
        <v>20.141083188155676</v>
      </c>
      <c r="M8" s="11"/>
      <c r="N8" s="11"/>
      <c r="O8" s="11">
        <f t="array" ref="O8">P8:R8</f>
        <v>0</v>
      </c>
      <c r="P8" s="11">
        <v>0</v>
      </c>
      <c r="Q8" s="11">
        <v>0</v>
      </c>
      <c r="R8" s="11">
        <v>0</v>
      </c>
    </row>
    <row r="9" spans="1:18">
      <c r="A9" s="15"/>
      <c r="B9" s="11" t="s">
        <v>38</v>
      </c>
      <c r="C9" s="11">
        <f t="array" ref="C9">D9:F9</f>
        <v>1.3870965131785356</v>
      </c>
      <c r="D9" s="11">
        <v>1.3870965131785356</v>
      </c>
      <c r="E9" s="11"/>
      <c r="F9" s="11"/>
      <c r="G9" s="11">
        <f t="array" ref="G9">H9:J9</f>
        <v>4.0706026140730476</v>
      </c>
      <c r="H9" s="11">
        <v>4.0706026140730476</v>
      </c>
      <c r="I9" s="11"/>
      <c r="J9" s="11"/>
      <c r="K9" s="11">
        <f t="array" ref="K9">L9:N9</f>
        <v>0.40117963961021935</v>
      </c>
      <c r="L9" s="11">
        <v>0.40117963961021935</v>
      </c>
      <c r="M9" s="11"/>
      <c r="N9" s="11"/>
      <c r="O9" s="11">
        <f t="array" ref="O9">P9:R9</f>
        <v>0</v>
      </c>
      <c r="P9" s="11">
        <v>0</v>
      </c>
      <c r="Q9" s="11">
        <v>0</v>
      </c>
      <c r="R9" s="11">
        <v>0</v>
      </c>
    </row>
    <row r="10" spans="1:18">
      <c r="A10" s="15"/>
      <c r="B10" s="11" t="s">
        <v>39</v>
      </c>
      <c r="C10" s="11">
        <f t="array" ref="C10">D10:F10</f>
        <v>68.251597729505733</v>
      </c>
      <c r="D10" s="11">
        <v>68.251597729505733</v>
      </c>
      <c r="E10" s="11"/>
      <c r="F10" s="11"/>
      <c r="G10" s="11">
        <f t="array" ref="G10">H10:J10</f>
        <v>200.29257480851953</v>
      </c>
      <c r="H10" s="11">
        <v>200.29257480851953</v>
      </c>
      <c r="I10" s="11"/>
      <c r="J10" s="11"/>
      <c r="K10" s="11">
        <f t="array" ref="K10">L10:N10</f>
        <v>19.73990354854546</v>
      </c>
      <c r="L10" s="11">
        <v>19.73990354854546</v>
      </c>
      <c r="M10" s="11"/>
      <c r="N10" s="11"/>
      <c r="O10" s="11">
        <f t="array" ref="O10">P10:R10</f>
        <v>0</v>
      </c>
      <c r="P10" s="11">
        <v>0</v>
      </c>
      <c r="Q10" s="11">
        <v>0</v>
      </c>
      <c r="R10" s="11">
        <v>0</v>
      </c>
    </row>
    <row r="11" spans="1:18">
      <c r="A11" s="15"/>
      <c r="B11" s="11" t="s">
        <v>52</v>
      </c>
      <c r="C11" s="11">
        <f t="array" ref="C11">D11:F11</f>
        <v>30.309449400216852</v>
      </c>
      <c r="D11" s="11">
        <v>30.309449400216852</v>
      </c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</row>
    <row r="12" spans="1:18">
      <c r="A12" s="15"/>
      <c r="B12" s="11" t="s">
        <v>53</v>
      </c>
      <c r="C12" s="11">
        <f t="array" ref="C12">D12:F12</f>
        <v>1.991847389246679E-2</v>
      </c>
      <c r="D12" s="11">
        <v>1.991847389246679E-2</v>
      </c>
      <c r="E12" s="11">
        <v>2.0000000000000001E-4</v>
      </c>
      <c r="F12" s="11">
        <v>0.02</v>
      </c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</row>
    <row r="13" spans="1:18">
      <c r="A13" s="16"/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9"/>
    </row>
    <row r="14" spans="1:18">
      <c r="A14" s="10" t="s">
        <v>29</v>
      </c>
      <c r="B14" s="11"/>
      <c r="C14" s="62"/>
      <c r="D14" s="63"/>
      <c r="E14" s="63"/>
      <c r="F14" s="63"/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4"/>
    </row>
    <row r="15" spans="1:18">
      <c r="A15" s="11"/>
      <c r="B15" s="11" t="s">
        <v>48</v>
      </c>
      <c r="C15" s="58"/>
      <c r="D15" s="11">
        <f>Stream1_N+Stream7_N</f>
        <v>99.948143642901144</v>
      </c>
      <c r="E15" s="13" t="s">
        <v>0</v>
      </c>
      <c r="F15" s="11">
        <f>Stream2_N</f>
        <v>99.948143642901144</v>
      </c>
      <c r="G15" s="58"/>
      <c r="H15" s="11">
        <f>Stream1_H+Stream7_H</f>
        <v>295.29152562324316</v>
      </c>
      <c r="I15" s="13" t="s">
        <v>0</v>
      </c>
      <c r="J15" s="11">
        <f>Stream2_H</f>
        <v>295.29152562324305</v>
      </c>
      <c r="K15" s="58"/>
      <c r="L15" s="11">
        <f>Stream1_A+Stream7_A</f>
        <v>20.141083188155676</v>
      </c>
      <c r="M15" s="13" t="s">
        <v>0</v>
      </c>
      <c r="N15" s="11">
        <f>Stream2_A</f>
        <v>20.141083188155676</v>
      </c>
      <c r="O15" s="58"/>
      <c r="P15" s="11"/>
      <c r="Q15" s="13"/>
      <c r="R15" s="11"/>
    </row>
    <row r="16" spans="1:18">
      <c r="A16" s="11"/>
      <c r="B16" s="11" t="s">
        <v>49</v>
      </c>
      <c r="C16" s="59"/>
      <c r="D16" s="11">
        <f>Stream2_N</f>
        <v>99.948143642901144</v>
      </c>
      <c r="E16" s="13" t="s">
        <v>0</v>
      </c>
      <c r="F16" s="11">
        <f>Stream3_N+ReactorEff</f>
        <v>99.948143642901144</v>
      </c>
      <c r="G16" s="59"/>
      <c r="H16" s="11">
        <f>Stream2_H</f>
        <v>295.29152562324305</v>
      </c>
      <c r="I16" s="13" t="s">
        <v>0</v>
      </c>
      <c r="J16" s="11">
        <f>Stream3_H+3*ReactorEff</f>
        <v>295.2915256232431</v>
      </c>
      <c r="K16" s="59"/>
      <c r="L16" s="11">
        <f>Stream2_A</f>
        <v>20.141083188155676</v>
      </c>
      <c r="M16" s="13" t="s">
        <v>0</v>
      </c>
      <c r="N16" s="11">
        <f>Stream3_A</f>
        <v>20.141083188155676</v>
      </c>
      <c r="O16" s="59"/>
      <c r="P16" s="11">
        <v>0</v>
      </c>
      <c r="Q16" s="13" t="s">
        <v>0</v>
      </c>
      <c r="R16" s="11">
        <f>Stream3_NH-2*ReactorEff</f>
        <v>0</v>
      </c>
    </row>
    <row r="17" spans="1:18">
      <c r="A17" s="11"/>
      <c r="B17" s="11" t="s">
        <v>50</v>
      </c>
      <c r="C17" s="59"/>
      <c r="D17" s="11">
        <f>Stream3_N</f>
        <v>69.638694242684295</v>
      </c>
      <c r="E17" s="13" t="s">
        <v>0</v>
      </c>
      <c r="F17" s="11">
        <f>Stream5_N</f>
        <v>69.638694242684295</v>
      </c>
      <c r="G17" s="59"/>
      <c r="H17" s="11">
        <f>Stream3_H</f>
        <v>204.36317742259254</v>
      </c>
      <c r="I17" s="13" t="s">
        <v>0</v>
      </c>
      <c r="J17" s="11">
        <f>Stream5_H</f>
        <v>204.36317742259254</v>
      </c>
      <c r="K17" s="59"/>
      <c r="L17" s="11">
        <f>Stream3_A</f>
        <v>20.141083188155676</v>
      </c>
      <c r="M17" s="13" t="s">
        <v>0</v>
      </c>
      <c r="N17" s="11">
        <f>Stream5_A</f>
        <v>20.141083188155676</v>
      </c>
      <c r="O17" s="59"/>
      <c r="P17" s="11">
        <f>Stream3_NH</f>
        <v>60.618898800433705</v>
      </c>
      <c r="Q17" s="13" t="s">
        <v>0</v>
      </c>
      <c r="R17" s="11">
        <f>Stream4_NH</f>
        <v>60.618898800433705</v>
      </c>
    </row>
    <row r="18" spans="1:18">
      <c r="A18" s="11"/>
      <c r="B18" s="11" t="s">
        <v>51</v>
      </c>
      <c r="C18" s="59"/>
      <c r="D18" s="11">
        <f>Stream5_N</f>
        <v>69.638694242684295</v>
      </c>
      <c r="E18" s="13" t="s">
        <v>0</v>
      </c>
      <c r="F18" s="11">
        <f>Stream6_N+Stream7_N</f>
        <v>69.638694242684267</v>
      </c>
      <c r="G18" s="59"/>
      <c r="H18" s="11">
        <f>Stream5_H</f>
        <v>204.36317742259254</v>
      </c>
      <c r="I18" s="13" t="s">
        <v>0</v>
      </c>
      <c r="J18" s="11">
        <f>Stream6_H+Stream7_H</f>
        <v>204.36317742259257</v>
      </c>
      <c r="K18" s="59"/>
      <c r="L18" s="11">
        <f>Stream5_A</f>
        <v>20.141083188155676</v>
      </c>
      <c r="M18" s="13" t="s">
        <v>0</v>
      </c>
      <c r="N18" s="11">
        <f>Stream6_A+Stream7_A</f>
        <v>20.14108318815568</v>
      </c>
      <c r="O18" s="59"/>
      <c r="P18" s="11"/>
      <c r="Q18" s="13"/>
      <c r="R18" s="11"/>
    </row>
    <row r="19" spans="1:18">
      <c r="A19" s="11"/>
      <c r="B19" s="11" t="s">
        <v>54</v>
      </c>
      <c r="C19" s="60"/>
      <c r="D19" s="11">
        <f>Stream6_N</f>
        <v>1.3870965131785356</v>
      </c>
      <c r="E19" s="13" t="s">
        <v>0</v>
      </c>
      <c r="F19" s="11">
        <f>SplitterEff*Stream5_N</f>
        <v>1.3870965131783846</v>
      </c>
      <c r="G19" s="60"/>
      <c r="H19" s="11">
        <f>Stream6_H</f>
        <v>4.0706026140730476</v>
      </c>
      <c r="I19" s="13" t="s">
        <v>0</v>
      </c>
      <c r="J19" s="11">
        <f>SplitterEff*Stream5_H</f>
        <v>4.0706026140734686</v>
      </c>
      <c r="K19" s="60"/>
      <c r="L19" s="11">
        <f>Stream6_A</f>
        <v>0.40117963961021935</v>
      </c>
      <c r="M19" s="13" t="s">
        <v>0</v>
      </c>
      <c r="N19" s="11">
        <f>SplitterEff*Stream5_A</f>
        <v>0.40117963964928061</v>
      </c>
      <c r="O19" s="60"/>
      <c r="P19" s="11"/>
      <c r="Q19" s="11"/>
      <c r="R19" s="11"/>
    </row>
    <row r="21" spans="1:18">
      <c r="B21" s="20" t="e">
        <f>MIN($B$28)</f>
        <v>#VALUE!</v>
      </c>
    </row>
    <row r="22" spans="1:18">
      <c r="B22">
        <f>COUNT($C$4:$C$6,$C$8:$C$12,$G$4:$G$6,$G$8:$G$10,$K$4:$K$6,$K$8:$K$10,$O$6:$O$7)</f>
        <v>22</v>
      </c>
    </row>
    <row r="23" spans="1:18">
      <c r="B23" t="b">
        <f t="array" ref="B23">$D$15:$D$19=$F$15:$F$19</f>
        <v>1</v>
      </c>
    </row>
    <row r="24" spans="1:18">
      <c r="B24" t="b">
        <f t="array" ref="B24">$H$15:$H$19=$J$15:$J$19</f>
        <v>1</v>
      </c>
    </row>
    <row r="25" spans="1:18">
      <c r="B25" t="b">
        <f t="array" ref="B25">$L$15:$L$19=$N$15:$N$19</f>
        <v>1</v>
      </c>
    </row>
    <row r="26" spans="1:18">
      <c r="B26" t="b">
        <f t="array" ref="B26">$P$16:$P$17=$R$16:$R$17</f>
        <v>1</v>
      </c>
    </row>
    <row r="27" spans="1:18">
      <c r="B27">
        <f>{10,100,0.000001,5,TRUE,TRUE,TRUE,1,1,1,0.0001,TRUE,FALSE}</f>
        <v>10</v>
      </c>
      <c r="N27" s="2" t="s">
        <v>58</v>
      </c>
    </row>
    <row r="28" spans="1:18">
      <c r="B28" s="20" t="e">
        <f>[1]!Gaussian($C$4:$C$6,$C$8:$C$12,$G$4:$G$6,$G$8:$G$10,$K$4:$K$6,$K$8:$K$10,$O$6:$O$7)</f>
        <v>#VALUE!</v>
      </c>
    </row>
  </sheetData>
  <mergeCells count="9">
    <mergeCell ref="C15:C19"/>
    <mergeCell ref="G15:G19"/>
    <mergeCell ref="K15:K19"/>
    <mergeCell ref="O15:O19"/>
    <mergeCell ref="O2:R2"/>
    <mergeCell ref="K2:N2"/>
    <mergeCell ref="G2:J2"/>
    <mergeCell ref="C2:F2"/>
    <mergeCell ref="C14:R14"/>
  </mergeCells>
  <pageMargins left="0.7" right="0.7" top="0.75" bottom="0.75" header="0.3" footer="0.3"/>
  <customProperties>
    <customPr name="DVSECTIONID" r:id="rId1"/>
  </customProperti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T39"/>
  <sheetViews>
    <sheetView topLeftCell="A7" workbookViewId="0">
      <selection activeCell="G24" sqref="G24"/>
    </sheetView>
  </sheetViews>
  <sheetFormatPr defaultRowHeight="15"/>
  <cols>
    <col min="1" max="1" width="4.85546875" customWidth="1"/>
    <col min="2" max="2" width="11.5703125" customWidth="1"/>
    <col min="3" max="3" width="10.7109375" customWidth="1"/>
    <col min="5" max="5" width="12.140625" customWidth="1"/>
    <col min="9" max="9" width="15.140625" customWidth="1"/>
    <col min="10" max="10" width="11" customWidth="1"/>
    <col min="11" max="11" width="10.5703125" customWidth="1"/>
    <col min="13" max="13" width="12" bestFit="1" customWidth="1"/>
    <col min="14" max="14" width="10.5703125" customWidth="1"/>
    <col min="17" max="17" width="12" bestFit="1" customWidth="1"/>
  </cols>
  <sheetData>
    <row r="1" spans="1:20">
      <c r="A1" s="5"/>
    </row>
    <row r="2" spans="1:20" ht="18.75">
      <c r="B2" s="65" t="s">
        <v>1071</v>
      </c>
      <c r="C2" s="66"/>
      <c r="D2" s="66"/>
      <c r="E2" s="66"/>
      <c r="F2" s="67"/>
      <c r="H2" s="65" t="s">
        <v>1072</v>
      </c>
      <c r="I2" s="66"/>
      <c r="J2" s="66"/>
      <c r="K2" s="66"/>
      <c r="L2" s="67"/>
    </row>
    <row r="3" spans="1:20" s="5" customFormat="1">
      <c r="B3" s="28" t="s">
        <v>13</v>
      </c>
      <c r="C3" s="28" t="s">
        <v>21</v>
      </c>
      <c r="D3" s="28" t="s">
        <v>20</v>
      </c>
      <c r="E3" s="28" t="s">
        <v>22</v>
      </c>
      <c r="F3" s="28" t="s">
        <v>23</v>
      </c>
      <c r="H3" s="5" t="s">
        <v>24</v>
      </c>
      <c r="I3" s="5" t="s">
        <v>28</v>
      </c>
      <c r="J3" s="28" t="s">
        <v>25</v>
      </c>
      <c r="K3" s="28" t="s">
        <v>26</v>
      </c>
      <c r="L3" s="28" t="s">
        <v>27</v>
      </c>
    </row>
    <row r="4" spans="1:20">
      <c r="B4" s="29" t="s">
        <v>31</v>
      </c>
      <c r="C4" s="30">
        <f>abs_btm</f>
        <v>1004.3319428744293</v>
      </c>
      <c r="D4" s="31" t="s">
        <v>0</v>
      </c>
      <c r="E4" s="32">
        <f xml:space="preserve"> fat_oil+fuel_gas</f>
        <v>1004.3319428744295</v>
      </c>
      <c r="F4" s="32" t="b">
        <f>(abs_btm = fat_oil + fuel_gas)</f>
        <v>1</v>
      </c>
      <c r="H4" s="30" t="s">
        <v>1</v>
      </c>
      <c r="I4" s="4">
        <f t="array" ref="I4">J4:L4</f>
        <v>94.864248705441156</v>
      </c>
      <c r="J4" s="4">
        <v>94.864248705441156</v>
      </c>
      <c r="K4" s="4"/>
      <c r="L4" s="4"/>
      <c r="Q4" s="3" t="s">
        <v>1</v>
      </c>
      <c r="R4" s="3">
        <v>94.883662505745136</v>
      </c>
      <c r="S4" s="3"/>
      <c r="T4" s="3"/>
    </row>
    <row r="5" spans="1:20">
      <c r="B5" s="29" t="s">
        <v>14</v>
      </c>
      <c r="C5" s="30">
        <f>abs_ovhd</f>
        <v>95.135751294558759</v>
      </c>
      <c r="D5" s="31" t="s">
        <v>0</v>
      </c>
      <c r="E5" s="32">
        <f>(bypass+treat_gas)</f>
        <v>95.135751294558702</v>
      </c>
      <c r="F5" s="32" t="b">
        <f>( abs_ovhd  - (bypass + treat_gas)  = 0)</f>
        <v>0</v>
      </c>
      <c r="H5" s="30" t="s">
        <v>2</v>
      </c>
      <c r="I5" s="4">
        <f t="array" ref="I5">J5:L5</f>
        <v>5.1357512945587125</v>
      </c>
      <c r="J5" s="4">
        <v>5.1357512945587125</v>
      </c>
      <c r="K5" s="4"/>
      <c r="L5" s="4"/>
      <c r="Q5" s="3" t="s">
        <v>2</v>
      </c>
      <c r="R5" s="3">
        <v>5.1163374942552302</v>
      </c>
      <c r="S5" s="3"/>
      <c r="T5" s="3"/>
    </row>
    <row r="6" spans="1:20">
      <c r="B6" s="29" t="s">
        <v>15</v>
      </c>
      <c r="C6" s="32">
        <f>D15</f>
        <v>1504.3319428744344</v>
      </c>
      <c r="D6" s="31" t="s">
        <v>0</v>
      </c>
      <c r="E6" s="32">
        <f>I7</f>
        <v>1504.3319428744342</v>
      </c>
      <c r="F6" s="32" t="b">
        <f>(condensate + fat_oil = recycle )</f>
        <v>1</v>
      </c>
      <c r="H6" s="30" t="s">
        <v>3</v>
      </c>
      <c r="I6" s="4">
        <f t="array" ref="I6">J6:L6</f>
        <v>1004.3319428744293</v>
      </c>
      <c r="J6" s="4">
        <v>1004.3319428744293</v>
      </c>
      <c r="K6" s="4"/>
      <c r="L6" s="4"/>
      <c r="Q6" s="3" t="s">
        <v>3</v>
      </c>
      <c r="R6" s="3">
        <v>1004.4274817617007</v>
      </c>
      <c r="S6" s="3"/>
      <c r="T6" s="3"/>
    </row>
    <row r="7" spans="1:20">
      <c r="B7" s="29" t="s">
        <v>16</v>
      </c>
      <c r="C7" s="32">
        <f>I8+ I11</f>
        <v>1504.3319428744342</v>
      </c>
      <c r="D7" s="31" t="s">
        <v>0</v>
      </c>
      <c r="E7" s="32">
        <f>I7</f>
        <v>1504.3319428744342</v>
      </c>
      <c r="F7" s="32" t="b">
        <f>(  lean_oil + sep_ovhd = recycle)</f>
        <v>1</v>
      </c>
      <c r="H7" s="30" t="s">
        <v>4</v>
      </c>
      <c r="I7" s="4">
        <f t="array" ref="I7">J7:L7</f>
        <v>1504.3319428744342</v>
      </c>
      <c r="J7" s="4">
        <v>1504.3319428744342</v>
      </c>
      <c r="K7" s="4">
        <v>140</v>
      </c>
      <c r="L7" s="4">
        <v>1400</v>
      </c>
      <c r="Q7" s="3" t="s">
        <v>4</v>
      </c>
      <c r="R7" s="3">
        <v>1504.4274817617058</v>
      </c>
      <c r="S7" s="3">
        <v>151.30000000000001</v>
      </c>
      <c r="T7" s="3">
        <v>1400</v>
      </c>
    </row>
    <row r="8" spans="1:20">
      <c r="B8" s="29" t="s">
        <v>17</v>
      </c>
      <c r="C8" s="32">
        <f>-(I8 + I12)</f>
        <v>-1099.4676941689881</v>
      </c>
      <c r="D8" s="31" t="s">
        <v>0</v>
      </c>
      <c r="E8" s="32">
        <f xml:space="preserve"> -(I6 + I9)</f>
        <v>-1099.4676941689881</v>
      </c>
      <c r="F8" s="32" t="b">
        <f>( lean_oil + sour_gas = (abs_btm + abs_ovhd) )</f>
        <v>1</v>
      </c>
      <c r="H8" s="30" t="s">
        <v>5</v>
      </c>
      <c r="I8" s="4">
        <f t="array" ref="I8">J8:L8</f>
        <v>999.46769416898803</v>
      </c>
      <c r="J8" s="4">
        <v>999.46769416898803</v>
      </c>
      <c r="K8" s="4">
        <v>10</v>
      </c>
      <c r="L8" s="4">
        <v>1000</v>
      </c>
      <c r="Q8" s="3" t="s">
        <v>5</v>
      </c>
      <c r="R8" s="3">
        <v>999.54381925595578</v>
      </c>
      <c r="S8" s="3">
        <v>10</v>
      </c>
      <c r="T8" s="3">
        <v>1000</v>
      </c>
    </row>
    <row r="9" spans="1:20">
      <c r="B9" s="29" t="s">
        <v>18</v>
      </c>
      <c r="C9" s="32">
        <f>I15 + I11</f>
        <v>594.86424870544613</v>
      </c>
      <c r="D9" s="31" t="s">
        <v>0</v>
      </c>
      <c r="E9" s="32">
        <f>D14</f>
        <v>594.86424870544613</v>
      </c>
      <c r="F9" s="32" t="b">
        <f>( bypass + sep_ovhd = acid_gas + condensate )</f>
        <v>1</v>
      </c>
      <c r="H9" s="30" t="s">
        <v>6</v>
      </c>
      <c r="I9" s="4">
        <f t="array" ref="I9">J9:L9</f>
        <v>95.135751294558759</v>
      </c>
      <c r="J9" s="4">
        <v>95.135751294558759</v>
      </c>
      <c r="K9" s="4"/>
      <c r="L9" s="4"/>
      <c r="Q9" s="3" t="s">
        <v>6</v>
      </c>
      <c r="R9" s="3">
        <v>95.116337494255234</v>
      </c>
      <c r="S9" s="3"/>
      <c r="T9" s="3"/>
    </row>
    <row r="10" spans="1:20">
      <c r="B10" s="29" t="s">
        <v>19</v>
      </c>
      <c r="C10" s="32">
        <f>sour_gas</f>
        <v>100</v>
      </c>
      <c r="D10" s="31" t="s">
        <v>0</v>
      </c>
      <c r="E10" s="30">
        <f xml:space="preserve"> (treat_gas + (acid_gas + fuel_gas))</f>
        <v>99.999999999999872</v>
      </c>
      <c r="F10" s="32" t="b">
        <f>(sour_gas= (treat_gas + acid_gas + fuel_gas))</f>
        <v>0</v>
      </c>
      <c r="H10" s="30" t="s">
        <v>7</v>
      </c>
      <c r="I10" s="4">
        <f t="array" ref="I10">J10:L10</f>
        <v>1004.3319428744295</v>
      </c>
      <c r="J10" s="4">
        <v>1004.3319428744295</v>
      </c>
      <c r="K10" s="4"/>
      <c r="L10" s="4"/>
      <c r="Q10" s="3" t="s">
        <v>7</v>
      </c>
      <c r="R10" s="3">
        <v>1004.4274817617007</v>
      </c>
      <c r="S10" s="3"/>
      <c r="T10" s="3"/>
    </row>
    <row r="11" spans="1:20">
      <c r="B11" s="1"/>
      <c r="H11" s="30" t="s">
        <v>8</v>
      </c>
      <c r="I11" s="4">
        <f t="array" ref="I11">J11:L11</f>
        <v>504.86424870544619</v>
      </c>
      <c r="J11" s="4">
        <v>504.86424870544619</v>
      </c>
      <c r="K11" s="4">
        <v>5.05</v>
      </c>
      <c r="L11" s="4">
        <v>505</v>
      </c>
      <c r="Q11" s="3" t="s">
        <v>8</v>
      </c>
      <c r="R11" s="3">
        <v>504.88366250575012</v>
      </c>
      <c r="S11" s="3">
        <v>5.05</v>
      </c>
      <c r="T11" s="3">
        <v>505</v>
      </c>
    </row>
    <row r="12" spans="1:20">
      <c r="B12" s="5" t="s">
        <v>60</v>
      </c>
      <c r="H12" s="30" t="s">
        <v>9</v>
      </c>
      <c r="I12" s="4">
        <f t="array" ref="I12">J12:L12</f>
        <v>100</v>
      </c>
      <c r="J12" s="4">
        <v>100</v>
      </c>
      <c r="K12" s="4">
        <v>1</v>
      </c>
      <c r="L12" s="4">
        <v>100</v>
      </c>
      <c r="Q12" s="3" t="s">
        <v>9</v>
      </c>
      <c r="R12" s="3">
        <v>99.999999999999986</v>
      </c>
      <c r="S12" s="3">
        <v>1</v>
      </c>
      <c r="T12" s="3">
        <v>100</v>
      </c>
    </row>
    <row r="13" spans="1:20">
      <c r="B13" s="1"/>
      <c r="C13" s="6"/>
      <c r="D13">
        <f>I14 + I10 -D16</f>
        <v>1485.3319428744344</v>
      </c>
      <c r="H13" s="30" t="s">
        <v>10</v>
      </c>
      <c r="I13" s="4">
        <f t="array" ref="I13">J13:L13</f>
        <v>0</v>
      </c>
      <c r="J13" s="4">
        <v>0</v>
      </c>
      <c r="K13" s="4">
        <v>1</v>
      </c>
      <c r="L13" s="4">
        <v>0</v>
      </c>
      <c r="Q13" s="3" t="s">
        <v>10</v>
      </c>
      <c r="R13" s="3">
        <v>0</v>
      </c>
      <c r="S13" s="3"/>
      <c r="T13" s="3"/>
    </row>
    <row r="14" spans="1:20">
      <c r="C14" s="6"/>
      <c r="D14">
        <f xml:space="preserve"> I4 + I14</f>
        <v>594.86424870544613</v>
      </c>
      <c r="H14" s="30" t="s">
        <v>11</v>
      </c>
      <c r="I14" s="4">
        <f t="array" ref="I14">J14:L14</f>
        <v>500.000000000005</v>
      </c>
      <c r="J14" s="4">
        <v>500.000000000005</v>
      </c>
      <c r="K14" s="4">
        <v>5</v>
      </c>
      <c r="L14" s="4">
        <v>500</v>
      </c>
      <c r="Q14" s="3" t="s">
        <v>11</v>
      </c>
      <c r="R14" s="3">
        <v>500.000000000005</v>
      </c>
      <c r="S14" s="3">
        <v>5</v>
      </c>
      <c r="T14" s="3">
        <v>500</v>
      </c>
    </row>
    <row r="15" spans="1:20">
      <c r="C15" s="6"/>
      <c r="D15">
        <f>D13 +D16</f>
        <v>1504.3319428744344</v>
      </c>
      <c r="H15" s="30" t="s">
        <v>12</v>
      </c>
      <c r="I15" s="4">
        <f t="array" ref="I15">J15:L15</f>
        <v>89.999999999999986</v>
      </c>
      <c r="J15" s="4">
        <v>89.999999999999986</v>
      </c>
      <c r="K15" s="4">
        <v>0.9</v>
      </c>
      <c r="L15" s="4">
        <v>90</v>
      </c>
      <c r="Q15" s="3" t="s">
        <v>12</v>
      </c>
      <c r="R15" s="3">
        <v>89.999999999999986</v>
      </c>
      <c r="S15" s="3">
        <v>0.9</v>
      </c>
      <c r="T15" s="3">
        <v>90</v>
      </c>
    </row>
    <row r="16" spans="1:20">
      <c r="C16" s="6"/>
      <c r="D16" s="1">
        <v>19</v>
      </c>
      <c r="L16" s="2"/>
      <c r="Q16" s="4"/>
      <c r="R16" s="4"/>
      <c r="S16" s="4"/>
      <c r="T16" s="4"/>
    </row>
    <row r="17" spans="1:19" ht="18.75">
      <c r="C17" s="7"/>
      <c r="M17" s="65" t="s">
        <v>59</v>
      </c>
      <c r="N17" s="67"/>
      <c r="P17" s="2"/>
    </row>
    <row r="18" spans="1:19">
      <c r="A18" s="2"/>
      <c r="C18" s="7"/>
      <c r="M18" s="5" t="s">
        <v>1069</v>
      </c>
      <c r="N18">
        <f>MIN($N$22)</f>
        <v>0</v>
      </c>
    </row>
    <row r="19" spans="1:19">
      <c r="A19" s="2"/>
      <c r="C19" s="8"/>
      <c r="M19" s="5" t="s">
        <v>46</v>
      </c>
      <c r="N19">
        <f>COUNT($I$4:$I$15)</f>
        <v>12</v>
      </c>
      <c r="S19" s="2"/>
    </row>
    <row r="20" spans="1:19">
      <c r="A20" s="2"/>
      <c r="C20" s="8"/>
      <c r="M20" s="5" t="s">
        <v>29</v>
      </c>
      <c r="N20" t="b">
        <f t="array" ref="N20">$C$4:$C$9=$E$4:$E$9</f>
        <v>1</v>
      </c>
      <c r="P20" s="2"/>
      <c r="Q20" s="2"/>
    </row>
    <row r="21" spans="1:19">
      <c r="C21" s="7"/>
      <c r="M21" s="5" t="s">
        <v>1073</v>
      </c>
      <c r="N21">
        <f>{100,100,0.000001,5,TRUE,TRUE,TRUE,1,1,1,0.0001,FALSE,FALSE}</f>
        <v>100</v>
      </c>
    </row>
    <row r="22" spans="1:19">
      <c r="C22" s="7"/>
      <c r="M22" s="5" t="s">
        <v>1074</v>
      </c>
      <c r="N22" s="2">
        <f>[1]!Gaussian($I$4:$I$15)</f>
        <v>0</v>
      </c>
    </row>
    <row r="23" spans="1:19">
      <c r="C23" s="7"/>
    </row>
    <row r="24" spans="1:19">
      <c r="C24" s="8"/>
    </row>
    <row r="39" spans="11:11">
      <c r="K39" t="e">
        <f>[1]!Gaussian(K26:K37)</f>
        <v>#VALUE!</v>
      </c>
    </row>
  </sheetData>
  <scenarios current="0">
    <scenario name="abc" locked="1" count="18" user="PeterL" comment="Created by PeterL on 1/23/2012_x000a_Modified by PeterL on 1/23/2012">
      <inputCells r="K7" val="151.3"/>
      <inputCells r="L7" val="1400"/>
      <inputCells r="K8" val="10"/>
      <inputCells r="L8" val="1000"/>
      <inputCells r="K9" val=""/>
      <inputCells r="L9" val=""/>
      <inputCells r="K10" val=""/>
      <inputCells r="L10" val=""/>
      <inputCells r="K11" val="5.05"/>
      <inputCells r="L11" val="505"/>
      <inputCells r="K12" val="1"/>
      <inputCells r="L12" val="100"/>
      <inputCells r="K13" val=""/>
      <inputCells r="L13" val=""/>
      <inputCells r="K14" val="5"/>
      <inputCells r="L14" val="500"/>
      <inputCells r="K15" val="0.9"/>
      <inputCells r="L15" val="90"/>
    </scenario>
  </scenarios>
  <mergeCells count="3">
    <mergeCell ref="H2:L2"/>
    <mergeCell ref="B2:F2"/>
    <mergeCell ref="M17:N17"/>
  </mergeCells>
  <hyperlinks>
    <hyperlink ref="B4" r:id="rId1" display="mass_balance@D_2"/>
    <hyperlink ref="B5" r:id="rId2" display="mass_balance@J_4"/>
    <hyperlink ref="B6" r:id="rId3" display="mass_balance@J_6"/>
    <hyperlink ref="B7" r:id="rId4" display="mass_balance@T_5"/>
    <hyperlink ref="B8" r:id="rId5" display="mass_balance@T_3"/>
    <hyperlink ref="B9" r:id="rId6" display="mass_balance@D_7"/>
    <hyperlink ref="B10" r:id="rId7" display="mass_balance@world"/>
  </hyperlinks>
  <pageMargins left="0.7" right="0.7" top="0.75" bottom="0.75" header="0.3" footer="0.3"/>
  <pageSetup orientation="portrait" r:id="rId8"/>
  <customProperties>
    <customPr name="DVSECTIONID" r:id="rId9"/>
  </customProperties>
  <drawing r:id="rId1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/>
  <dimension ref="A1:IV63"/>
  <sheetViews>
    <sheetView workbookViewId="0">
      <selection activeCell="AF10" sqref="AF10"/>
    </sheetView>
  </sheetViews>
  <sheetFormatPr defaultRowHeight="15"/>
  <sheetData>
    <row r="1" spans="1:256">
      <c r="A1" t="e">
        <f>IF(#REF!,"AAAAAH/d/QA=",0)</f>
        <v>#REF!</v>
      </c>
      <c r="B1" t="e">
        <f>AND(#REF!,"AAAAAH/d/QE=")</f>
        <v>#REF!</v>
      </c>
      <c r="C1" t="e">
        <f>AND(#REF!,"AAAAAH/d/QI=")</f>
        <v>#REF!</v>
      </c>
      <c r="D1" t="e">
        <f>AND(#REF!,"AAAAAH/d/QM=")</f>
        <v>#REF!</v>
      </c>
      <c r="E1" t="e">
        <f>AND(#REF!,"AAAAAH/d/QQ=")</f>
        <v>#REF!</v>
      </c>
      <c r="F1" t="e">
        <f>AND(#REF!,"AAAAAH/d/QU=")</f>
        <v>#REF!</v>
      </c>
      <c r="G1" t="e">
        <f>AND(#REF!,"AAAAAH/d/QY=")</f>
        <v>#REF!</v>
      </c>
      <c r="H1" t="e">
        <f>AND(#REF!,"AAAAAH/d/Qc=")</f>
        <v>#REF!</v>
      </c>
      <c r="I1" t="e">
        <f>IF(#REF!,"AAAAAH/d/Qg=",0)</f>
        <v>#REF!</v>
      </c>
      <c r="J1" t="e">
        <f>AND(#REF!,"AAAAAH/d/Qk=")</f>
        <v>#REF!</v>
      </c>
      <c r="K1" t="e">
        <f>AND(#REF!,"AAAAAH/d/Qo=")</f>
        <v>#REF!</v>
      </c>
      <c r="L1" t="e">
        <f>AND(#REF!,"AAAAAH/d/Qs=")</f>
        <v>#REF!</v>
      </c>
      <c r="M1" t="e">
        <f>AND(#REF!,"AAAAAH/d/Qw=")</f>
        <v>#REF!</v>
      </c>
      <c r="N1" t="e">
        <f>AND(#REF!,"AAAAAH/d/Q0=")</f>
        <v>#REF!</v>
      </c>
      <c r="O1" t="e">
        <f>AND(#REF!,"AAAAAH/d/Q4=")</f>
        <v>#REF!</v>
      </c>
      <c r="P1" t="e">
        <f>AND(#REF!,"AAAAAH/d/Q8=")</f>
        <v>#REF!</v>
      </c>
      <c r="Q1" t="e">
        <f>IF(#REF!,"AAAAAH/d/RA=",0)</f>
        <v>#REF!</v>
      </c>
      <c r="R1" t="e">
        <f>AND(#REF!,"AAAAAH/d/RE=")</f>
        <v>#REF!</v>
      </c>
      <c r="S1" t="e">
        <f>AND(#REF!,"AAAAAH/d/RI=")</f>
        <v>#REF!</v>
      </c>
      <c r="T1" t="e">
        <f>AND(#REF!,"AAAAAH/d/RM=")</f>
        <v>#REF!</v>
      </c>
      <c r="U1" t="e">
        <f>AND(#REF!,"AAAAAH/d/RQ=")</f>
        <v>#REF!</v>
      </c>
      <c r="V1" t="e">
        <f>AND(#REF!,"AAAAAH/d/RU=")</f>
        <v>#REF!</v>
      </c>
      <c r="W1" t="e">
        <f>AND(#REF!,"AAAAAH/d/RY=")</f>
        <v>#REF!</v>
      </c>
      <c r="X1" t="e">
        <f>AND(#REF!,"AAAAAH/d/Rc=")</f>
        <v>#REF!</v>
      </c>
      <c r="Y1" t="e">
        <f>IF(#REF!,"AAAAAH/d/Rg=",0)</f>
        <v>#REF!</v>
      </c>
      <c r="Z1" t="e">
        <f>AND(#REF!,"AAAAAH/d/Rk=")</f>
        <v>#REF!</v>
      </c>
      <c r="AA1" t="e">
        <f>AND(#REF!,"AAAAAH/d/Ro=")</f>
        <v>#REF!</v>
      </c>
      <c r="AB1" t="e">
        <f>AND(#REF!,"AAAAAH/d/Rs=")</f>
        <v>#REF!</v>
      </c>
      <c r="AC1" t="e">
        <f>AND(#REF!,"AAAAAH/d/Rw=")</f>
        <v>#REF!</v>
      </c>
      <c r="AD1" t="e">
        <f>AND(#REF!,"AAAAAH/d/R0=")</f>
        <v>#REF!</v>
      </c>
      <c r="AE1" t="e">
        <f>AND(#REF!,"AAAAAH/d/R4=")</f>
        <v>#REF!</v>
      </c>
      <c r="AF1" t="e">
        <f>AND(#REF!,"AAAAAH/d/R8=")</f>
        <v>#REF!</v>
      </c>
      <c r="AG1" t="e">
        <f>IF(#REF!,"AAAAAH/d/SA=",0)</f>
        <v>#REF!</v>
      </c>
      <c r="AH1" t="e">
        <f>AND(#REF!,"AAAAAH/d/SE=")</f>
        <v>#REF!</v>
      </c>
      <c r="AI1" t="e">
        <f>AND(#REF!,"AAAAAH/d/SI=")</f>
        <v>#REF!</v>
      </c>
      <c r="AJ1" t="e">
        <f>AND(#REF!,"AAAAAH/d/SM=")</f>
        <v>#REF!</v>
      </c>
      <c r="AK1" t="e">
        <f>AND(#REF!,"AAAAAH/d/SQ=")</f>
        <v>#REF!</v>
      </c>
      <c r="AL1" t="e">
        <f>AND(#REF!,"AAAAAH/d/SU=")</f>
        <v>#REF!</v>
      </c>
      <c r="AM1" t="e">
        <f>AND(#REF!,"AAAAAH/d/SY=")</f>
        <v>#REF!</v>
      </c>
      <c r="AN1" t="e">
        <f>AND(#REF!,"AAAAAH/d/Sc=")</f>
        <v>#REF!</v>
      </c>
      <c r="AO1" t="e">
        <f>IF(#REF!,"AAAAAH/d/Sg=",0)</f>
        <v>#REF!</v>
      </c>
      <c r="AP1" t="e">
        <f>AND(#REF!,"AAAAAH/d/Sk=")</f>
        <v>#REF!</v>
      </c>
      <c r="AQ1" t="e">
        <f>AND(#REF!,"AAAAAH/d/So=")</f>
        <v>#REF!</v>
      </c>
      <c r="AR1" t="e">
        <f>AND(#REF!,"AAAAAH/d/Ss=")</f>
        <v>#REF!</v>
      </c>
      <c r="AS1" t="e">
        <f>AND(#REF!,"AAAAAH/d/Sw=")</f>
        <v>#REF!</v>
      </c>
      <c r="AT1" t="e">
        <f>AND(#REF!,"AAAAAH/d/S0=")</f>
        <v>#REF!</v>
      </c>
      <c r="AU1" t="e">
        <f>AND(#REF!,"AAAAAH/d/S4=")</f>
        <v>#REF!</v>
      </c>
      <c r="AV1" t="e">
        <f>AND(#REF!,"AAAAAH/d/S8=")</f>
        <v>#REF!</v>
      </c>
      <c r="AW1" t="e">
        <f>IF(#REF!,"AAAAAH/d/TA=",0)</f>
        <v>#REF!</v>
      </c>
      <c r="AX1" t="e">
        <f>AND(#REF!,"AAAAAH/d/TE=")</f>
        <v>#REF!</v>
      </c>
      <c r="AY1" t="e">
        <f>AND(#REF!,"AAAAAH/d/TI=")</f>
        <v>#REF!</v>
      </c>
      <c r="AZ1" t="e">
        <f>AND(#REF!,"AAAAAH/d/TM=")</f>
        <v>#REF!</v>
      </c>
      <c r="BA1" t="e">
        <f>AND(#REF!,"AAAAAH/d/TQ=")</f>
        <v>#REF!</v>
      </c>
      <c r="BB1" t="e">
        <f>AND(#REF!,"AAAAAH/d/TU=")</f>
        <v>#REF!</v>
      </c>
      <c r="BC1" t="e">
        <f>AND(#REF!,"AAAAAH/d/TY=")</f>
        <v>#REF!</v>
      </c>
      <c r="BD1" t="e">
        <f>AND(#REF!,"AAAAAH/d/Tc=")</f>
        <v>#REF!</v>
      </c>
      <c r="BE1" t="e">
        <f>IF(#REF!,"AAAAAH/d/Tg=",0)</f>
        <v>#REF!</v>
      </c>
      <c r="BF1" t="e">
        <f>AND(#REF!,"AAAAAH/d/Tk=")</f>
        <v>#REF!</v>
      </c>
      <c r="BG1" t="e">
        <f>AND(#REF!,"AAAAAH/d/To=")</f>
        <v>#REF!</v>
      </c>
      <c r="BH1" t="e">
        <f>AND(#REF!,"AAAAAH/d/Ts=")</f>
        <v>#REF!</v>
      </c>
      <c r="BI1" t="e">
        <f>AND(#REF!,"AAAAAH/d/Tw=")</f>
        <v>#REF!</v>
      </c>
      <c r="BJ1" t="e">
        <f>AND(#REF!,"AAAAAH/d/T0=")</f>
        <v>#REF!</v>
      </c>
      <c r="BK1" t="e">
        <f>AND(#REF!,"AAAAAH/d/T4=")</f>
        <v>#REF!</v>
      </c>
      <c r="BL1" t="e">
        <f>AND(#REF!,"AAAAAH/d/T8=")</f>
        <v>#REF!</v>
      </c>
      <c r="BM1" t="e">
        <f>IF(#REF!,"AAAAAH/d/UA=",0)</f>
        <v>#REF!</v>
      </c>
      <c r="BN1" t="e">
        <f>AND(#REF!,"AAAAAH/d/UE=")</f>
        <v>#REF!</v>
      </c>
      <c r="BO1" t="e">
        <f>AND(#REF!,"AAAAAH/d/UI=")</f>
        <v>#REF!</v>
      </c>
      <c r="BP1" t="e">
        <f>AND(#REF!,"AAAAAH/d/UM=")</f>
        <v>#REF!</v>
      </c>
      <c r="BQ1" t="e">
        <f>AND(#REF!,"AAAAAH/d/UQ=")</f>
        <v>#REF!</v>
      </c>
      <c r="BR1" t="e">
        <f>AND(#REF!,"AAAAAH/d/UU=")</f>
        <v>#REF!</v>
      </c>
      <c r="BS1" t="e">
        <f>AND(#REF!,"AAAAAH/d/UY=")</f>
        <v>#REF!</v>
      </c>
      <c r="BT1" t="e">
        <f>AND(#REF!,"AAAAAH/d/Uc=")</f>
        <v>#REF!</v>
      </c>
      <c r="BU1" t="e">
        <f>IF(#REF!,"AAAAAH/d/Ug=",0)</f>
        <v>#REF!</v>
      </c>
      <c r="BV1" t="e">
        <f>AND(#REF!,"AAAAAH/d/Uk=")</f>
        <v>#REF!</v>
      </c>
      <c r="BW1" t="e">
        <f>AND(#REF!,"AAAAAH/d/Uo=")</f>
        <v>#REF!</v>
      </c>
      <c r="BX1" t="e">
        <f>AND(#REF!,"AAAAAH/d/Us=")</f>
        <v>#REF!</v>
      </c>
      <c r="BY1" t="e">
        <f>AND(#REF!,"AAAAAH/d/Uw=")</f>
        <v>#REF!</v>
      </c>
      <c r="BZ1" t="e">
        <f>AND(#REF!,"AAAAAH/d/U0=")</f>
        <v>#REF!</v>
      </c>
      <c r="CA1" t="e">
        <f>AND(#REF!,"AAAAAH/d/U4=")</f>
        <v>#REF!</v>
      </c>
      <c r="CB1" t="e">
        <f>AND(#REF!,"AAAAAH/d/U8=")</f>
        <v>#REF!</v>
      </c>
      <c r="CC1" t="e">
        <f>IF(#REF!,"AAAAAH/d/VA=",0)</f>
        <v>#REF!</v>
      </c>
      <c r="CD1" t="e">
        <f>AND(#REF!,"AAAAAH/d/VE=")</f>
        <v>#REF!</v>
      </c>
      <c r="CE1" t="e">
        <f>AND(#REF!,"AAAAAH/d/VI=")</f>
        <v>#REF!</v>
      </c>
      <c r="CF1" t="e">
        <f>AND(#REF!,"AAAAAH/d/VM=")</f>
        <v>#REF!</v>
      </c>
      <c r="CG1" t="e">
        <f>AND(#REF!,"AAAAAH/d/VQ=")</f>
        <v>#REF!</v>
      </c>
      <c r="CH1" t="e">
        <f>AND(#REF!,"AAAAAH/d/VU=")</f>
        <v>#REF!</v>
      </c>
      <c r="CI1" t="e">
        <f>AND(#REF!,"AAAAAH/d/VY=")</f>
        <v>#REF!</v>
      </c>
      <c r="CJ1" t="e">
        <f>AND(#REF!,"AAAAAH/d/Vc=")</f>
        <v>#REF!</v>
      </c>
      <c r="CK1" t="e">
        <f>IF(#REF!,"AAAAAH/d/Vg=",0)</f>
        <v>#REF!</v>
      </c>
      <c r="CL1" t="e">
        <f>AND(#REF!,"AAAAAH/d/Vk=")</f>
        <v>#REF!</v>
      </c>
      <c r="CM1" t="e">
        <f>AND(#REF!,"AAAAAH/d/Vo=")</f>
        <v>#REF!</v>
      </c>
      <c r="CN1" t="e">
        <f>AND(#REF!,"AAAAAH/d/Vs=")</f>
        <v>#REF!</v>
      </c>
      <c r="CO1" t="e">
        <f>AND(#REF!,"AAAAAH/d/Vw=")</f>
        <v>#REF!</v>
      </c>
      <c r="CP1" t="e">
        <f>AND(#REF!,"AAAAAH/d/V0=")</f>
        <v>#REF!</v>
      </c>
      <c r="CQ1" t="e">
        <f>AND(#REF!,"AAAAAH/d/V4=")</f>
        <v>#REF!</v>
      </c>
      <c r="CR1" t="e">
        <f>AND(#REF!,"AAAAAH/d/V8=")</f>
        <v>#REF!</v>
      </c>
      <c r="CS1" t="e">
        <f>IF(#REF!,"AAAAAH/d/WA=",0)</f>
        <v>#REF!</v>
      </c>
      <c r="CT1" t="e">
        <f>AND(#REF!,"AAAAAH/d/WE=")</f>
        <v>#REF!</v>
      </c>
      <c r="CU1" t="e">
        <f>AND(#REF!,"AAAAAH/d/WI=")</f>
        <v>#REF!</v>
      </c>
      <c r="CV1" t="e">
        <f>AND(#REF!,"AAAAAH/d/WM=")</f>
        <v>#REF!</v>
      </c>
      <c r="CW1" t="e">
        <f>AND(#REF!,"AAAAAH/d/WQ=")</f>
        <v>#REF!</v>
      </c>
      <c r="CX1" t="e">
        <f>AND(#REF!,"AAAAAH/d/WU=")</f>
        <v>#REF!</v>
      </c>
      <c r="CY1" t="e">
        <f>AND(#REF!,"AAAAAH/d/WY=")</f>
        <v>#REF!</v>
      </c>
      <c r="CZ1" t="e">
        <f>AND(#REF!,"AAAAAH/d/Wc=")</f>
        <v>#REF!</v>
      </c>
      <c r="DA1" t="e">
        <f>IF(#REF!,"AAAAAH/d/Wg=",0)</f>
        <v>#REF!</v>
      </c>
      <c r="DB1" t="e">
        <f>AND(#REF!,"AAAAAH/d/Wk=")</f>
        <v>#REF!</v>
      </c>
      <c r="DC1" t="e">
        <f>AND(#REF!,"AAAAAH/d/Wo=")</f>
        <v>#REF!</v>
      </c>
      <c r="DD1" t="e">
        <f>AND(#REF!,"AAAAAH/d/Ws=")</f>
        <v>#REF!</v>
      </c>
      <c r="DE1" t="e">
        <f>AND(#REF!,"AAAAAH/d/Ww=")</f>
        <v>#REF!</v>
      </c>
      <c r="DF1" t="e">
        <f>AND(#REF!,"AAAAAH/d/W0=")</f>
        <v>#REF!</v>
      </c>
      <c r="DG1" t="e">
        <f>AND(#REF!,"AAAAAH/d/W4=")</f>
        <v>#REF!</v>
      </c>
      <c r="DH1" t="e">
        <f>AND(#REF!,"AAAAAH/d/W8=")</f>
        <v>#REF!</v>
      </c>
      <c r="DI1" t="e">
        <f>IF(#REF!,"AAAAAH/d/XA=",0)</f>
        <v>#REF!</v>
      </c>
      <c r="DJ1" t="e">
        <f>AND(#REF!,"AAAAAH/d/XE=")</f>
        <v>#REF!</v>
      </c>
      <c r="DK1" t="e">
        <f>AND(#REF!,"AAAAAH/d/XI=")</f>
        <v>#REF!</v>
      </c>
      <c r="DL1" t="e">
        <f>AND(#REF!,"AAAAAH/d/XM=")</f>
        <v>#REF!</v>
      </c>
      <c r="DM1" t="e">
        <f>AND(#REF!,"AAAAAH/d/XQ=")</f>
        <v>#REF!</v>
      </c>
      <c r="DN1" t="e">
        <f>AND(#REF!,"AAAAAH/d/XU=")</f>
        <v>#REF!</v>
      </c>
      <c r="DO1" t="e">
        <f>AND(#REF!,"AAAAAH/d/XY=")</f>
        <v>#REF!</v>
      </c>
      <c r="DP1" t="e">
        <f>AND(#REF!,"AAAAAH/d/Xc=")</f>
        <v>#REF!</v>
      </c>
      <c r="DQ1" t="e">
        <f>IF(#REF!,"AAAAAH/d/Xg=",0)</f>
        <v>#REF!</v>
      </c>
      <c r="DR1" t="e">
        <f>AND(#REF!,"AAAAAH/d/Xk=")</f>
        <v>#REF!</v>
      </c>
      <c r="DS1" t="e">
        <f>AND(#REF!,"AAAAAH/d/Xo=")</f>
        <v>#REF!</v>
      </c>
      <c r="DT1" t="e">
        <f>AND(#REF!,"AAAAAH/d/Xs=")</f>
        <v>#REF!</v>
      </c>
      <c r="DU1" t="e">
        <f>AND(#REF!,"AAAAAH/d/Xw=")</f>
        <v>#REF!</v>
      </c>
      <c r="DV1" t="e">
        <f>AND(#REF!,"AAAAAH/d/X0=")</f>
        <v>#REF!</v>
      </c>
      <c r="DW1" t="e">
        <f>AND(#REF!,"AAAAAH/d/X4=")</f>
        <v>#REF!</v>
      </c>
      <c r="DX1" t="e">
        <f>AND(#REF!,"AAAAAH/d/X8=")</f>
        <v>#REF!</v>
      </c>
      <c r="DY1" t="e">
        <f>IF(#REF!,"AAAAAH/d/YA=",0)</f>
        <v>#REF!</v>
      </c>
      <c r="DZ1" t="e">
        <f>AND(#REF!,"AAAAAH/d/YE=")</f>
        <v>#REF!</v>
      </c>
      <c r="EA1" t="e">
        <f>AND(#REF!,"AAAAAH/d/YI=")</f>
        <v>#REF!</v>
      </c>
      <c r="EB1" t="e">
        <f>AND(#REF!,"AAAAAH/d/YM=")</f>
        <v>#REF!</v>
      </c>
      <c r="EC1" t="e">
        <f>AND(#REF!,"AAAAAH/d/YQ=")</f>
        <v>#REF!</v>
      </c>
      <c r="ED1" t="e">
        <f>AND(#REF!,"AAAAAH/d/YU=")</f>
        <v>#REF!</v>
      </c>
      <c r="EE1" t="e">
        <f>AND(#REF!,"AAAAAH/d/YY=")</f>
        <v>#REF!</v>
      </c>
      <c r="EF1" t="e">
        <f>AND(#REF!,"AAAAAH/d/Yc=")</f>
        <v>#REF!</v>
      </c>
      <c r="EG1" t="e">
        <f>IF(#REF!,"AAAAAH/d/Yg=",0)</f>
        <v>#REF!</v>
      </c>
      <c r="EH1" t="e">
        <f>AND(#REF!,"AAAAAH/d/Yk=")</f>
        <v>#REF!</v>
      </c>
      <c r="EI1" t="e">
        <f>AND(#REF!,"AAAAAH/d/Yo=")</f>
        <v>#REF!</v>
      </c>
      <c r="EJ1" t="e">
        <f>AND(#REF!,"AAAAAH/d/Ys=")</f>
        <v>#REF!</v>
      </c>
      <c r="EK1" t="e">
        <f>AND(#REF!,"AAAAAH/d/Yw=")</f>
        <v>#REF!</v>
      </c>
      <c r="EL1" t="e">
        <f>AND(#REF!,"AAAAAH/d/Y0=")</f>
        <v>#REF!</v>
      </c>
      <c r="EM1" t="e">
        <f>AND(#REF!,"AAAAAH/d/Y4=")</f>
        <v>#REF!</v>
      </c>
      <c r="EN1" t="e">
        <f>AND(#REF!,"AAAAAH/d/Y8=")</f>
        <v>#REF!</v>
      </c>
      <c r="EO1" t="e">
        <f>IF(#REF!,"AAAAAH/d/ZA=",0)</f>
        <v>#REF!</v>
      </c>
      <c r="EP1" t="e">
        <f>AND(#REF!,"AAAAAH/d/ZE=")</f>
        <v>#REF!</v>
      </c>
      <c r="EQ1" t="e">
        <f>AND(#REF!,"AAAAAH/d/ZI=")</f>
        <v>#REF!</v>
      </c>
      <c r="ER1" t="e">
        <f>AND(#REF!,"AAAAAH/d/ZM=")</f>
        <v>#REF!</v>
      </c>
      <c r="ES1" t="e">
        <f>AND(#REF!,"AAAAAH/d/ZQ=")</f>
        <v>#REF!</v>
      </c>
      <c r="ET1" t="e">
        <f>AND(#REF!,"AAAAAH/d/ZU=")</f>
        <v>#REF!</v>
      </c>
      <c r="EU1" t="e">
        <f>AND(#REF!,"AAAAAH/d/ZY=")</f>
        <v>#REF!</v>
      </c>
      <c r="EV1" t="e">
        <f>AND(#REF!,"AAAAAH/d/Zc=")</f>
        <v>#REF!</v>
      </c>
      <c r="EW1" t="e">
        <f>IF(#REF!,"AAAAAH/d/Zg=",0)</f>
        <v>#REF!</v>
      </c>
      <c r="EX1" t="e">
        <f>AND(#REF!,"AAAAAH/d/Zk=")</f>
        <v>#REF!</v>
      </c>
      <c r="EY1" t="e">
        <f>AND(#REF!,"AAAAAH/d/Zo=")</f>
        <v>#REF!</v>
      </c>
      <c r="EZ1" t="e">
        <f>AND(#REF!,"AAAAAH/d/Zs=")</f>
        <v>#REF!</v>
      </c>
      <c r="FA1" t="e">
        <f>AND(#REF!,"AAAAAH/d/Zw=")</f>
        <v>#REF!</v>
      </c>
      <c r="FB1" t="e">
        <f>AND(#REF!,"AAAAAH/d/Z0=")</f>
        <v>#REF!</v>
      </c>
      <c r="FC1" t="e">
        <f>AND(#REF!,"AAAAAH/d/Z4=")</f>
        <v>#REF!</v>
      </c>
      <c r="FD1" t="e">
        <f>AND(#REF!,"AAAAAH/d/Z8=")</f>
        <v>#REF!</v>
      </c>
      <c r="FE1" t="e">
        <f>IF(#REF!,"AAAAAH/d/aA=",0)</f>
        <v>#REF!</v>
      </c>
      <c r="FF1" t="e">
        <f>AND(#REF!,"AAAAAH/d/aE=")</f>
        <v>#REF!</v>
      </c>
      <c r="FG1" t="e">
        <f>AND(#REF!,"AAAAAH/d/aI=")</f>
        <v>#REF!</v>
      </c>
      <c r="FH1" t="e">
        <f>AND(#REF!,"AAAAAH/d/aM=")</f>
        <v>#REF!</v>
      </c>
      <c r="FI1" t="e">
        <f>AND(#REF!,"AAAAAH/d/aQ=")</f>
        <v>#REF!</v>
      </c>
      <c r="FJ1" t="e">
        <f>AND(#REF!,"AAAAAH/d/aU=")</f>
        <v>#REF!</v>
      </c>
      <c r="FK1" t="e">
        <f>AND(#REF!,"AAAAAH/d/aY=")</f>
        <v>#REF!</v>
      </c>
      <c r="FL1" t="e">
        <f>AND(#REF!,"AAAAAH/d/ac=")</f>
        <v>#REF!</v>
      </c>
      <c r="FM1" t="e">
        <f>IF(#REF!,"AAAAAH/d/ag=",0)</f>
        <v>#REF!</v>
      </c>
      <c r="FN1" t="e">
        <f>AND(#REF!,"AAAAAH/d/ak=")</f>
        <v>#REF!</v>
      </c>
      <c r="FO1" t="e">
        <f>AND(#REF!,"AAAAAH/d/ao=")</f>
        <v>#REF!</v>
      </c>
      <c r="FP1" t="e">
        <f>AND(#REF!,"AAAAAH/d/as=")</f>
        <v>#REF!</v>
      </c>
      <c r="FQ1" t="e">
        <f>AND(#REF!,"AAAAAH/d/aw=")</f>
        <v>#REF!</v>
      </c>
      <c r="FR1" t="e">
        <f>AND(#REF!,"AAAAAH/d/a0=")</f>
        <v>#REF!</v>
      </c>
      <c r="FS1" t="e">
        <f>AND(#REF!,"AAAAAH/d/a4=")</f>
        <v>#REF!</v>
      </c>
      <c r="FT1" t="e">
        <f>AND(#REF!,"AAAAAH/d/a8=")</f>
        <v>#REF!</v>
      </c>
      <c r="FU1" t="e">
        <f>IF(#REF!,"AAAAAH/d/bA=",0)</f>
        <v>#REF!</v>
      </c>
      <c r="FV1" t="e">
        <f>AND(#REF!,"AAAAAH/d/bE=")</f>
        <v>#REF!</v>
      </c>
      <c r="FW1" t="e">
        <f>AND(#REF!,"AAAAAH/d/bI=")</f>
        <v>#REF!</v>
      </c>
      <c r="FX1" t="e">
        <f>AND(#REF!,"AAAAAH/d/bM=")</f>
        <v>#REF!</v>
      </c>
      <c r="FY1" t="e">
        <f>AND(#REF!,"AAAAAH/d/bQ=")</f>
        <v>#REF!</v>
      </c>
      <c r="FZ1" t="e">
        <f>AND(#REF!,"AAAAAH/d/bU=")</f>
        <v>#REF!</v>
      </c>
      <c r="GA1" t="e">
        <f>AND(#REF!,"AAAAAH/d/bY=")</f>
        <v>#REF!</v>
      </c>
      <c r="GB1" t="e">
        <f>AND(#REF!,"AAAAAH/d/bc=")</f>
        <v>#REF!</v>
      </c>
      <c r="GC1" t="e">
        <f>IF(#REF!,"AAAAAH/d/bg=",0)</f>
        <v>#REF!</v>
      </c>
      <c r="GD1" t="e">
        <f>AND(#REF!,"AAAAAH/d/bk=")</f>
        <v>#REF!</v>
      </c>
      <c r="GE1" t="e">
        <f>AND(#REF!,"AAAAAH/d/bo=")</f>
        <v>#REF!</v>
      </c>
      <c r="GF1" t="e">
        <f>AND(#REF!,"AAAAAH/d/bs=")</f>
        <v>#REF!</v>
      </c>
      <c r="GG1" t="e">
        <f>AND(#REF!,"AAAAAH/d/bw=")</f>
        <v>#REF!</v>
      </c>
      <c r="GH1" t="e">
        <f>AND(#REF!,"AAAAAH/d/b0=")</f>
        <v>#REF!</v>
      </c>
      <c r="GI1" t="e">
        <f>AND(#REF!,"AAAAAH/d/b4=")</f>
        <v>#REF!</v>
      </c>
      <c r="GJ1" t="e">
        <f>AND(#REF!,"AAAAAH/d/b8=")</f>
        <v>#REF!</v>
      </c>
      <c r="GK1" t="e">
        <f>IF(#REF!,"AAAAAH/d/cA=",0)</f>
        <v>#REF!</v>
      </c>
      <c r="GL1" t="e">
        <f>AND(#REF!,"AAAAAH/d/cE=")</f>
        <v>#REF!</v>
      </c>
      <c r="GM1" t="e">
        <f>AND(#REF!,"AAAAAH/d/cI=")</f>
        <v>#REF!</v>
      </c>
      <c r="GN1" t="e">
        <f>AND(#REF!,"AAAAAH/d/cM=")</f>
        <v>#REF!</v>
      </c>
      <c r="GO1" t="e">
        <f>AND(#REF!,"AAAAAH/d/cQ=")</f>
        <v>#REF!</v>
      </c>
      <c r="GP1" t="e">
        <f>AND(#REF!,"AAAAAH/d/cU=")</f>
        <v>#REF!</v>
      </c>
      <c r="GQ1" t="e">
        <f>AND(#REF!,"AAAAAH/d/cY=")</f>
        <v>#REF!</v>
      </c>
      <c r="GR1" t="e">
        <f>AND(#REF!,"AAAAAH/d/cc=")</f>
        <v>#REF!</v>
      </c>
      <c r="GS1" t="e">
        <f>IF(#REF!,"AAAAAH/d/cg=",0)</f>
        <v>#REF!</v>
      </c>
      <c r="GT1" t="e">
        <f>AND(#REF!,"AAAAAH/d/ck=")</f>
        <v>#REF!</v>
      </c>
      <c r="GU1" t="e">
        <f>AND(#REF!,"AAAAAH/d/co=")</f>
        <v>#REF!</v>
      </c>
      <c r="GV1" t="e">
        <f>AND(#REF!,"AAAAAH/d/cs=")</f>
        <v>#REF!</v>
      </c>
      <c r="GW1" t="e">
        <f>AND(#REF!,"AAAAAH/d/cw=")</f>
        <v>#REF!</v>
      </c>
      <c r="GX1" t="e">
        <f>AND(#REF!,"AAAAAH/d/c0=")</f>
        <v>#REF!</v>
      </c>
      <c r="GY1" t="e">
        <f>AND(#REF!,"AAAAAH/d/c4=")</f>
        <v>#REF!</v>
      </c>
      <c r="GZ1" t="e">
        <f>AND(#REF!,"AAAAAH/d/c8=")</f>
        <v>#REF!</v>
      </c>
      <c r="HA1" t="e">
        <f>IF(#REF!,"AAAAAH/d/dA=",0)</f>
        <v>#REF!</v>
      </c>
      <c r="HB1" t="e">
        <f>AND(#REF!,"AAAAAH/d/dE=")</f>
        <v>#REF!</v>
      </c>
      <c r="HC1" t="e">
        <f>AND(#REF!,"AAAAAH/d/dI=")</f>
        <v>#REF!</v>
      </c>
      <c r="HD1" t="e">
        <f>AND(#REF!,"AAAAAH/d/dM=")</f>
        <v>#REF!</v>
      </c>
      <c r="HE1" t="e">
        <f>AND(#REF!,"AAAAAH/d/dQ=")</f>
        <v>#REF!</v>
      </c>
      <c r="HF1" t="e">
        <f>AND(#REF!,"AAAAAH/d/dU=")</f>
        <v>#REF!</v>
      </c>
      <c r="HG1" t="e">
        <f>AND(#REF!,"AAAAAH/d/dY=")</f>
        <v>#REF!</v>
      </c>
      <c r="HH1" t="e">
        <f>AND(#REF!,"AAAAAH/d/dc=")</f>
        <v>#REF!</v>
      </c>
      <c r="HI1" t="e">
        <f>IF(#REF!,"AAAAAH/d/dg=",0)</f>
        <v>#REF!</v>
      </c>
      <c r="HJ1" t="e">
        <f>AND(#REF!,"AAAAAH/d/dk=")</f>
        <v>#REF!</v>
      </c>
      <c r="HK1" t="e">
        <f>AND(#REF!,"AAAAAH/d/do=")</f>
        <v>#REF!</v>
      </c>
      <c r="HL1" t="e">
        <f>AND(#REF!,"AAAAAH/d/ds=")</f>
        <v>#REF!</v>
      </c>
      <c r="HM1" t="e">
        <f>AND(#REF!,"AAAAAH/d/dw=")</f>
        <v>#REF!</v>
      </c>
      <c r="HN1" t="e">
        <f>AND(#REF!,"AAAAAH/d/d0=")</f>
        <v>#REF!</v>
      </c>
      <c r="HO1" t="e">
        <f>AND(#REF!,"AAAAAH/d/d4=")</f>
        <v>#REF!</v>
      </c>
      <c r="HP1" t="e">
        <f>AND(#REF!,"AAAAAH/d/d8=")</f>
        <v>#REF!</v>
      </c>
      <c r="HQ1" t="e">
        <f>IF(#REF!,"AAAAAH/d/eA=",0)</f>
        <v>#REF!</v>
      </c>
      <c r="HR1" t="e">
        <f>AND(#REF!,"AAAAAH/d/eE=")</f>
        <v>#REF!</v>
      </c>
      <c r="HS1" t="e">
        <f>AND(#REF!,"AAAAAH/d/eI=")</f>
        <v>#REF!</v>
      </c>
      <c r="HT1" t="e">
        <f>AND(#REF!,"AAAAAH/d/eM=")</f>
        <v>#REF!</v>
      </c>
      <c r="HU1" t="e">
        <f>AND(#REF!,"AAAAAH/d/eQ=")</f>
        <v>#REF!</v>
      </c>
      <c r="HV1" t="e">
        <f>AND(#REF!,"AAAAAH/d/eU=")</f>
        <v>#REF!</v>
      </c>
      <c r="HW1" t="e">
        <f>AND(#REF!,"AAAAAH/d/eY=")</f>
        <v>#REF!</v>
      </c>
      <c r="HX1" t="e">
        <f>AND(#REF!,"AAAAAH/d/ec=")</f>
        <v>#REF!</v>
      </c>
      <c r="HY1" t="e">
        <f>IF(#REF!,"AAAAAH/d/eg=",0)</f>
        <v>#REF!</v>
      </c>
      <c r="HZ1" t="e">
        <f>AND(#REF!,"AAAAAH/d/ek=")</f>
        <v>#REF!</v>
      </c>
      <c r="IA1" t="e">
        <f>AND(#REF!,"AAAAAH/d/eo=")</f>
        <v>#REF!</v>
      </c>
      <c r="IB1" t="e">
        <f>AND(#REF!,"AAAAAH/d/es=")</f>
        <v>#REF!</v>
      </c>
      <c r="IC1" t="e">
        <f>AND(#REF!,"AAAAAH/d/ew=")</f>
        <v>#REF!</v>
      </c>
      <c r="ID1" t="e">
        <f>AND(#REF!,"AAAAAH/d/e0=")</f>
        <v>#REF!</v>
      </c>
      <c r="IE1" t="e">
        <f>AND(#REF!,"AAAAAH/d/e4=")</f>
        <v>#REF!</v>
      </c>
      <c r="IF1" t="e">
        <f>AND(#REF!,"AAAAAH/d/e8=")</f>
        <v>#REF!</v>
      </c>
      <c r="IG1" t="e">
        <f>IF(#REF!,"AAAAAH/d/fA=",0)</f>
        <v>#REF!</v>
      </c>
      <c r="IH1" t="e">
        <f>AND(#REF!,"AAAAAH/d/fE=")</f>
        <v>#REF!</v>
      </c>
      <c r="II1" t="e">
        <f>AND(#REF!,"AAAAAH/d/fI=")</f>
        <v>#REF!</v>
      </c>
      <c r="IJ1" t="e">
        <f>AND(#REF!,"AAAAAH/d/fM=")</f>
        <v>#REF!</v>
      </c>
      <c r="IK1" t="e">
        <f>AND(#REF!,"AAAAAH/d/fQ=")</f>
        <v>#REF!</v>
      </c>
      <c r="IL1" t="e">
        <f>AND(#REF!,"AAAAAH/d/fU=")</f>
        <v>#REF!</v>
      </c>
      <c r="IM1" t="e">
        <f>AND(#REF!,"AAAAAH/d/fY=")</f>
        <v>#REF!</v>
      </c>
      <c r="IN1" t="e">
        <f>AND(#REF!,"AAAAAH/d/fc=")</f>
        <v>#REF!</v>
      </c>
      <c r="IO1" t="e">
        <f>IF(#REF!,"AAAAAH/d/fg=",0)</f>
        <v>#REF!</v>
      </c>
      <c r="IP1" t="e">
        <f>AND(#REF!,"AAAAAH/d/fk=")</f>
        <v>#REF!</v>
      </c>
      <c r="IQ1" t="e">
        <f>AND(#REF!,"AAAAAH/d/fo=")</f>
        <v>#REF!</v>
      </c>
      <c r="IR1" t="e">
        <f>AND(#REF!,"AAAAAH/d/fs=")</f>
        <v>#REF!</v>
      </c>
      <c r="IS1" t="e">
        <f>AND(#REF!,"AAAAAH/d/fw=")</f>
        <v>#REF!</v>
      </c>
      <c r="IT1" t="e">
        <f>AND(#REF!,"AAAAAH/d/f0=")</f>
        <v>#REF!</v>
      </c>
      <c r="IU1" t="e">
        <f>AND(#REF!,"AAAAAH/d/f4=")</f>
        <v>#REF!</v>
      </c>
      <c r="IV1" t="e">
        <f>AND(#REF!,"AAAAAH/d/f8=")</f>
        <v>#REF!</v>
      </c>
    </row>
    <row r="2" spans="1:256">
      <c r="A2" t="e">
        <f>IF(#REF!,"AAAAAG19GwA=",0)</f>
        <v>#REF!</v>
      </c>
      <c r="B2" t="e">
        <f>AND(#REF!,"AAAAAG19GwE=")</f>
        <v>#REF!</v>
      </c>
      <c r="C2" t="e">
        <f>AND(#REF!,"AAAAAG19GwI=")</f>
        <v>#REF!</v>
      </c>
      <c r="D2" t="e">
        <f>AND(#REF!,"AAAAAG19GwM=")</f>
        <v>#REF!</v>
      </c>
      <c r="E2" t="e">
        <f>AND(#REF!,"AAAAAG19GwQ=")</f>
        <v>#REF!</v>
      </c>
      <c r="F2" t="e">
        <f>AND(#REF!,"AAAAAG19GwU=")</f>
        <v>#REF!</v>
      </c>
      <c r="G2" t="e">
        <f>AND(#REF!,"AAAAAG19GwY=")</f>
        <v>#REF!</v>
      </c>
      <c r="H2" t="e">
        <f>AND(#REF!,"AAAAAG19Gwc=")</f>
        <v>#REF!</v>
      </c>
      <c r="I2" t="e">
        <f>IF(#REF!,"AAAAAG19Gwg=",0)</f>
        <v>#REF!</v>
      </c>
      <c r="J2" t="e">
        <f>AND(#REF!,"AAAAAG19Gwk=")</f>
        <v>#REF!</v>
      </c>
      <c r="K2" t="e">
        <f>AND(#REF!,"AAAAAG19Gwo=")</f>
        <v>#REF!</v>
      </c>
      <c r="L2" t="e">
        <f>AND(#REF!,"AAAAAG19Gws=")</f>
        <v>#REF!</v>
      </c>
      <c r="M2" t="e">
        <f>AND(#REF!,"AAAAAG19Gww=")</f>
        <v>#REF!</v>
      </c>
      <c r="N2" t="e">
        <f>AND(#REF!,"AAAAAG19Gw0=")</f>
        <v>#REF!</v>
      </c>
      <c r="O2" t="e">
        <f>AND(#REF!,"AAAAAG19Gw4=")</f>
        <v>#REF!</v>
      </c>
      <c r="P2" t="e">
        <f>AND(#REF!,"AAAAAG19Gw8=")</f>
        <v>#REF!</v>
      </c>
      <c r="Q2" t="e">
        <f>IF(#REF!,"AAAAAG19GxA=",0)</f>
        <v>#REF!</v>
      </c>
      <c r="R2" t="e">
        <f>AND(#REF!,"AAAAAG19GxE=")</f>
        <v>#REF!</v>
      </c>
      <c r="S2" t="e">
        <f>AND(#REF!,"AAAAAG19GxI=")</f>
        <v>#REF!</v>
      </c>
      <c r="T2" t="e">
        <f>AND(#REF!,"AAAAAG19GxM=")</f>
        <v>#REF!</v>
      </c>
      <c r="U2" t="e">
        <f>AND(#REF!,"AAAAAG19GxQ=")</f>
        <v>#REF!</v>
      </c>
      <c r="V2" t="e">
        <f>AND(#REF!,"AAAAAG19GxU=")</f>
        <v>#REF!</v>
      </c>
      <c r="W2" t="e">
        <f>AND(#REF!,"AAAAAG19GxY=")</f>
        <v>#REF!</v>
      </c>
      <c r="X2" t="e">
        <f>AND(#REF!,"AAAAAG19Gxc=")</f>
        <v>#REF!</v>
      </c>
      <c r="Y2" t="e">
        <f>IF(#REF!,"AAAAAG19Gxg=",0)</f>
        <v>#REF!</v>
      </c>
      <c r="Z2" t="e">
        <f>IF(#REF!,"AAAAAG19Gxk=",0)</f>
        <v>#REF!</v>
      </c>
      <c r="AA2" t="e">
        <f>IF(#REF!,"AAAAAG19Gxo=",0)</f>
        <v>#REF!</v>
      </c>
      <c r="AB2" t="e">
        <f>IF(#REF!,"AAAAAG19Gxs=",0)</f>
        <v>#REF!</v>
      </c>
      <c r="AC2" t="e">
        <f>IF(#REF!,"AAAAAG19Gxw=",0)</f>
        <v>#REF!</v>
      </c>
      <c r="AD2" t="e">
        <f>IF(#REF!,"AAAAAG19Gx0=",0)</f>
        <v>#REF!</v>
      </c>
      <c r="AE2" t="e">
        <f>IF(#REF!,"AAAAAG19Gx4=",0)</f>
        <v>#REF!</v>
      </c>
      <c r="AF2" t="e">
        <f>IF(#REF!,"AAAAAG19Gx8=",0)</f>
        <v>#REF!</v>
      </c>
      <c r="AG2" t="e">
        <f>AND(#REF!,"AAAAAG19GyA=")</f>
        <v>#REF!</v>
      </c>
      <c r="AH2" t="e">
        <f>AND(#REF!,"AAAAAG19GyE=")</f>
        <v>#REF!</v>
      </c>
      <c r="AI2" t="e">
        <f>AND(#REF!,"AAAAAG19GyI=")</f>
        <v>#REF!</v>
      </c>
      <c r="AJ2" t="e">
        <f>AND(#REF!,"AAAAAG19GyM=")</f>
        <v>#REF!</v>
      </c>
      <c r="AK2" t="e">
        <f>AND(#REF!,"AAAAAG19GyQ=")</f>
        <v>#REF!</v>
      </c>
      <c r="AL2" t="e">
        <f>IF(#REF!,"AAAAAG19GyU=",0)</f>
        <v>#REF!</v>
      </c>
      <c r="AM2" t="e">
        <f>AND(#REF!,"AAAAAG19GyY=")</f>
        <v>#REF!</v>
      </c>
      <c r="AN2" t="e">
        <f>AND(#REF!,"AAAAAG19Gyc=")</f>
        <v>#REF!</v>
      </c>
      <c r="AO2" t="e">
        <f>AND(#REF!,"AAAAAG19Gyg=")</f>
        <v>#REF!</v>
      </c>
      <c r="AP2" t="e">
        <f>AND(#REF!,"AAAAAG19Gyk=")</f>
        <v>#REF!</v>
      </c>
      <c r="AQ2" t="e">
        <f>AND(#REF!,"AAAAAG19Gyo=")</f>
        <v>#REF!</v>
      </c>
      <c r="AR2" t="e">
        <f>IF(#REF!,"AAAAAG19Gys=",0)</f>
        <v>#REF!</v>
      </c>
      <c r="AS2" t="e">
        <f>AND(#REF!,"AAAAAG19Gyw=")</f>
        <v>#REF!</v>
      </c>
      <c r="AT2" t="e">
        <f>AND(#REF!,"AAAAAG19Gy0=")</f>
        <v>#REF!</v>
      </c>
      <c r="AU2" t="e">
        <f>AND(#REF!,"AAAAAG19Gy4=")</f>
        <v>#REF!</v>
      </c>
      <c r="AV2" t="e">
        <f>AND(#REF!,"AAAAAG19Gy8=")</f>
        <v>#REF!</v>
      </c>
      <c r="AW2" t="e">
        <f>AND(#REF!,"AAAAAG19GzA=")</f>
        <v>#REF!</v>
      </c>
      <c r="AX2" t="e">
        <f>IF(#REF!,"AAAAAG19GzE=",0)</f>
        <v>#REF!</v>
      </c>
      <c r="AY2" t="e">
        <f>AND(#REF!,"AAAAAG19GzI=")</f>
        <v>#REF!</v>
      </c>
      <c r="AZ2" t="e">
        <f>AND(#REF!,"AAAAAG19GzM=")</f>
        <v>#REF!</v>
      </c>
      <c r="BA2" t="e">
        <f>AND(#REF!,"AAAAAG19GzQ=")</f>
        <v>#REF!</v>
      </c>
      <c r="BB2" t="e">
        <f>AND(#REF!,"AAAAAG19GzU=")</f>
        <v>#REF!</v>
      </c>
      <c r="BC2" t="e">
        <f>AND(#REF!,"AAAAAG19GzY=")</f>
        <v>#REF!</v>
      </c>
      <c r="BD2" t="e">
        <f>IF(#REF!,"AAAAAG19Gzc=",0)</f>
        <v>#REF!</v>
      </c>
      <c r="BE2" t="e">
        <f>AND(#REF!,"AAAAAG19Gzg=")</f>
        <v>#REF!</v>
      </c>
      <c r="BF2" t="e">
        <f>AND(#REF!,"AAAAAG19Gzk=")</f>
        <v>#REF!</v>
      </c>
      <c r="BG2" t="e">
        <f>AND(#REF!,"AAAAAG19Gzo=")</f>
        <v>#REF!</v>
      </c>
      <c r="BH2" t="e">
        <f>AND(#REF!,"AAAAAG19Gzs=")</f>
        <v>#REF!</v>
      </c>
      <c r="BI2" t="e">
        <f>AND(#REF!,"AAAAAG19Gzw=")</f>
        <v>#REF!</v>
      </c>
      <c r="BJ2" t="e">
        <f>IF(#REF!,"AAAAAG19Gz0=",0)</f>
        <v>#REF!</v>
      </c>
      <c r="BK2" t="e">
        <f>AND(#REF!,"AAAAAG19Gz4=")</f>
        <v>#REF!</v>
      </c>
      <c r="BL2" t="e">
        <f>AND(#REF!,"AAAAAG19Gz8=")</f>
        <v>#REF!</v>
      </c>
      <c r="BM2" t="e">
        <f>AND(#REF!,"AAAAAG19G0A=")</f>
        <v>#REF!</v>
      </c>
      <c r="BN2" t="e">
        <f>AND(#REF!,"AAAAAG19G0E=")</f>
        <v>#REF!</v>
      </c>
      <c r="BO2" t="e">
        <f>AND(#REF!,"AAAAAG19G0I=")</f>
        <v>#REF!</v>
      </c>
      <c r="BP2" t="e">
        <f>IF(#REF!,"AAAAAG19G0M=",0)</f>
        <v>#REF!</v>
      </c>
      <c r="BQ2" t="e">
        <f>AND(#REF!,"AAAAAG19G0Q=")</f>
        <v>#REF!</v>
      </c>
      <c r="BR2" t="e">
        <f>AND(#REF!,"AAAAAG19G0U=")</f>
        <v>#REF!</v>
      </c>
      <c r="BS2" t="e">
        <f>AND(#REF!,"AAAAAG19G0Y=")</f>
        <v>#REF!</v>
      </c>
      <c r="BT2" t="e">
        <f>AND(#REF!,"AAAAAG19G0c=")</f>
        <v>#REF!</v>
      </c>
      <c r="BU2" t="e">
        <f>AND(#REF!,"AAAAAG19G0g=")</f>
        <v>#REF!</v>
      </c>
      <c r="BV2" t="e">
        <f>IF(#REF!,"AAAAAG19G0k=",0)</f>
        <v>#REF!</v>
      </c>
      <c r="BW2" t="e">
        <f>AND(#REF!,"AAAAAG19G0o=")</f>
        <v>#REF!</v>
      </c>
      <c r="BX2" t="e">
        <f>AND(#REF!,"AAAAAG19G0s=")</f>
        <v>#REF!</v>
      </c>
      <c r="BY2" t="e">
        <f>AND(#REF!,"AAAAAG19G0w=")</f>
        <v>#REF!</v>
      </c>
      <c r="BZ2" t="e">
        <f>AND(#REF!,"AAAAAG19G00=")</f>
        <v>#REF!</v>
      </c>
      <c r="CA2" t="e">
        <f>AND(#REF!,"AAAAAG19G04=")</f>
        <v>#REF!</v>
      </c>
      <c r="CB2" t="e">
        <f>IF(#REF!,"AAAAAG19G08=",0)</f>
        <v>#REF!</v>
      </c>
      <c r="CC2" t="e">
        <f>AND(#REF!,"AAAAAG19G1A=")</f>
        <v>#REF!</v>
      </c>
      <c r="CD2" t="e">
        <f>AND(#REF!,"AAAAAG19G1E=")</f>
        <v>#REF!</v>
      </c>
      <c r="CE2" t="e">
        <f>AND(#REF!,"AAAAAG19G1I=")</f>
        <v>#REF!</v>
      </c>
      <c r="CF2" t="e">
        <f>AND(#REF!,"AAAAAG19G1M=")</f>
        <v>#REF!</v>
      </c>
      <c r="CG2" t="e">
        <f>AND(#REF!,"AAAAAG19G1Q=")</f>
        <v>#REF!</v>
      </c>
      <c r="CH2" t="e">
        <f>IF(#REF!,"AAAAAG19G1U=",0)</f>
        <v>#REF!</v>
      </c>
      <c r="CI2" t="e">
        <f>AND(#REF!,"AAAAAG19G1Y=")</f>
        <v>#REF!</v>
      </c>
      <c r="CJ2" t="e">
        <f>AND(#REF!,"AAAAAG19G1c=")</f>
        <v>#REF!</v>
      </c>
      <c r="CK2" t="e">
        <f>AND(#REF!,"AAAAAG19G1g=")</f>
        <v>#REF!</v>
      </c>
      <c r="CL2" t="e">
        <f>AND(#REF!,"AAAAAG19G1k=")</f>
        <v>#REF!</v>
      </c>
      <c r="CM2" t="e">
        <f>AND(#REF!,"AAAAAG19G1o=")</f>
        <v>#REF!</v>
      </c>
      <c r="CN2" t="e">
        <f>IF(#REF!,"AAAAAG19G1s=",0)</f>
        <v>#REF!</v>
      </c>
      <c r="CO2" t="e">
        <f>AND(#REF!,"AAAAAG19G1w=")</f>
        <v>#REF!</v>
      </c>
      <c r="CP2" t="e">
        <f>AND(#REF!,"AAAAAG19G10=")</f>
        <v>#REF!</v>
      </c>
      <c r="CQ2" t="e">
        <f>AND(#REF!,"AAAAAG19G14=")</f>
        <v>#REF!</v>
      </c>
      <c r="CR2" t="e">
        <f>AND(#REF!,"AAAAAG19G18=")</f>
        <v>#REF!</v>
      </c>
      <c r="CS2" t="e">
        <f>AND(#REF!,"AAAAAG19G2A=")</f>
        <v>#REF!</v>
      </c>
      <c r="CT2" t="e">
        <f>IF(#REF!,"AAAAAG19G2E=",0)</f>
        <v>#REF!</v>
      </c>
      <c r="CU2" t="e">
        <f>AND(#REF!,"AAAAAG19G2I=")</f>
        <v>#REF!</v>
      </c>
      <c r="CV2" t="e">
        <f>AND(#REF!,"AAAAAG19G2M=")</f>
        <v>#REF!</v>
      </c>
      <c r="CW2" t="e">
        <f>AND(#REF!,"AAAAAG19G2Q=")</f>
        <v>#REF!</v>
      </c>
      <c r="CX2" t="e">
        <f>AND(#REF!,"AAAAAG19G2U=")</f>
        <v>#REF!</v>
      </c>
      <c r="CY2" t="e">
        <f>AND(#REF!,"AAAAAG19G2Y=")</f>
        <v>#REF!</v>
      </c>
      <c r="CZ2" t="e">
        <f>IF(#REF!,"AAAAAG19G2c=",0)</f>
        <v>#REF!</v>
      </c>
      <c r="DA2" t="e">
        <f>AND(#REF!,"AAAAAG19G2g=")</f>
        <v>#REF!</v>
      </c>
      <c r="DB2" t="e">
        <f>AND(#REF!,"AAAAAG19G2k=")</f>
        <v>#REF!</v>
      </c>
      <c r="DC2" t="e">
        <f>AND(#REF!,"AAAAAG19G2o=")</f>
        <v>#REF!</v>
      </c>
      <c r="DD2" t="e">
        <f>AND(#REF!,"AAAAAG19G2s=")</f>
        <v>#REF!</v>
      </c>
      <c r="DE2" t="e">
        <f>AND(#REF!,"AAAAAG19G2w=")</f>
        <v>#REF!</v>
      </c>
      <c r="DF2" t="e">
        <f>IF(#REF!,"AAAAAG19G20=",0)</f>
        <v>#REF!</v>
      </c>
      <c r="DG2" t="e">
        <f>AND(#REF!,"AAAAAG19G24=")</f>
        <v>#REF!</v>
      </c>
      <c r="DH2" t="e">
        <f>AND(#REF!,"AAAAAG19G28=")</f>
        <v>#REF!</v>
      </c>
      <c r="DI2" t="e">
        <f>AND(#REF!,"AAAAAG19G3A=")</f>
        <v>#REF!</v>
      </c>
      <c r="DJ2" t="e">
        <f>AND(#REF!,"AAAAAG19G3E=")</f>
        <v>#REF!</v>
      </c>
      <c r="DK2" t="e">
        <f>AND(#REF!,"AAAAAG19G3I=")</f>
        <v>#REF!</v>
      </c>
      <c r="DL2" t="e">
        <f>IF(#REF!,"AAAAAG19G3M=",0)</f>
        <v>#REF!</v>
      </c>
      <c r="DM2" t="e">
        <f>AND(#REF!,"AAAAAG19G3Q=")</f>
        <v>#REF!</v>
      </c>
      <c r="DN2" t="e">
        <f>AND(#REF!,"AAAAAG19G3U=")</f>
        <v>#REF!</v>
      </c>
      <c r="DO2" t="e">
        <f>AND(#REF!,"AAAAAG19G3Y=")</f>
        <v>#REF!</v>
      </c>
      <c r="DP2" t="e">
        <f>AND(#REF!,"AAAAAG19G3c=")</f>
        <v>#REF!</v>
      </c>
      <c r="DQ2" t="e">
        <f>AND(#REF!,"AAAAAG19G3g=")</f>
        <v>#REF!</v>
      </c>
      <c r="DR2" t="e">
        <f>IF(#REF!,"AAAAAG19G3k=",0)</f>
        <v>#REF!</v>
      </c>
      <c r="DS2" t="e">
        <f>AND(#REF!,"AAAAAG19G3o=")</f>
        <v>#REF!</v>
      </c>
      <c r="DT2" t="e">
        <f>AND(#REF!,"AAAAAG19G3s=")</f>
        <v>#REF!</v>
      </c>
      <c r="DU2" t="e">
        <f>AND(#REF!,"AAAAAG19G3w=")</f>
        <v>#REF!</v>
      </c>
      <c r="DV2" t="e">
        <f>AND(#REF!,"AAAAAG19G30=")</f>
        <v>#REF!</v>
      </c>
      <c r="DW2" t="e">
        <f>AND(#REF!,"AAAAAG19G34=")</f>
        <v>#REF!</v>
      </c>
      <c r="DX2" t="e">
        <f>IF(#REF!,"AAAAAG19G38=",0)</f>
        <v>#REF!</v>
      </c>
      <c r="DY2" t="e">
        <f>AND(#REF!,"AAAAAG19G4A=")</f>
        <v>#REF!</v>
      </c>
      <c r="DZ2" t="e">
        <f>AND(#REF!,"AAAAAG19G4E=")</f>
        <v>#REF!</v>
      </c>
      <c r="EA2" t="e">
        <f>AND(#REF!,"AAAAAG19G4I=")</f>
        <v>#REF!</v>
      </c>
      <c r="EB2" t="e">
        <f>AND(#REF!,"AAAAAG19G4M=")</f>
        <v>#REF!</v>
      </c>
      <c r="EC2" t="e">
        <f>AND(#REF!,"AAAAAG19G4Q=")</f>
        <v>#REF!</v>
      </c>
      <c r="ED2" t="e">
        <f>IF(#REF!,"AAAAAG19G4U=",0)</f>
        <v>#REF!</v>
      </c>
      <c r="EE2" t="e">
        <f>AND(#REF!,"AAAAAG19G4Y=")</f>
        <v>#REF!</v>
      </c>
      <c r="EF2" t="e">
        <f>AND(#REF!,"AAAAAG19G4c=")</f>
        <v>#REF!</v>
      </c>
      <c r="EG2" t="e">
        <f>AND(#REF!,"AAAAAG19G4g=")</f>
        <v>#REF!</v>
      </c>
      <c r="EH2" t="e">
        <f>AND(#REF!,"AAAAAG19G4k=")</f>
        <v>#REF!</v>
      </c>
      <c r="EI2" t="e">
        <f>AND(#REF!,"AAAAAG19G4o=")</f>
        <v>#REF!</v>
      </c>
      <c r="EJ2" t="e">
        <f>IF(#REF!,"AAAAAG19G4s=",0)</f>
        <v>#REF!</v>
      </c>
      <c r="EK2" t="e">
        <f>AND(#REF!,"AAAAAG19G4w=")</f>
        <v>#REF!</v>
      </c>
      <c r="EL2" t="e">
        <f>AND(#REF!,"AAAAAG19G40=")</f>
        <v>#REF!</v>
      </c>
      <c r="EM2" t="e">
        <f>AND(#REF!,"AAAAAG19G44=")</f>
        <v>#REF!</v>
      </c>
      <c r="EN2" t="e">
        <f>AND(#REF!,"AAAAAG19G48=")</f>
        <v>#REF!</v>
      </c>
      <c r="EO2" t="e">
        <f>AND(#REF!,"AAAAAG19G5A=")</f>
        <v>#REF!</v>
      </c>
      <c r="EP2" t="e">
        <f>IF(#REF!,"AAAAAG19G5E=",0)</f>
        <v>#REF!</v>
      </c>
      <c r="EQ2" t="e">
        <f>AND(#REF!,"AAAAAG19G5I=")</f>
        <v>#REF!</v>
      </c>
      <c r="ER2" t="e">
        <f>AND(#REF!,"AAAAAG19G5M=")</f>
        <v>#REF!</v>
      </c>
      <c r="ES2" t="e">
        <f>AND(#REF!,"AAAAAG19G5Q=")</f>
        <v>#REF!</v>
      </c>
      <c r="ET2" t="e">
        <f>AND(#REF!,"AAAAAG19G5U=")</f>
        <v>#REF!</v>
      </c>
      <c r="EU2" t="e">
        <f>AND(#REF!,"AAAAAG19G5Y=")</f>
        <v>#REF!</v>
      </c>
      <c r="EV2" t="e">
        <f>IF(#REF!,"AAAAAG19G5c=",0)</f>
        <v>#REF!</v>
      </c>
      <c r="EW2" t="e">
        <f>AND(#REF!,"AAAAAG19G5g=")</f>
        <v>#REF!</v>
      </c>
      <c r="EX2" t="e">
        <f>AND(#REF!,"AAAAAG19G5k=")</f>
        <v>#REF!</v>
      </c>
      <c r="EY2" t="e">
        <f>AND(#REF!,"AAAAAG19G5o=")</f>
        <v>#REF!</v>
      </c>
      <c r="EZ2" t="e">
        <f>AND(#REF!,"AAAAAG19G5s=")</f>
        <v>#REF!</v>
      </c>
      <c r="FA2" t="e">
        <f>AND(#REF!,"AAAAAG19G5w=")</f>
        <v>#REF!</v>
      </c>
      <c r="FB2" t="e">
        <f>IF(#REF!,"AAAAAG19G50=",0)</f>
        <v>#REF!</v>
      </c>
      <c r="FC2" t="e">
        <f>AND(#REF!,"AAAAAG19G54=")</f>
        <v>#REF!</v>
      </c>
      <c r="FD2" t="e">
        <f>AND(#REF!,"AAAAAG19G58=")</f>
        <v>#REF!</v>
      </c>
      <c r="FE2" t="e">
        <f>AND(#REF!,"AAAAAG19G6A=")</f>
        <v>#REF!</v>
      </c>
      <c r="FF2" t="e">
        <f>AND(#REF!,"AAAAAG19G6E=")</f>
        <v>#REF!</v>
      </c>
      <c r="FG2" t="e">
        <f>AND(#REF!,"AAAAAG19G6I=")</f>
        <v>#REF!</v>
      </c>
      <c r="FH2" t="e">
        <f>IF(#REF!,"AAAAAG19G6M=",0)</f>
        <v>#REF!</v>
      </c>
      <c r="FI2" t="e">
        <f>AND(#REF!,"AAAAAG19G6Q=")</f>
        <v>#REF!</v>
      </c>
      <c r="FJ2" t="e">
        <f>AND(#REF!,"AAAAAG19G6U=")</f>
        <v>#REF!</v>
      </c>
      <c r="FK2" t="e">
        <f>AND(#REF!,"AAAAAG19G6Y=")</f>
        <v>#REF!</v>
      </c>
      <c r="FL2" t="e">
        <f>AND(#REF!,"AAAAAG19G6c=")</f>
        <v>#REF!</v>
      </c>
      <c r="FM2" t="e">
        <f>AND(#REF!,"AAAAAG19G6g=")</f>
        <v>#REF!</v>
      </c>
      <c r="FN2" t="e">
        <f>IF(#REF!,"AAAAAG19G6k=",0)</f>
        <v>#REF!</v>
      </c>
      <c r="FO2" t="e">
        <f>AND(#REF!,"AAAAAG19G6o=")</f>
        <v>#REF!</v>
      </c>
      <c r="FP2" t="e">
        <f>AND(#REF!,"AAAAAG19G6s=")</f>
        <v>#REF!</v>
      </c>
      <c r="FQ2" t="e">
        <f>AND(#REF!,"AAAAAG19G6w=")</f>
        <v>#REF!</v>
      </c>
      <c r="FR2" t="e">
        <f>AND(#REF!,"AAAAAG19G60=")</f>
        <v>#REF!</v>
      </c>
      <c r="FS2" t="e">
        <f>AND(#REF!,"AAAAAG19G64=")</f>
        <v>#REF!</v>
      </c>
      <c r="FT2" t="e">
        <f>IF(#REF!,"AAAAAG19G68=",0)</f>
        <v>#REF!</v>
      </c>
      <c r="FU2" t="e">
        <f>AND(#REF!,"AAAAAG19G7A=")</f>
        <v>#REF!</v>
      </c>
      <c r="FV2" t="e">
        <f>AND(#REF!,"AAAAAG19G7E=")</f>
        <v>#REF!</v>
      </c>
      <c r="FW2" t="e">
        <f>AND(#REF!,"AAAAAG19G7I=")</f>
        <v>#REF!</v>
      </c>
      <c r="FX2" t="e">
        <f>AND(#REF!,"AAAAAG19G7M=")</f>
        <v>#REF!</v>
      </c>
      <c r="FY2" t="e">
        <f>AND(#REF!,"AAAAAG19G7Q=")</f>
        <v>#REF!</v>
      </c>
      <c r="FZ2" t="e">
        <f>IF(#REF!,"AAAAAG19G7U=",0)</f>
        <v>#REF!</v>
      </c>
      <c r="GA2" t="e">
        <f>AND(#REF!,"AAAAAG19G7Y=")</f>
        <v>#REF!</v>
      </c>
      <c r="GB2" t="e">
        <f>AND(#REF!,"AAAAAG19G7c=")</f>
        <v>#REF!</v>
      </c>
      <c r="GC2" t="e">
        <f>AND(#REF!,"AAAAAG19G7g=")</f>
        <v>#REF!</v>
      </c>
      <c r="GD2" t="e">
        <f>AND(#REF!,"AAAAAG19G7k=")</f>
        <v>#REF!</v>
      </c>
      <c r="GE2" t="e">
        <f>AND(#REF!,"AAAAAG19G7o=")</f>
        <v>#REF!</v>
      </c>
      <c r="GF2" t="e">
        <f>IF(#REF!,"AAAAAG19G7s=",0)</f>
        <v>#REF!</v>
      </c>
      <c r="GG2" t="e">
        <f>AND(#REF!,"AAAAAG19G7w=")</f>
        <v>#REF!</v>
      </c>
      <c r="GH2" t="e">
        <f>AND(#REF!,"AAAAAG19G70=")</f>
        <v>#REF!</v>
      </c>
      <c r="GI2" t="e">
        <f>AND(#REF!,"AAAAAG19G74=")</f>
        <v>#REF!</v>
      </c>
      <c r="GJ2" t="e">
        <f>AND(#REF!,"AAAAAG19G78=")</f>
        <v>#REF!</v>
      </c>
      <c r="GK2" t="e">
        <f>AND(#REF!,"AAAAAG19G8A=")</f>
        <v>#REF!</v>
      </c>
      <c r="GL2" t="e">
        <f>IF(#REF!,"AAAAAG19G8E=",0)</f>
        <v>#REF!</v>
      </c>
      <c r="GM2" t="e">
        <f>AND(#REF!,"AAAAAG19G8I=")</f>
        <v>#REF!</v>
      </c>
      <c r="GN2" t="e">
        <f>AND(#REF!,"AAAAAG19G8M=")</f>
        <v>#REF!</v>
      </c>
      <c r="GO2" t="e">
        <f>AND(#REF!,"AAAAAG19G8Q=")</f>
        <v>#REF!</v>
      </c>
      <c r="GP2" t="e">
        <f>AND(#REF!,"AAAAAG19G8U=")</f>
        <v>#REF!</v>
      </c>
      <c r="GQ2" t="e">
        <f>AND(#REF!,"AAAAAG19G8Y=")</f>
        <v>#REF!</v>
      </c>
      <c r="GR2" t="e">
        <f>IF(#REF!,"AAAAAG19G8c=",0)</f>
        <v>#REF!</v>
      </c>
      <c r="GS2" t="e">
        <f>AND(#REF!,"AAAAAG19G8g=")</f>
        <v>#REF!</v>
      </c>
      <c r="GT2" t="e">
        <f>AND(#REF!,"AAAAAG19G8k=")</f>
        <v>#REF!</v>
      </c>
      <c r="GU2" t="e">
        <f>AND(#REF!,"AAAAAG19G8o=")</f>
        <v>#REF!</v>
      </c>
      <c r="GV2" t="e">
        <f>AND(#REF!,"AAAAAG19G8s=")</f>
        <v>#REF!</v>
      </c>
      <c r="GW2" t="e">
        <f>AND(#REF!,"AAAAAG19G8w=")</f>
        <v>#REF!</v>
      </c>
      <c r="GX2" t="e">
        <f>IF(#REF!,"AAAAAG19G80=",0)</f>
        <v>#REF!</v>
      </c>
      <c r="GY2" t="e">
        <f>AND(#REF!,"AAAAAG19G84=")</f>
        <v>#REF!</v>
      </c>
      <c r="GZ2" t="e">
        <f>AND(#REF!,"AAAAAG19G88=")</f>
        <v>#REF!</v>
      </c>
      <c r="HA2" t="e">
        <f>AND(#REF!,"AAAAAG19G9A=")</f>
        <v>#REF!</v>
      </c>
      <c r="HB2" t="e">
        <f>AND(#REF!,"AAAAAG19G9E=")</f>
        <v>#REF!</v>
      </c>
      <c r="HC2" t="e">
        <f>AND(#REF!,"AAAAAG19G9I=")</f>
        <v>#REF!</v>
      </c>
      <c r="HD2" t="e">
        <f>IF(#REF!,"AAAAAG19G9M=",0)</f>
        <v>#REF!</v>
      </c>
      <c r="HE2" t="e">
        <f>AND(#REF!,"AAAAAG19G9Q=")</f>
        <v>#REF!</v>
      </c>
      <c r="HF2" t="e">
        <f>AND(#REF!,"AAAAAG19G9U=")</f>
        <v>#REF!</v>
      </c>
      <c r="HG2" t="e">
        <f>AND(#REF!,"AAAAAG19G9Y=")</f>
        <v>#REF!</v>
      </c>
      <c r="HH2" t="e">
        <f>AND(#REF!,"AAAAAG19G9c=")</f>
        <v>#REF!</v>
      </c>
      <c r="HI2" t="e">
        <f>AND(#REF!,"AAAAAG19G9g=")</f>
        <v>#REF!</v>
      </c>
      <c r="HJ2" t="e">
        <f>IF(#REF!,"AAAAAG19G9k=",0)</f>
        <v>#REF!</v>
      </c>
      <c r="HK2" t="e">
        <f>IF(#REF!,"AAAAAG19G9o=",0)</f>
        <v>#REF!</v>
      </c>
      <c r="HL2" t="e">
        <f>IF(#REF!,"AAAAAG19G9s=",0)</f>
        <v>#REF!</v>
      </c>
      <c r="HM2" t="e">
        <f>IF(#REF!,"AAAAAG19G9w=",0)</f>
        <v>#REF!</v>
      </c>
      <c r="HN2" t="e">
        <f>IF(#REF!,"AAAAAG19G90=",0)</f>
        <v>#REF!</v>
      </c>
      <c r="HO2" t="e">
        <f>IF(#REF!,"AAAAAG19G94=",0)</f>
        <v>#REF!</v>
      </c>
      <c r="HP2" t="e">
        <f>AND(#REF!,"AAAAAG19G98=")</f>
        <v>#REF!</v>
      </c>
      <c r="HQ2" t="e">
        <f>AND(#REF!,"AAAAAG19G+A=")</f>
        <v>#REF!</v>
      </c>
      <c r="HR2" t="e">
        <f>AND(#REF!,"AAAAAG19G+E=")</f>
        <v>#REF!</v>
      </c>
      <c r="HS2" t="e">
        <f>AND(#REF!,"AAAAAG19G+I=")</f>
        <v>#REF!</v>
      </c>
      <c r="HT2" t="e">
        <f>AND(#REF!,"AAAAAG19G+M=")</f>
        <v>#REF!</v>
      </c>
      <c r="HU2" t="e">
        <f>AND(#REF!,"AAAAAG19G+Q=")</f>
        <v>#REF!</v>
      </c>
      <c r="HV2" t="e">
        <f>AND(#REF!,"AAAAAG19G+U=")</f>
        <v>#REF!</v>
      </c>
      <c r="HW2" t="e">
        <f>AND(#REF!,"AAAAAG19G+Y=")</f>
        <v>#REF!</v>
      </c>
      <c r="HX2" t="e">
        <f>AND(#REF!,"AAAAAG19G+c=")</f>
        <v>#REF!</v>
      </c>
      <c r="HY2" t="e">
        <f>AND(#REF!,"AAAAAG19G+g=")</f>
        <v>#REF!</v>
      </c>
      <c r="HZ2" t="e">
        <f>IF(#REF!,"AAAAAG19G+k=",0)</f>
        <v>#REF!</v>
      </c>
      <c r="IA2" t="e">
        <f>AND(#REF!,"AAAAAG19G+o=")</f>
        <v>#REF!</v>
      </c>
      <c r="IB2" t="e">
        <f>AND(#REF!,"AAAAAG19G+s=")</f>
        <v>#REF!</v>
      </c>
      <c r="IC2" t="e">
        <f>AND(#REF!,"AAAAAG19G+w=")</f>
        <v>#REF!</v>
      </c>
      <c r="ID2" t="e">
        <f>AND(#REF!,"AAAAAG19G+0=")</f>
        <v>#REF!</v>
      </c>
      <c r="IE2" t="e">
        <f>AND(#REF!,"AAAAAG19G+4=")</f>
        <v>#REF!</v>
      </c>
      <c r="IF2" t="e">
        <f>AND(#REF!,"AAAAAG19G+8=")</f>
        <v>#REF!</v>
      </c>
      <c r="IG2" t="e">
        <f>AND(#REF!,"AAAAAG19G/A=")</f>
        <v>#REF!</v>
      </c>
      <c r="IH2" t="e">
        <f>AND(#REF!,"AAAAAG19G/E=")</f>
        <v>#REF!</v>
      </c>
      <c r="II2" t="e">
        <f>AND(#REF!,"AAAAAG19G/I=")</f>
        <v>#REF!</v>
      </c>
      <c r="IJ2" t="e">
        <f>AND(#REF!,"AAAAAG19G/M=")</f>
        <v>#REF!</v>
      </c>
      <c r="IK2" t="e">
        <f>IF(#REF!,"AAAAAG19G/Q=",0)</f>
        <v>#REF!</v>
      </c>
      <c r="IL2" t="e">
        <f>AND(#REF!,"AAAAAG19G/U=")</f>
        <v>#REF!</v>
      </c>
      <c r="IM2" t="e">
        <f>AND(#REF!,"AAAAAG19G/Y=")</f>
        <v>#REF!</v>
      </c>
      <c r="IN2" t="e">
        <f>AND(#REF!,"AAAAAG19G/c=")</f>
        <v>#REF!</v>
      </c>
      <c r="IO2" t="e">
        <f>AND(#REF!,"AAAAAG19G/g=")</f>
        <v>#REF!</v>
      </c>
      <c r="IP2" t="e">
        <f>AND(#REF!,"AAAAAG19G/k=")</f>
        <v>#REF!</v>
      </c>
      <c r="IQ2" t="e">
        <f>AND(#REF!,"AAAAAG19G/o=")</f>
        <v>#REF!</v>
      </c>
      <c r="IR2" t="e">
        <f>AND(#REF!,"AAAAAG19G/s=")</f>
        <v>#REF!</v>
      </c>
      <c r="IS2" t="e">
        <f>AND(#REF!,"AAAAAG19G/w=")</f>
        <v>#REF!</v>
      </c>
      <c r="IT2" t="e">
        <f>AND(#REF!,"AAAAAG19G/0=")</f>
        <v>#REF!</v>
      </c>
      <c r="IU2" t="e">
        <f>AND(#REF!,"AAAAAG19G/4=")</f>
        <v>#REF!</v>
      </c>
      <c r="IV2" t="e">
        <f>IF(#REF!,"AAAAAG19G/8=",0)</f>
        <v>#REF!</v>
      </c>
    </row>
    <row r="3" spans="1:256">
      <c r="A3" t="e">
        <f>AND(#REF!,"AAAAAG/rfwA=")</f>
        <v>#REF!</v>
      </c>
      <c r="B3" t="e">
        <f>AND(#REF!,"AAAAAG/rfwE=")</f>
        <v>#REF!</v>
      </c>
      <c r="C3" t="e">
        <f>AND(#REF!,"AAAAAG/rfwI=")</f>
        <v>#REF!</v>
      </c>
      <c r="D3" t="e">
        <f>AND(#REF!,"AAAAAG/rfwM=")</f>
        <v>#REF!</v>
      </c>
      <c r="E3" t="e">
        <f>AND(#REF!,"AAAAAG/rfwQ=")</f>
        <v>#REF!</v>
      </c>
      <c r="F3" t="e">
        <f>AND(#REF!,"AAAAAG/rfwU=")</f>
        <v>#REF!</v>
      </c>
      <c r="G3" t="e">
        <f>AND(#REF!,"AAAAAG/rfwY=")</f>
        <v>#REF!</v>
      </c>
      <c r="H3" t="e">
        <f>AND(#REF!,"AAAAAG/rfwc=")</f>
        <v>#REF!</v>
      </c>
      <c r="I3" t="e">
        <f>AND(#REF!,"AAAAAG/rfwg=")</f>
        <v>#REF!</v>
      </c>
      <c r="J3" t="e">
        <f>AND(#REF!,"AAAAAG/rfwk=")</f>
        <v>#REF!</v>
      </c>
      <c r="K3" t="e">
        <f>IF(#REF!,"AAAAAG/rfwo=",0)</f>
        <v>#REF!</v>
      </c>
      <c r="L3" t="e">
        <f>AND(#REF!,"AAAAAG/rfws=")</f>
        <v>#REF!</v>
      </c>
      <c r="M3" t="e">
        <f>AND(#REF!,"AAAAAG/rfww=")</f>
        <v>#REF!</v>
      </c>
      <c r="N3" t="e">
        <f>AND(#REF!,"AAAAAG/rfw0=")</f>
        <v>#REF!</v>
      </c>
      <c r="O3" t="e">
        <f>AND(#REF!,"AAAAAG/rfw4=")</f>
        <v>#REF!</v>
      </c>
      <c r="P3" t="e">
        <f>AND(#REF!,"AAAAAG/rfw8=")</f>
        <v>#REF!</v>
      </c>
      <c r="Q3" t="e">
        <f>AND(#REF!,"AAAAAG/rfxA=")</f>
        <v>#REF!</v>
      </c>
      <c r="R3" t="e">
        <f>AND(#REF!,"AAAAAG/rfxE=")</f>
        <v>#REF!</v>
      </c>
      <c r="S3" t="e">
        <f>AND(#REF!,"AAAAAG/rfxI=")</f>
        <v>#REF!</v>
      </c>
      <c r="T3" t="e">
        <f>AND(#REF!,"AAAAAG/rfxM=")</f>
        <v>#REF!</v>
      </c>
      <c r="U3" t="e">
        <f>AND(#REF!,"AAAAAG/rfxQ=")</f>
        <v>#REF!</v>
      </c>
      <c r="V3" t="e">
        <f>IF(#REF!,"AAAAAG/rfxU=",0)</f>
        <v>#REF!</v>
      </c>
      <c r="W3" t="e">
        <f>AND(#REF!,"AAAAAG/rfxY=")</f>
        <v>#REF!</v>
      </c>
      <c r="X3" t="e">
        <f>AND(#REF!,"AAAAAG/rfxc=")</f>
        <v>#REF!</v>
      </c>
      <c r="Y3" t="e">
        <f>AND(#REF!,"AAAAAG/rfxg=")</f>
        <v>#REF!</v>
      </c>
      <c r="Z3" t="e">
        <f>AND(#REF!,"AAAAAG/rfxk=")</f>
        <v>#REF!</v>
      </c>
      <c r="AA3" t="e">
        <f>AND(#REF!,"AAAAAG/rfxo=")</f>
        <v>#REF!</v>
      </c>
      <c r="AB3" t="e">
        <f>AND(#REF!,"AAAAAG/rfxs=")</f>
        <v>#REF!</v>
      </c>
      <c r="AC3" t="e">
        <f>AND(#REF!,"AAAAAG/rfxw=")</f>
        <v>#REF!</v>
      </c>
      <c r="AD3" t="e">
        <f>AND(#REF!,"AAAAAG/rfx0=")</f>
        <v>#REF!</v>
      </c>
      <c r="AE3" t="e">
        <f>AND(#REF!,"AAAAAG/rfx4=")</f>
        <v>#REF!</v>
      </c>
      <c r="AF3" t="e">
        <f>AND(#REF!,"AAAAAG/rfx8=")</f>
        <v>#REF!</v>
      </c>
      <c r="AG3" t="e">
        <f>IF(#REF!,"AAAAAG/rfyA=",0)</f>
        <v>#REF!</v>
      </c>
      <c r="AH3" t="e">
        <f>AND(#REF!,"AAAAAG/rfyE=")</f>
        <v>#REF!</v>
      </c>
      <c r="AI3" t="e">
        <f>AND(#REF!,"AAAAAG/rfyI=")</f>
        <v>#REF!</v>
      </c>
      <c r="AJ3" t="e">
        <f>AND(#REF!,"AAAAAG/rfyM=")</f>
        <v>#REF!</v>
      </c>
      <c r="AK3" t="e">
        <f>AND(#REF!,"AAAAAG/rfyQ=")</f>
        <v>#REF!</v>
      </c>
      <c r="AL3" t="e">
        <f>AND(#REF!,"AAAAAG/rfyU=")</f>
        <v>#REF!</v>
      </c>
      <c r="AM3" t="e">
        <f>AND(#REF!,"AAAAAG/rfyY=")</f>
        <v>#REF!</v>
      </c>
      <c r="AN3" t="e">
        <f>AND(#REF!,"AAAAAG/rfyc=")</f>
        <v>#REF!</v>
      </c>
      <c r="AO3" t="e">
        <f>AND(#REF!,"AAAAAG/rfyg=")</f>
        <v>#REF!</v>
      </c>
      <c r="AP3" t="e">
        <f>AND(#REF!,"AAAAAG/rfyk=")</f>
        <v>#REF!</v>
      </c>
      <c r="AQ3" t="e">
        <f>AND(#REF!,"AAAAAG/rfyo=")</f>
        <v>#REF!</v>
      </c>
      <c r="AR3" t="e">
        <f>IF(#REF!,"AAAAAG/rfys=",0)</f>
        <v>#REF!</v>
      </c>
      <c r="AS3" t="e">
        <f>AND(#REF!,"AAAAAG/rfyw=")</f>
        <v>#REF!</v>
      </c>
      <c r="AT3" t="e">
        <f>AND(#REF!,"AAAAAG/rfy0=")</f>
        <v>#REF!</v>
      </c>
      <c r="AU3" t="e">
        <f>AND(#REF!,"AAAAAG/rfy4=")</f>
        <v>#REF!</v>
      </c>
      <c r="AV3" t="e">
        <f>AND(#REF!,"AAAAAG/rfy8=")</f>
        <v>#REF!</v>
      </c>
      <c r="AW3" t="e">
        <f>AND(#REF!,"AAAAAG/rfzA=")</f>
        <v>#REF!</v>
      </c>
      <c r="AX3" t="e">
        <f>AND(#REF!,"AAAAAG/rfzE=")</f>
        <v>#REF!</v>
      </c>
      <c r="AY3" t="e">
        <f>AND(#REF!,"AAAAAG/rfzI=")</f>
        <v>#REF!</v>
      </c>
      <c r="AZ3" t="e">
        <f>AND(#REF!,"AAAAAG/rfzM=")</f>
        <v>#REF!</v>
      </c>
      <c r="BA3" t="e">
        <f>AND(#REF!,"AAAAAG/rfzQ=")</f>
        <v>#REF!</v>
      </c>
      <c r="BB3" t="e">
        <f>AND(#REF!,"AAAAAG/rfzU=")</f>
        <v>#REF!</v>
      </c>
      <c r="BC3" t="e">
        <f>IF(#REF!,"AAAAAG/rfzY=",0)</f>
        <v>#REF!</v>
      </c>
      <c r="BD3" t="e">
        <f>AND(#REF!,"AAAAAG/rfzc=")</f>
        <v>#REF!</v>
      </c>
      <c r="BE3" t="e">
        <f>AND(#REF!,"AAAAAG/rfzg=")</f>
        <v>#REF!</v>
      </c>
      <c r="BF3" t="e">
        <f>AND(#REF!,"AAAAAG/rfzk=")</f>
        <v>#REF!</v>
      </c>
      <c r="BG3" t="e">
        <f>AND(#REF!,"AAAAAG/rfzo=")</f>
        <v>#REF!</v>
      </c>
      <c r="BH3" t="e">
        <f>AND(#REF!,"AAAAAG/rfzs=")</f>
        <v>#REF!</v>
      </c>
      <c r="BI3" t="e">
        <f>AND(#REF!,"AAAAAG/rfzw=")</f>
        <v>#REF!</v>
      </c>
      <c r="BJ3" t="e">
        <f>AND(#REF!,"AAAAAG/rfz0=")</f>
        <v>#REF!</v>
      </c>
      <c r="BK3" t="e">
        <f>AND(#REF!,"AAAAAG/rfz4=")</f>
        <v>#REF!</v>
      </c>
      <c r="BL3" t="e">
        <f>AND(#REF!,"AAAAAG/rfz8=")</f>
        <v>#REF!</v>
      </c>
      <c r="BM3" t="e">
        <f>AND(#REF!,"AAAAAG/rf0A=")</f>
        <v>#REF!</v>
      </c>
      <c r="BN3" t="e">
        <f>IF(#REF!,"AAAAAG/rf0E=",0)</f>
        <v>#REF!</v>
      </c>
      <c r="BO3" t="e">
        <f>AND(#REF!,"AAAAAG/rf0I=")</f>
        <v>#REF!</v>
      </c>
      <c r="BP3" t="e">
        <f>AND(#REF!,"AAAAAG/rf0M=")</f>
        <v>#REF!</v>
      </c>
      <c r="BQ3" t="e">
        <f>AND(#REF!,"AAAAAG/rf0Q=")</f>
        <v>#REF!</v>
      </c>
      <c r="BR3" t="e">
        <f>AND(#REF!,"AAAAAG/rf0U=")</f>
        <v>#REF!</v>
      </c>
      <c r="BS3" t="e">
        <f>AND(#REF!,"AAAAAG/rf0Y=")</f>
        <v>#REF!</v>
      </c>
      <c r="BT3" t="e">
        <f>AND(#REF!,"AAAAAG/rf0c=")</f>
        <v>#REF!</v>
      </c>
      <c r="BU3" t="e">
        <f>AND(#REF!,"AAAAAG/rf0g=")</f>
        <v>#REF!</v>
      </c>
      <c r="BV3" t="e">
        <f>AND(#REF!,"AAAAAG/rf0k=")</f>
        <v>#REF!</v>
      </c>
      <c r="BW3" t="e">
        <f>AND(#REF!,"AAAAAG/rf0o=")</f>
        <v>#REF!</v>
      </c>
      <c r="BX3" t="e">
        <f>AND(#REF!,"AAAAAG/rf0s=")</f>
        <v>#REF!</v>
      </c>
      <c r="BY3" t="e">
        <f>IF(#REF!,"AAAAAG/rf0w=",0)</f>
        <v>#REF!</v>
      </c>
      <c r="BZ3" t="e">
        <f>AND(#REF!,"AAAAAG/rf00=")</f>
        <v>#REF!</v>
      </c>
      <c r="CA3" t="e">
        <f>AND(#REF!,"AAAAAG/rf04=")</f>
        <v>#REF!</v>
      </c>
      <c r="CB3" t="e">
        <f>AND(#REF!,"AAAAAG/rf08=")</f>
        <v>#REF!</v>
      </c>
      <c r="CC3" t="e">
        <f>AND(#REF!,"AAAAAG/rf1A=")</f>
        <v>#REF!</v>
      </c>
      <c r="CD3" t="e">
        <f>AND(#REF!,"AAAAAG/rf1E=")</f>
        <v>#REF!</v>
      </c>
      <c r="CE3" t="e">
        <f>AND(#REF!,"AAAAAG/rf1I=")</f>
        <v>#REF!</v>
      </c>
      <c r="CF3" t="e">
        <f>AND(#REF!,"AAAAAG/rf1M=")</f>
        <v>#REF!</v>
      </c>
      <c r="CG3" t="e">
        <f>AND(#REF!,"AAAAAG/rf1Q=")</f>
        <v>#REF!</v>
      </c>
      <c r="CH3" t="e">
        <f>AND(#REF!,"AAAAAG/rf1U=")</f>
        <v>#REF!</v>
      </c>
      <c r="CI3" t="e">
        <f>AND(#REF!,"AAAAAG/rf1Y=")</f>
        <v>#REF!</v>
      </c>
      <c r="CJ3" t="e">
        <f>IF(#REF!,"AAAAAG/rf1c=",0)</f>
        <v>#REF!</v>
      </c>
      <c r="CK3" t="e">
        <f>AND(#REF!,"AAAAAG/rf1g=")</f>
        <v>#REF!</v>
      </c>
      <c r="CL3" t="e">
        <f>AND(#REF!,"AAAAAG/rf1k=")</f>
        <v>#REF!</v>
      </c>
      <c r="CM3" t="e">
        <f>AND(#REF!,"AAAAAG/rf1o=")</f>
        <v>#REF!</v>
      </c>
      <c r="CN3" t="e">
        <f>AND(#REF!,"AAAAAG/rf1s=")</f>
        <v>#REF!</v>
      </c>
      <c r="CO3" t="e">
        <f>AND(#REF!,"AAAAAG/rf1w=")</f>
        <v>#REF!</v>
      </c>
      <c r="CP3" t="e">
        <f>AND(#REF!,"AAAAAG/rf10=")</f>
        <v>#REF!</v>
      </c>
      <c r="CQ3" t="e">
        <f>AND(#REF!,"AAAAAG/rf14=")</f>
        <v>#REF!</v>
      </c>
      <c r="CR3" t="e">
        <f>AND(#REF!,"AAAAAG/rf18=")</f>
        <v>#REF!</v>
      </c>
      <c r="CS3" t="e">
        <f>AND(#REF!,"AAAAAG/rf2A=")</f>
        <v>#REF!</v>
      </c>
      <c r="CT3" t="e">
        <f>AND(#REF!,"AAAAAG/rf2E=")</f>
        <v>#REF!</v>
      </c>
      <c r="CU3" t="e">
        <f>IF(#REF!,"AAAAAG/rf2I=",0)</f>
        <v>#REF!</v>
      </c>
      <c r="CV3" t="e">
        <f>AND(#REF!,"AAAAAG/rf2M=")</f>
        <v>#REF!</v>
      </c>
      <c r="CW3" t="e">
        <f>AND(#REF!,"AAAAAG/rf2Q=")</f>
        <v>#REF!</v>
      </c>
      <c r="CX3" t="e">
        <f>AND(#REF!,"AAAAAG/rf2U=")</f>
        <v>#REF!</v>
      </c>
      <c r="CY3" t="e">
        <f>AND(#REF!,"AAAAAG/rf2Y=")</f>
        <v>#REF!</v>
      </c>
      <c r="CZ3" t="e">
        <f>AND(#REF!,"AAAAAG/rf2c=")</f>
        <v>#REF!</v>
      </c>
      <c r="DA3" t="e">
        <f>AND(#REF!,"AAAAAG/rf2g=")</f>
        <v>#REF!</v>
      </c>
      <c r="DB3" t="e">
        <f>AND(#REF!,"AAAAAG/rf2k=")</f>
        <v>#REF!</v>
      </c>
      <c r="DC3" t="e">
        <f>AND(#REF!,"AAAAAG/rf2o=")</f>
        <v>#REF!</v>
      </c>
      <c r="DD3" t="e">
        <f>AND(#REF!,"AAAAAG/rf2s=")</f>
        <v>#REF!</v>
      </c>
      <c r="DE3" t="e">
        <f>AND(#REF!,"AAAAAG/rf2w=")</f>
        <v>#REF!</v>
      </c>
      <c r="DF3" t="e">
        <f>IF(#REF!,"AAAAAG/rf20=",0)</f>
        <v>#REF!</v>
      </c>
      <c r="DG3" t="e">
        <f>AND(#REF!,"AAAAAG/rf24=")</f>
        <v>#REF!</v>
      </c>
      <c r="DH3" t="e">
        <f>AND(#REF!,"AAAAAG/rf28=")</f>
        <v>#REF!</v>
      </c>
      <c r="DI3" t="e">
        <f>AND(#REF!,"AAAAAG/rf3A=")</f>
        <v>#REF!</v>
      </c>
      <c r="DJ3" t="e">
        <f>AND(#REF!,"AAAAAG/rf3E=")</f>
        <v>#REF!</v>
      </c>
      <c r="DK3" t="e">
        <f>AND(#REF!,"AAAAAG/rf3I=")</f>
        <v>#REF!</v>
      </c>
      <c r="DL3" t="e">
        <f>AND(#REF!,"AAAAAG/rf3M=")</f>
        <v>#REF!</v>
      </c>
      <c r="DM3" t="e">
        <f>AND(#REF!,"AAAAAG/rf3Q=")</f>
        <v>#REF!</v>
      </c>
      <c r="DN3" t="e">
        <f>AND(#REF!,"AAAAAG/rf3U=")</f>
        <v>#REF!</v>
      </c>
      <c r="DO3" t="e">
        <f>AND(#REF!,"AAAAAG/rf3Y=")</f>
        <v>#REF!</v>
      </c>
      <c r="DP3" t="e">
        <f>AND(#REF!,"AAAAAG/rf3c=")</f>
        <v>#REF!</v>
      </c>
      <c r="DQ3" t="e">
        <f>IF(#REF!,"AAAAAG/rf3g=",0)</f>
        <v>#REF!</v>
      </c>
      <c r="DR3" t="e">
        <f>AND(#REF!,"AAAAAG/rf3k=")</f>
        <v>#REF!</v>
      </c>
      <c r="DS3" t="e">
        <f>AND(#REF!,"AAAAAG/rf3o=")</f>
        <v>#REF!</v>
      </c>
      <c r="DT3" t="e">
        <f>AND(#REF!,"AAAAAG/rf3s=")</f>
        <v>#REF!</v>
      </c>
      <c r="DU3" t="e">
        <f>AND(#REF!,"AAAAAG/rf3w=")</f>
        <v>#REF!</v>
      </c>
      <c r="DV3" t="e">
        <f>AND(#REF!,"AAAAAG/rf30=")</f>
        <v>#REF!</v>
      </c>
      <c r="DW3" t="e">
        <f>AND(#REF!,"AAAAAG/rf34=")</f>
        <v>#REF!</v>
      </c>
      <c r="DX3" t="e">
        <f>AND(#REF!,"AAAAAG/rf38=")</f>
        <v>#REF!</v>
      </c>
      <c r="DY3" t="e">
        <f>AND(#REF!,"AAAAAG/rf4A=")</f>
        <v>#REF!</v>
      </c>
      <c r="DZ3" t="e">
        <f>AND(#REF!,"AAAAAG/rf4E=")</f>
        <v>#REF!</v>
      </c>
      <c r="EA3" t="e">
        <f>AND(#REF!,"AAAAAG/rf4I=")</f>
        <v>#REF!</v>
      </c>
      <c r="EB3" t="e">
        <f>IF(#REF!,"AAAAAG/rf4M=",0)</f>
        <v>#REF!</v>
      </c>
      <c r="EC3" t="e">
        <f>AND(#REF!,"AAAAAG/rf4Q=")</f>
        <v>#REF!</v>
      </c>
      <c r="ED3" t="e">
        <f>AND(#REF!,"AAAAAG/rf4U=")</f>
        <v>#REF!</v>
      </c>
      <c r="EE3" t="e">
        <f>AND(#REF!,"AAAAAG/rf4Y=")</f>
        <v>#REF!</v>
      </c>
      <c r="EF3" t="e">
        <f>AND(#REF!,"AAAAAG/rf4c=")</f>
        <v>#REF!</v>
      </c>
      <c r="EG3" t="e">
        <f>AND(#REF!,"AAAAAG/rf4g=")</f>
        <v>#REF!</v>
      </c>
      <c r="EH3" t="e">
        <f>AND(#REF!,"AAAAAG/rf4k=")</f>
        <v>#REF!</v>
      </c>
      <c r="EI3" t="e">
        <f>AND(#REF!,"AAAAAG/rf4o=")</f>
        <v>#REF!</v>
      </c>
      <c r="EJ3" t="e">
        <f>AND(#REF!,"AAAAAG/rf4s=")</f>
        <v>#REF!</v>
      </c>
      <c r="EK3" t="e">
        <f>AND(#REF!,"AAAAAG/rf4w=")</f>
        <v>#REF!</v>
      </c>
      <c r="EL3" t="e">
        <f>AND(#REF!,"AAAAAG/rf40=")</f>
        <v>#REF!</v>
      </c>
      <c r="EM3" t="e">
        <f>IF(#REF!,"AAAAAG/rf44=",0)</f>
        <v>#REF!</v>
      </c>
      <c r="EN3" t="e">
        <f>AND(#REF!,"AAAAAG/rf48=")</f>
        <v>#REF!</v>
      </c>
      <c r="EO3" t="e">
        <f>AND(#REF!,"AAAAAG/rf5A=")</f>
        <v>#REF!</v>
      </c>
      <c r="EP3" t="e">
        <f>AND(#REF!,"AAAAAG/rf5E=")</f>
        <v>#REF!</v>
      </c>
      <c r="EQ3" t="e">
        <f>AND(#REF!,"AAAAAG/rf5I=")</f>
        <v>#REF!</v>
      </c>
      <c r="ER3" t="e">
        <f>AND(#REF!,"AAAAAG/rf5M=")</f>
        <v>#REF!</v>
      </c>
      <c r="ES3" t="e">
        <f>AND(#REF!,"AAAAAG/rf5Q=")</f>
        <v>#REF!</v>
      </c>
      <c r="ET3" t="e">
        <f>AND(#REF!,"AAAAAG/rf5U=")</f>
        <v>#REF!</v>
      </c>
      <c r="EU3" t="e">
        <f>AND(#REF!,"AAAAAG/rf5Y=")</f>
        <v>#REF!</v>
      </c>
      <c r="EV3" t="e">
        <f>AND(#REF!,"AAAAAG/rf5c=")</f>
        <v>#REF!</v>
      </c>
      <c r="EW3" t="e">
        <f>AND(#REF!,"AAAAAG/rf5g=")</f>
        <v>#REF!</v>
      </c>
      <c r="EX3" t="e">
        <f>IF(#REF!,"AAAAAG/rf5k=",0)</f>
        <v>#REF!</v>
      </c>
      <c r="EY3" t="e">
        <f>AND(#REF!,"AAAAAG/rf5o=")</f>
        <v>#REF!</v>
      </c>
      <c r="EZ3" t="e">
        <f>AND(#REF!,"AAAAAG/rf5s=")</f>
        <v>#REF!</v>
      </c>
      <c r="FA3" t="e">
        <f>AND(#REF!,"AAAAAG/rf5w=")</f>
        <v>#REF!</v>
      </c>
      <c r="FB3" t="e">
        <f>AND(#REF!,"AAAAAG/rf50=")</f>
        <v>#REF!</v>
      </c>
      <c r="FC3" t="e">
        <f>AND(#REF!,"AAAAAG/rf54=")</f>
        <v>#REF!</v>
      </c>
      <c r="FD3" t="e">
        <f>AND(#REF!,"AAAAAG/rf58=")</f>
        <v>#REF!</v>
      </c>
      <c r="FE3" t="e">
        <f>AND(#REF!,"AAAAAG/rf6A=")</f>
        <v>#REF!</v>
      </c>
      <c r="FF3" t="e">
        <f>AND(#REF!,"AAAAAG/rf6E=")</f>
        <v>#REF!</v>
      </c>
      <c r="FG3" t="e">
        <f>AND(#REF!,"AAAAAG/rf6I=")</f>
        <v>#REF!</v>
      </c>
      <c r="FH3" t="e">
        <f>AND(#REF!,"AAAAAG/rf6M=")</f>
        <v>#REF!</v>
      </c>
      <c r="FI3" t="e">
        <f>IF(#REF!,"AAAAAG/rf6Q=",0)</f>
        <v>#REF!</v>
      </c>
      <c r="FJ3" t="e">
        <f>AND(#REF!,"AAAAAG/rf6U=")</f>
        <v>#REF!</v>
      </c>
      <c r="FK3" t="e">
        <f>AND(#REF!,"AAAAAG/rf6Y=")</f>
        <v>#REF!</v>
      </c>
      <c r="FL3" t="e">
        <f>AND(#REF!,"AAAAAG/rf6c=")</f>
        <v>#REF!</v>
      </c>
      <c r="FM3" t="e">
        <f>AND(#REF!,"AAAAAG/rf6g=")</f>
        <v>#REF!</v>
      </c>
      <c r="FN3" t="e">
        <f>AND(#REF!,"AAAAAG/rf6k=")</f>
        <v>#REF!</v>
      </c>
      <c r="FO3" t="e">
        <f>AND(#REF!,"AAAAAG/rf6o=")</f>
        <v>#REF!</v>
      </c>
      <c r="FP3" t="e">
        <f>AND(#REF!,"AAAAAG/rf6s=")</f>
        <v>#REF!</v>
      </c>
      <c r="FQ3" t="e">
        <f>AND(#REF!,"AAAAAG/rf6w=")</f>
        <v>#REF!</v>
      </c>
      <c r="FR3" t="e">
        <f>AND(#REF!,"AAAAAG/rf60=")</f>
        <v>#REF!</v>
      </c>
      <c r="FS3" t="e">
        <f>AND(#REF!,"AAAAAG/rf64=")</f>
        <v>#REF!</v>
      </c>
      <c r="FT3" t="e">
        <f>IF(#REF!,"AAAAAG/rf68=",0)</f>
        <v>#REF!</v>
      </c>
      <c r="FU3" t="e">
        <f>AND(#REF!,"AAAAAG/rf7A=")</f>
        <v>#REF!</v>
      </c>
      <c r="FV3" t="e">
        <f>AND(#REF!,"AAAAAG/rf7E=")</f>
        <v>#REF!</v>
      </c>
      <c r="FW3" t="e">
        <f>AND(#REF!,"AAAAAG/rf7I=")</f>
        <v>#REF!</v>
      </c>
      <c r="FX3" t="e">
        <f>AND(#REF!,"AAAAAG/rf7M=")</f>
        <v>#REF!</v>
      </c>
      <c r="FY3" t="e">
        <f>AND(#REF!,"AAAAAG/rf7Q=")</f>
        <v>#REF!</v>
      </c>
      <c r="FZ3" t="e">
        <f>AND(#REF!,"AAAAAG/rf7U=")</f>
        <v>#REF!</v>
      </c>
      <c r="GA3" t="e">
        <f>AND(#REF!,"AAAAAG/rf7Y=")</f>
        <v>#REF!</v>
      </c>
      <c r="GB3" t="e">
        <f>AND(#REF!,"AAAAAG/rf7c=")</f>
        <v>#REF!</v>
      </c>
      <c r="GC3" t="e">
        <f>AND(#REF!,"AAAAAG/rf7g=")</f>
        <v>#REF!</v>
      </c>
      <c r="GD3" t="e">
        <f>AND(#REF!,"AAAAAG/rf7k=")</f>
        <v>#REF!</v>
      </c>
      <c r="GE3" t="e">
        <f>IF(#REF!,"AAAAAG/rf7o=",0)</f>
        <v>#REF!</v>
      </c>
      <c r="GF3" t="e">
        <f>AND(#REF!,"AAAAAG/rf7s=")</f>
        <v>#REF!</v>
      </c>
      <c r="GG3" t="e">
        <f>AND(#REF!,"AAAAAG/rf7w=")</f>
        <v>#REF!</v>
      </c>
      <c r="GH3" t="e">
        <f>AND(#REF!,"AAAAAG/rf70=")</f>
        <v>#REF!</v>
      </c>
      <c r="GI3" t="e">
        <f>AND(#REF!,"AAAAAG/rf74=")</f>
        <v>#REF!</v>
      </c>
      <c r="GJ3" t="e">
        <f>AND(#REF!,"AAAAAG/rf78=")</f>
        <v>#REF!</v>
      </c>
      <c r="GK3" t="e">
        <f>AND(#REF!,"AAAAAG/rf8A=")</f>
        <v>#REF!</v>
      </c>
      <c r="GL3" t="e">
        <f>AND(#REF!,"AAAAAG/rf8E=")</f>
        <v>#REF!</v>
      </c>
      <c r="GM3" t="e">
        <f>AND(#REF!,"AAAAAG/rf8I=")</f>
        <v>#REF!</v>
      </c>
      <c r="GN3" t="e">
        <f>AND(#REF!,"AAAAAG/rf8M=")</f>
        <v>#REF!</v>
      </c>
      <c r="GO3" t="e">
        <f>AND(#REF!,"AAAAAG/rf8Q=")</f>
        <v>#REF!</v>
      </c>
      <c r="GP3" t="e">
        <f>IF(#REF!,"AAAAAG/rf8U=",0)</f>
        <v>#REF!</v>
      </c>
      <c r="GQ3" t="e">
        <f>AND(#REF!,"AAAAAG/rf8Y=")</f>
        <v>#REF!</v>
      </c>
      <c r="GR3" t="e">
        <f>AND(#REF!,"AAAAAG/rf8c=")</f>
        <v>#REF!</v>
      </c>
      <c r="GS3" t="e">
        <f>AND(#REF!,"AAAAAG/rf8g=")</f>
        <v>#REF!</v>
      </c>
      <c r="GT3" t="e">
        <f>AND(#REF!,"AAAAAG/rf8k=")</f>
        <v>#REF!</v>
      </c>
      <c r="GU3" t="e">
        <f>AND(#REF!,"AAAAAG/rf8o=")</f>
        <v>#REF!</v>
      </c>
      <c r="GV3" t="e">
        <f>AND(#REF!,"AAAAAG/rf8s=")</f>
        <v>#REF!</v>
      </c>
      <c r="GW3" t="e">
        <f>AND(#REF!,"AAAAAG/rf8w=")</f>
        <v>#REF!</v>
      </c>
      <c r="GX3" t="e">
        <f>AND(#REF!,"AAAAAG/rf80=")</f>
        <v>#REF!</v>
      </c>
      <c r="GY3" t="e">
        <f>AND(#REF!,"AAAAAG/rf84=")</f>
        <v>#REF!</v>
      </c>
      <c r="GZ3" t="e">
        <f>AND(#REF!,"AAAAAG/rf88=")</f>
        <v>#REF!</v>
      </c>
      <c r="HA3" t="e">
        <f>IF(#REF!,"AAAAAG/rf9A=",0)</f>
        <v>#REF!</v>
      </c>
      <c r="HB3" t="e">
        <f>AND(#REF!,"AAAAAG/rf9E=")</f>
        <v>#REF!</v>
      </c>
      <c r="HC3" t="e">
        <f>AND(#REF!,"AAAAAG/rf9I=")</f>
        <v>#REF!</v>
      </c>
      <c r="HD3" t="e">
        <f>AND(#REF!,"AAAAAG/rf9M=")</f>
        <v>#REF!</v>
      </c>
      <c r="HE3" t="e">
        <f>AND(#REF!,"AAAAAG/rf9Q=")</f>
        <v>#REF!</v>
      </c>
      <c r="HF3" t="e">
        <f>AND(#REF!,"AAAAAG/rf9U=")</f>
        <v>#REF!</v>
      </c>
      <c r="HG3" t="e">
        <f>AND(#REF!,"AAAAAG/rf9Y=")</f>
        <v>#REF!</v>
      </c>
      <c r="HH3" t="e">
        <f>AND(#REF!,"AAAAAG/rf9c=")</f>
        <v>#REF!</v>
      </c>
      <c r="HI3" t="e">
        <f>AND(#REF!,"AAAAAG/rf9g=")</f>
        <v>#REF!</v>
      </c>
      <c r="HJ3" t="e">
        <f>AND(#REF!,"AAAAAG/rf9k=")</f>
        <v>#REF!</v>
      </c>
      <c r="HK3" t="e">
        <f>AND(#REF!,"AAAAAG/rf9o=")</f>
        <v>#REF!</v>
      </c>
      <c r="HL3" t="e">
        <f>IF(#REF!,"AAAAAG/rf9s=",0)</f>
        <v>#REF!</v>
      </c>
      <c r="HM3" t="e">
        <f>AND(#REF!,"AAAAAG/rf9w=")</f>
        <v>#REF!</v>
      </c>
      <c r="HN3" t="e">
        <f>AND(#REF!,"AAAAAG/rf90=")</f>
        <v>#REF!</v>
      </c>
      <c r="HO3" t="e">
        <f>AND(#REF!,"AAAAAG/rf94=")</f>
        <v>#REF!</v>
      </c>
      <c r="HP3" t="e">
        <f>AND(#REF!,"AAAAAG/rf98=")</f>
        <v>#REF!</v>
      </c>
      <c r="HQ3" t="e">
        <f>AND(#REF!,"AAAAAG/rf+A=")</f>
        <v>#REF!</v>
      </c>
      <c r="HR3" t="e">
        <f>AND(#REF!,"AAAAAG/rf+E=")</f>
        <v>#REF!</v>
      </c>
      <c r="HS3" t="e">
        <f>AND(#REF!,"AAAAAG/rf+I=")</f>
        <v>#REF!</v>
      </c>
      <c r="HT3" t="e">
        <f>AND(#REF!,"AAAAAG/rf+M=")</f>
        <v>#REF!</v>
      </c>
      <c r="HU3" t="e">
        <f>AND(#REF!,"AAAAAG/rf+Q=")</f>
        <v>#REF!</v>
      </c>
      <c r="HV3" t="e">
        <f>AND(#REF!,"AAAAAG/rf+U=")</f>
        <v>#REF!</v>
      </c>
      <c r="HW3" t="e">
        <f>IF(#REF!,"AAAAAG/rf+Y=",0)</f>
        <v>#REF!</v>
      </c>
      <c r="HX3" t="e">
        <f>IF(#REF!,"AAAAAG/rf+c=",0)</f>
        <v>#REF!</v>
      </c>
      <c r="HY3" t="e">
        <f>IF(#REF!,"AAAAAG/rf+g=",0)</f>
        <v>#REF!</v>
      </c>
      <c r="HZ3" t="e">
        <f>IF(#REF!,"AAAAAG/rf+k=",0)</f>
        <v>#REF!</v>
      </c>
      <c r="IA3" t="e">
        <f>IF(#REF!,"AAAAAG/rf+o=",0)</f>
        <v>#REF!</v>
      </c>
      <c r="IB3" t="e">
        <f>IF(#REF!,"AAAAAG/rf+s=",0)</f>
        <v>#REF!</v>
      </c>
      <c r="IC3" t="e">
        <f>IF(#REF!,"AAAAAG/rf+w=",0)</f>
        <v>#REF!</v>
      </c>
      <c r="ID3" t="e">
        <f>IF(#REF!,"AAAAAG/rf+0=",0)</f>
        <v>#REF!</v>
      </c>
      <c r="IE3" t="e">
        <f>IF(#REF!,"AAAAAG/rf+4=",0)</f>
        <v>#REF!</v>
      </c>
      <c r="IF3" t="e">
        <f>IF(#REF!,"AAAAAG/rf+8=",0)</f>
        <v>#REF!</v>
      </c>
      <c r="IG3">
        <f>IF(ResolverReservedData!1:1,"AAAAAG/rf/A=",0)</f>
        <v>0</v>
      </c>
      <c r="IH3" t="e">
        <f>AND(ResolverReservedData!#REF!,"AAAAAG/rf/E=")</f>
        <v>#REF!</v>
      </c>
      <c r="II3" t="e">
        <f>AND(ResolverReservedData!#REF!,"AAAAAG/rf/I=")</f>
        <v>#REF!</v>
      </c>
      <c r="IJ3">
        <f>IF(ResolverReservedData!2:2,"AAAAAG/rf/M=",0)</f>
        <v>0</v>
      </c>
      <c r="IK3" t="e">
        <f>AND(ResolverReservedData!#REF!,"AAAAAG/rf/Q=")</f>
        <v>#REF!</v>
      </c>
      <c r="IL3" t="e">
        <f>AND(ResolverReservedData!#REF!,"AAAAAG/rf/U=")</f>
        <v>#REF!</v>
      </c>
      <c r="IM3">
        <f>IF(ResolverReservedData!3:3,"AAAAAG/rf/Y=",0)</f>
        <v>0</v>
      </c>
      <c r="IN3" t="e">
        <f>AND(ResolverReservedData!#REF!,"AAAAAG/rf/c=")</f>
        <v>#REF!</v>
      </c>
      <c r="IO3">
        <f>IF(ResolverReservedData!4:4,"AAAAAG/rf/g=",0)</f>
        <v>0</v>
      </c>
      <c r="IP3" t="e">
        <f>AND(ResolverReservedData!#REF!,"AAAAAG/rf/k=")</f>
        <v>#REF!</v>
      </c>
      <c r="IQ3">
        <f>IF(ResolverReservedData!5:5,"AAAAAG/rf/o=",0)</f>
        <v>0</v>
      </c>
      <c r="IR3" t="e">
        <f>AND(ResolverReservedData!#REF!,"AAAAAG/rf/s=")</f>
        <v>#REF!</v>
      </c>
      <c r="IS3" t="e">
        <f>IF(ResolverReservedData!#REF!,"AAAAAG/rf/w=",0)</f>
        <v>#REF!</v>
      </c>
      <c r="IT3" t="e">
        <f ca="1">IF(ResolverReservedData!A:A,"AAAAAG/rf/0=",0)</f>
        <v>#NAME?</v>
      </c>
      <c r="IU3" t="e">
        <f>IF(#REF!,"AAAAAG/rf/4=",0)</f>
        <v>#REF!</v>
      </c>
      <c r="IV3" t="e">
        <f>AND(#REF!,"AAAAAG/rf/8=")</f>
        <v>#REF!</v>
      </c>
    </row>
    <row r="4" spans="1:256">
      <c r="A4" t="e">
        <f>AND(#REF!,"AAAAAD/d/QA=")</f>
        <v>#REF!</v>
      </c>
      <c r="B4" t="e">
        <f>AND(#REF!,"AAAAAD/d/QE=")</f>
        <v>#REF!</v>
      </c>
      <c r="C4" t="e">
        <f>AND(#REF!,"AAAAAD/d/QI=")</f>
        <v>#REF!</v>
      </c>
      <c r="D4" t="e">
        <f>AND(#REF!,"AAAAAD/d/QM=")</f>
        <v>#REF!</v>
      </c>
      <c r="E4" t="e">
        <f>AND(#REF!,"AAAAAD/d/QQ=")</f>
        <v>#REF!</v>
      </c>
      <c r="F4" t="e">
        <f>AND(#REF!,"AAAAAD/d/QU=")</f>
        <v>#REF!</v>
      </c>
      <c r="G4" t="e">
        <f>AND(#REF!,"AAAAAD/d/QY=")</f>
        <v>#REF!</v>
      </c>
      <c r="H4" t="e">
        <f>AND(#REF!,"AAAAAD/d/Qc=")</f>
        <v>#REF!</v>
      </c>
      <c r="I4" t="e">
        <f>AND(#REF!,"AAAAAD/d/Qg=")</f>
        <v>#REF!</v>
      </c>
      <c r="J4" t="e">
        <f>IF(#REF!,"AAAAAD/d/Qk=",0)</f>
        <v>#REF!</v>
      </c>
      <c r="K4" t="e">
        <f>AND(#REF!,"AAAAAD/d/Qo=")</f>
        <v>#REF!</v>
      </c>
      <c r="L4" t="e">
        <f>AND(#REF!,"AAAAAD/d/Qs=")</f>
        <v>#REF!</v>
      </c>
      <c r="M4" t="e">
        <f>AND(#REF!,"AAAAAD/d/Qw=")</f>
        <v>#REF!</v>
      </c>
      <c r="N4" t="e">
        <f>AND(#REF!,"AAAAAD/d/Q0=")</f>
        <v>#REF!</v>
      </c>
      <c r="O4" t="e">
        <f>AND(#REF!,"AAAAAD/d/Q4=")</f>
        <v>#REF!</v>
      </c>
      <c r="P4" t="e">
        <f>AND(#REF!,"AAAAAD/d/Q8=")</f>
        <v>#REF!</v>
      </c>
      <c r="Q4" t="e">
        <f>AND(#REF!,"AAAAAD/d/RA=")</f>
        <v>#REF!</v>
      </c>
      <c r="R4" t="e">
        <f>AND(#REF!,"AAAAAD/d/RE=")</f>
        <v>#REF!</v>
      </c>
      <c r="S4" t="e">
        <f>AND(#REF!,"AAAAAD/d/RI=")</f>
        <v>#REF!</v>
      </c>
      <c r="T4" t="e">
        <f>AND(#REF!,"AAAAAD/d/RM=")</f>
        <v>#REF!</v>
      </c>
      <c r="U4" t="e">
        <f>IF(#REF!,"AAAAAD/d/RQ=",0)</f>
        <v>#REF!</v>
      </c>
      <c r="V4" t="e">
        <f>AND(#REF!,"AAAAAD/d/RU=")</f>
        <v>#REF!</v>
      </c>
      <c r="W4" t="e">
        <f>AND(#REF!,"AAAAAD/d/RY=")</f>
        <v>#REF!</v>
      </c>
      <c r="X4" t="e">
        <f>AND(#REF!,"AAAAAD/d/Rc=")</f>
        <v>#REF!</v>
      </c>
      <c r="Y4" t="e">
        <f>AND(#REF!,"AAAAAD/d/Rg=")</f>
        <v>#REF!</v>
      </c>
      <c r="Z4" t="e">
        <f>AND(#REF!,"AAAAAD/d/Rk=")</f>
        <v>#REF!</v>
      </c>
      <c r="AA4" t="e">
        <f>AND(#REF!,"AAAAAD/d/Ro=")</f>
        <v>#REF!</v>
      </c>
      <c r="AB4" t="e">
        <f>AND(#REF!,"AAAAAD/d/Rs=")</f>
        <v>#REF!</v>
      </c>
      <c r="AC4" t="e">
        <f>AND(#REF!,"AAAAAD/d/Rw=")</f>
        <v>#REF!</v>
      </c>
      <c r="AD4" t="e">
        <f>AND(#REF!,"AAAAAD/d/R0=")</f>
        <v>#REF!</v>
      </c>
      <c r="AE4" t="e">
        <f>AND(#REF!,"AAAAAD/d/R4=")</f>
        <v>#REF!</v>
      </c>
      <c r="AF4" t="e">
        <f>IF(#REF!,"AAAAAD/d/R8=",0)</f>
        <v>#REF!</v>
      </c>
      <c r="AG4" t="e">
        <f>AND(#REF!,"AAAAAD/d/SA=")</f>
        <v>#REF!</v>
      </c>
      <c r="AH4" t="e">
        <f>AND(#REF!,"AAAAAD/d/SE=")</f>
        <v>#REF!</v>
      </c>
      <c r="AI4" t="e">
        <f>AND(#REF!,"AAAAAD/d/SI=")</f>
        <v>#REF!</v>
      </c>
      <c r="AJ4" t="e">
        <f>AND(#REF!,"AAAAAD/d/SM=")</f>
        <v>#REF!</v>
      </c>
      <c r="AK4" t="e">
        <f>AND(#REF!,"AAAAAD/d/SQ=")</f>
        <v>#REF!</v>
      </c>
      <c r="AL4" t="e">
        <f>AND(#REF!,"AAAAAD/d/SU=")</f>
        <v>#REF!</v>
      </c>
      <c r="AM4" t="e">
        <f>AND(#REF!,"AAAAAD/d/SY=")</f>
        <v>#REF!</v>
      </c>
      <c r="AN4" t="e">
        <f>AND(#REF!,"AAAAAD/d/Sc=")</f>
        <v>#REF!</v>
      </c>
      <c r="AO4" t="e">
        <f>AND(#REF!,"AAAAAD/d/Sg=")</f>
        <v>#REF!</v>
      </c>
      <c r="AP4" t="e">
        <f>AND(#REF!,"AAAAAD/d/Sk=")</f>
        <v>#REF!</v>
      </c>
      <c r="AQ4" t="e">
        <f>IF(#REF!,"AAAAAD/d/So=",0)</f>
        <v>#REF!</v>
      </c>
      <c r="AR4" t="e">
        <f>AND(#REF!,"AAAAAD/d/Ss=")</f>
        <v>#REF!</v>
      </c>
      <c r="AS4" t="e">
        <f>AND(#REF!,"AAAAAD/d/Sw=")</f>
        <v>#REF!</v>
      </c>
      <c r="AT4" t="e">
        <f>AND(#REF!,"AAAAAD/d/S0=")</f>
        <v>#REF!</v>
      </c>
      <c r="AU4" t="e">
        <f>AND(#REF!,"AAAAAD/d/S4=")</f>
        <v>#REF!</v>
      </c>
      <c r="AV4" t="e">
        <f>AND(#REF!,"AAAAAD/d/S8=")</f>
        <v>#REF!</v>
      </c>
      <c r="AW4" t="e">
        <f>AND(#REF!,"AAAAAD/d/TA=")</f>
        <v>#REF!</v>
      </c>
      <c r="AX4" t="e">
        <f>AND(#REF!,"AAAAAD/d/TE=")</f>
        <v>#REF!</v>
      </c>
      <c r="AY4" t="e">
        <f>AND(#REF!,"AAAAAD/d/TI=")</f>
        <v>#REF!</v>
      </c>
      <c r="AZ4" t="e">
        <f>AND(#REF!,"AAAAAD/d/TM=")</f>
        <v>#REF!</v>
      </c>
      <c r="BA4" t="e">
        <f>AND(#REF!,"AAAAAD/d/TQ=")</f>
        <v>#REF!</v>
      </c>
      <c r="BB4" t="e">
        <f>IF(#REF!,"AAAAAD/d/TU=",0)</f>
        <v>#REF!</v>
      </c>
      <c r="BC4" t="e">
        <f>AND(#REF!,"AAAAAD/d/TY=")</f>
        <v>#REF!</v>
      </c>
      <c r="BD4" t="e">
        <f>AND(#REF!,"AAAAAD/d/Tc=")</f>
        <v>#REF!</v>
      </c>
      <c r="BE4" t="e">
        <f>AND(#REF!,"AAAAAD/d/Tg=")</f>
        <v>#REF!</v>
      </c>
      <c r="BF4" t="e">
        <f>AND(#REF!,"AAAAAD/d/Tk=")</f>
        <v>#REF!</v>
      </c>
      <c r="BG4" t="e">
        <f>AND(#REF!,"AAAAAD/d/To=")</f>
        <v>#REF!</v>
      </c>
      <c r="BH4" t="e">
        <f>AND(#REF!,"AAAAAD/d/Ts=")</f>
        <v>#REF!</v>
      </c>
      <c r="BI4" t="e">
        <f>AND(#REF!,"AAAAAD/d/Tw=")</f>
        <v>#REF!</v>
      </c>
      <c r="BJ4" t="e">
        <f>AND(#REF!,"AAAAAD/d/T0=")</f>
        <v>#REF!</v>
      </c>
      <c r="BK4" t="e">
        <f>AND(#REF!,"AAAAAD/d/T4=")</f>
        <v>#REF!</v>
      </c>
      <c r="BL4" t="e">
        <f>AND(#REF!,"AAAAAD/d/T8=")</f>
        <v>#REF!</v>
      </c>
      <c r="BM4" t="e">
        <f>IF(#REF!,"AAAAAD/d/UA=",0)</f>
        <v>#REF!</v>
      </c>
      <c r="BN4" t="e">
        <f>AND(#REF!,"AAAAAD/d/UE=")</f>
        <v>#REF!</v>
      </c>
      <c r="BO4" t="e">
        <f>AND(#REF!,"AAAAAD/d/UI=")</f>
        <v>#REF!</v>
      </c>
      <c r="BP4" t="e">
        <f>AND(#REF!,"AAAAAD/d/UM=")</f>
        <v>#REF!</v>
      </c>
      <c r="BQ4" t="e">
        <f>AND(#REF!,"AAAAAD/d/UQ=")</f>
        <v>#REF!</v>
      </c>
      <c r="BR4" t="e">
        <f>AND(#REF!,"AAAAAD/d/UU=")</f>
        <v>#REF!</v>
      </c>
      <c r="BS4" t="e">
        <f>AND(#REF!,"AAAAAD/d/UY=")</f>
        <v>#REF!</v>
      </c>
      <c r="BT4" t="e">
        <f>AND(#REF!,"AAAAAD/d/Uc=")</f>
        <v>#REF!</v>
      </c>
      <c r="BU4" t="e">
        <f>AND(#REF!,"AAAAAD/d/Ug=")</f>
        <v>#REF!</v>
      </c>
      <c r="BV4" t="e">
        <f>AND(#REF!,"AAAAAD/d/Uk=")</f>
        <v>#REF!</v>
      </c>
      <c r="BW4" t="e">
        <f>AND(#REF!,"AAAAAD/d/Uo=")</f>
        <v>#REF!</v>
      </c>
      <c r="BX4" t="e">
        <f>IF(#REF!,"AAAAAD/d/Us=",0)</f>
        <v>#REF!</v>
      </c>
      <c r="BY4" t="e">
        <f>AND(#REF!,"AAAAAD/d/Uw=")</f>
        <v>#REF!</v>
      </c>
      <c r="BZ4" t="e">
        <f>AND(#REF!,"AAAAAD/d/U0=")</f>
        <v>#REF!</v>
      </c>
      <c r="CA4" t="e">
        <f>AND(#REF!,"AAAAAD/d/U4=")</f>
        <v>#REF!</v>
      </c>
      <c r="CB4" t="e">
        <f>AND(#REF!,"AAAAAD/d/U8=")</f>
        <v>#REF!</v>
      </c>
      <c r="CC4" t="e">
        <f>AND(#REF!,"AAAAAD/d/VA=")</f>
        <v>#REF!</v>
      </c>
      <c r="CD4" t="e">
        <f>AND(#REF!,"AAAAAD/d/VE=")</f>
        <v>#REF!</v>
      </c>
      <c r="CE4" t="e">
        <f>AND(#REF!,"AAAAAD/d/VI=")</f>
        <v>#REF!</v>
      </c>
      <c r="CF4" t="e">
        <f>AND(#REF!,"AAAAAD/d/VM=")</f>
        <v>#REF!</v>
      </c>
      <c r="CG4" t="e">
        <f>AND(#REF!,"AAAAAD/d/VQ=")</f>
        <v>#REF!</v>
      </c>
      <c r="CH4" t="e">
        <f>AND(#REF!,"AAAAAD/d/VU=")</f>
        <v>#REF!</v>
      </c>
      <c r="CI4" t="e">
        <f>IF(#REF!,"AAAAAD/d/VY=",0)</f>
        <v>#REF!</v>
      </c>
      <c r="CJ4" t="e">
        <f>AND(#REF!,"AAAAAD/d/Vc=")</f>
        <v>#REF!</v>
      </c>
      <c r="CK4" t="e">
        <f>AND(#REF!,"AAAAAD/d/Vg=")</f>
        <v>#REF!</v>
      </c>
      <c r="CL4" t="e">
        <f>AND(#REF!,"AAAAAD/d/Vk=")</f>
        <v>#REF!</v>
      </c>
      <c r="CM4" t="e">
        <f>AND(#REF!,"AAAAAD/d/Vo=")</f>
        <v>#REF!</v>
      </c>
      <c r="CN4" t="e">
        <f>AND(#REF!,"AAAAAD/d/Vs=")</f>
        <v>#REF!</v>
      </c>
      <c r="CO4" t="e">
        <f>AND(#REF!,"AAAAAD/d/Vw=")</f>
        <v>#REF!</v>
      </c>
      <c r="CP4" t="e">
        <f>AND(#REF!,"AAAAAD/d/V0=")</f>
        <v>#REF!</v>
      </c>
      <c r="CQ4" t="e">
        <f>AND(#REF!,"AAAAAD/d/V4=")</f>
        <v>#REF!</v>
      </c>
      <c r="CR4" t="e">
        <f>AND(#REF!,"AAAAAD/d/V8=")</f>
        <v>#REF!</v>
      </c>
      <c r="CS4" t="e">
        <f>AND(#REF!,"AAAAAD/d/WA=")</f>
        <v>#REF!</v>
      </c>
      <c r="CT4" t="e">
        <f>IF(#REF!,"AAAAAD/d/WE=",0)</f>
        <v>#REF!</v>
      </c>
      <c r="CU4" t="e">
        <f>AND(#REF!,"AAAAAD/d/WI=")</f>
        <v>#REF!</v>
      </c>
      <c r="CV4" t="e">
        <f>AND(#REF!,"AAAAAD/d/WM=")</f>
        <v>#REF!</v>
      </c>
      <c r="CW4" t="e">
        <f>AND(#REF!,"AAAAAD/d/WQ=")</f>
        <v>#REF!</v>
      </c>
      <c r="CX4" t="e">
        <f>AND(#REF!,"AAAAAD/d/WU=")</f>
        <v>#REF!</v>
      </c>
      <c r="CY4" t="e">
        <f>AND(#REF!,"AAAAAD/d/WY=")</f>
        <v>#REF!</v>
      </c>
      <c r="CZ4" t="e">
        <f>AND(#REF!,"AAAAAD/d/Wc=")</f>
        <v>#REF!</v>
      </c>
      <c r="DA4" t="e">
        <f>AND(#REF!,"AAAAAD/d/Wg=")</f>
        <v>#REF!</v>
      </c>
      <c r="DB4" t="e">
        <f>AND(#REF!,"AAAAAD/d/Wk=")</f>
        <v>#REF!</v>
      </c>
      <c r="DC4" t="e">
        <f>AND(#REF!,"AAAAAD/d/Wo=")</f>
        <v>#REF!</v>
      </c>
      <c r="DD4" t="e">
        <f>AND(#REF!,"AAAAAD/d/Ws=")</f>
        <v>#REF!</v>
      </c>
      <c r="DE4" t="e">
        <f>IF(#REF!,"AAAAAD/d/Ww=",0)</f>
        <v>#REF!</v>
      </c>
      <c r="DF4" t="e">
        <f>AND(#REF!,"AAAAAD/d/W0=")</f>
        <v>#REF!</v>
      </c>
      <c r="DG4" t="e">
        <f>AND(#REF!,"AAAAAD/d/W4=")</f>
        <v>#REF!</v>
      </c>
      <c r="DH4" t="e">
        <f>AND(#REF!,"AAAAAD/d/W8=")</f>
        <v>#REF!</v>
      </c>
      <c r="DI4" t="e">
        <f>AND(#REF!,"AAAAAD/d/XA=")</f>
        <v>#REF!</v>
      </c>
      <c r="DJ4" t="e">
        <f>AND(#REF!,"AAAAAD/d/XE=")</f>
        <v>#REF!</v>
      </c>
      <c r="DK4" t="e">
        <f>AND(#REF!,"AAAAAD/d/XI=")</f>
        <v>#REF!</v>
      </c>
      <c r="DL4" t="e">
        <f>AND(#REF!,"AAAAAD/d/XM=")</f>
        <v>#REF!</v>
      </c>
      <c r="DM4" t="e">
        <f>AND(#REF!,"AAAAAD/d/XQ=")</f>
        <v>#REF!</v>
      </c>
      <c r="DN4" t="e">
        <f>AND(#REF!,"AAAAAD/d/XU=")</f>
        <v>#REF!</v>
      </c>
      <c r="DO4" t="e">
        <f>AND(#REF!,"AAAAAD/d/XY=")</f>
        <v>#REF!</v>
      </c>
      <c r="DP4" t="e">
        <f>IF(#REF!,"AAAAAD/d/Xc=",0)</f>
        <v>#REF!</v>
      </c>
      <c r="DQ4" t="e">
        <f>AND(#REF!,"AAAAAD/d/Xg=")</f>
        <v>#REF!</v>
      </c>
      <c r="DR4" t="e">
        <f>AND(#REF!,"AAAAAD/d/Xk=")</f>
        <v>#REF!</v>
      </c>
      <c r="DS4" t="e">
        <f>AND(#REF!,"AAAAAD/d/Xo=")</f>
        <v>#REF!</v>
      </c>
      <c r="DT4" t="e">
        <f>AND(#REF!,"AAAAAD/d/Xs=")</f>
        <v>#REF!</v>
      </c>
      <c r="DU4" t="e">
        <f>AND(#REF!,"AAAAAD/d/Xw=")</f>
        <v>#REF!</v>
      </c>
      <c r="DV4" t="e">
        <f>AND(#REF!,"AAAAAD/d/X0=")</f>
        <v>#REF!</v>
      </c>
      <c r="DW4" t="e">
        <f>AND(#REF!,"AAAAAD/d/X4=")</f>
        <v>#REF!</v>
      </c>
      <c r="DX4" t="e">
        <f>AND(#REF!,"AAAAAD/d/X8=")</f>
        <v>#REF!</v>
      </c>
      <c r="DY4" t="e">
        <f>AND(#REF!,"AAAAAD/d/YA=")</f>
        <v>#REF!</v>
      </c>
      <c r="DZ4" t="e">
        <f>AND(#REF!,"AAAAAD/d/YE=")</f>
        <v>#REF!</v>
      </c>
      <c r="EA4" t="e">
        <f>IF(#REF!,"AAAAAD/d/YI=",0)</f>
        <v>#REF!</v>
      </c>
      <c r="EB4" t="e">
        <f>AND(#REF!,"AAAAAD/d/YM=")</f>
        <v>#REF!</v>
      </c>
      <c r="EC4" t="e">
        <f>AND(#REF!,"AAAAAD/d/YQ=")</f>
        <v>#REF!</v>
      </c>
      <c r="ED4" t="e">
        <f>AND(#REF!,"AAAAAD/d/YU=")</f>
        <v>#REF!</v>
      </c>
      <c r="EE4" t="e">
        <f>AND(#REF!,"AAAAAD/d/YY=")</f>
        <v>#REF!</v>
      </c>
      <c r="EF4" t="e">
        <f>AND(#REF!,"AAAAAD/d/Yc=")</f>
        <v>#REF!</v>
      </c>
      <c r="EG4" t="e">
        <f>AND(#REF!,"AAAAAD/d/Yg=")</f>
        <v>#REF!</v>
      </c>
      <c r="EH4" t="e">
        <f>AND(#REF!,"AAAAAD/d/Yk=")</f>
        <v>#REF!</v>
      </c>
      <c r="EI4" t="e">
        <f>AND(#REF!,"AAAAAD/d/Yo=")</f>
        <v>#REF!</v>
      </c>
      <c r="EJ4" t="e">
        <f>AND(#REF!,"AAAAAD/d/Ys=")</f>
        <v>#REF!</v>
      </c>
      <c r="EK4" t="e">
        <f>AND(#REF!,"AAAAAD/d/Yw=")</f>
        <v>#REF!</v>
      </c>
      <c r="EL4" t="e">
        <f>IF(#REF!,"AAAAAD/d/Y0=",0)</f>
        <v>#REF!</v>
      </c>
      <c r="EM4" t="e">
        <f>AND(#REF!,"AAAAAD/d/Y4=")</f>
        <v>#REF!</v>
      </c>
      <c r="EN4" t="e">
        <f>AND(#REF!,"AAAAAD/d/Y8=")</f>
        <v>#REF!</v>
      </c>
      <c r="EO4" t="e">
        <f>AND(#REF!,"AAAAAD/d/ZA=")</f>
        <v>#REF!</v>
      </c>
      <c r="EP4" t="e">
        <f>AND(#REF!,"AAAAAD/d/ZE=")</f>
        <v>#REF!</v>
      </c>
      <c r="EQ4" t="e">
        <f>AND(#REF!,"AAAAAD/d/ZI=")</f>
        <v>#REF!</v>
      </c>
      <c r="ER4" t="e">
        <f>AND(#REF!,"AAAAAD/d/ZM=")</f>
        <v>#REF!</v>
      </c>
      <c r="ES4" t="e">
        <f>AND(#REF!,"AAAAAD/d/ZQ=")</f>
        <v>#REF!</v>
      </c>
      <c r="ET4" t="e">
        <f>AND(#REF!,"AAAAAD/d/ZU=")</f>
        <v>#REF!</v>
      </c>
      <c r="EU4" t="e">
        <f>AND(#REF!,"AAAAAD/d/ZY=")</f>
        <v>#REF!</v>
      </c>
      <c r="EV4" t="e">
        <f>AND(#REF!,"AAAAAD/d/Zc=")</f>
        <v>#REF!</v>
      </c>
      <c r="EW4" t="e">
        <f>IF(#REF!,"AAAAAD/d/Zg=",0)</f>
        <v>#REF!</v>
      </c>
      <c r="EX4" t="e">
        <f>AND(#REF!,"AAAAAD/d/Zk=")</f>
        <v>#REF!</v>
      </c>
      <c r="EY4" t="e">
        <f>AND(#REF!,"AAAAAD/d/Zo=")</f>
        <v>#REF!</v>
      </c>
      <c r="EZ4" t="e">
        <f>AND(#REF!,"AAAAAD/d/Zs=")</f>
        <v>#REF!</v>
      </c>
      <c r="FA4" t="e">
        <f>AND(#REF!,"AAAAAD/d/Zw=")</f>
        <v>#REF!</v>
      </c>
      <c r="FB4" t="e">
        <f>AND(#REF!,"AAAAAD/d/Z0=")</f>
        <v>#REF!</v>
      </c>
      <c r="FC4" t="e">
        <f>AND(#REF!,"AAAAAD/d/Z4=")</f>
        <v>#REF!</v>
      </c>
      <c r="FD4" t="e">
        <f>AND(#REF!,"AAAAAD/d/Z8=")</f>
        <v>#REF!</v>
      </c>
      <c r="FE4" t="e">
        <f>AND(#REF!,"AAAAAD/d/aA=")</f>
        <v>#REF!</v>
      </c>
      <c r="FF4" t="e">
        <f>AND(#REF!,"AAAAAD/d/aE=")</f>
        <v>#REF!</v>
      </c>
      <c r="FG4" t="e">
        <f>AND(#REF!,"AAAAAD/d/aI=")</f>
        <v>#REF!</v>
      </c>
      <c r="FH4" t="e">
        <f>IF(#REF!,"AAAAAD/d/aM=",0)</f>
        <v>#REF!</v>
      </c>
      <c r="FI4" t="e">
        <f>AND(#REF!,"AAAAAD/d/aQ=")</f>
        <v>#REF!</v>
      </c>
      <c r="FJ4" t="e">
        <f>AND(#REF!,"AAAAAD/d/aU=")</f>
        <v>#REF!</v>
      </c>
      <c r="FK4" t="e">
        <f>AND(#REF!,"AAAAAD/d/aY=")</f>
        <v>#REF!</v>
      </c>
      <c r="FL4" t="e">
        <f>AND(#REF!,"AAAAAD/d/ac=")</f>
        <v>#REF!</v>
      </c>
      <c r="FM4" t="e">
        <f>AND(#REF!,"AAAAAD/d/ag=")</f>
        <v>#REF!</v>
      </c>
      <c r="FN4" t="e">
        <f>AND(#REF!,"AAAAAD/d/ak=")</f>
        <v>#REF!</v>
      </c>
      <c r="FO4" t="e">
        <f>AND(#REF!,"AAAAAD/d/ao=")</f>
        <v>#REF!</v>
      </c>
      <c r="FP4" t="e">
        <f>AND(#REF!,"AAAAAD/d/as=")</f>
        <v>#REF!</v>
      </c>
      <c r="FQ4" t="e">
        <f>AND(#REF!,"AAAAAD/d/aw=")</f>
        <v>#REF!</v>
      </c>
      <c r="FR4" t="e">
        <f>AND(#REF!,"AAAAAD/d/a0=")</f>
        <v>#REF!</v>
      </c>
      <c r="FS4" t="e">
        <f>IF(#REF!,"AAAAAD/d/a4=",0)</f>
        <v>#REF!</v>
      </c>
      <c r="FT4" t="e">
        <f>AND(#REF!,"AAAAAD/d/a8=")</f>
        <v>#REF!</v>
      </c>
      <c r="FU4" t="e">
        <f>AND(#REF!,"AAAAAD/d/bA=")</f>
        <v>#REF!</v>
      </c>
      <c r="FV4" t="e">
        <f>AND(#REF!,"AAAAAD/d/bE=")</f>
        <v>#REF!</v>
      </c>
      <c r="FW4" t="e">
        <f>AND(#REF!,"AAAAAD/d/bI=")</f>
        <v>#REF!</v>
      </c>
      <c r="FX4" t="e">
        <f>AND(#REF!,"AAAAAD/d/bM=")</f>
        <v>#REF!</v>
      </c>
      <c r="FY4" t="e">
        <f>AND(#REF!,"AAAAAD/d/bQ=")</f>
        <v>#REF!</v>
      </c>
      <c r="FZ4" t="e">
        <f>AND(#REF!,"AAAAAD/d/bU=")</f>
        <v>#REF!</v>
      </c>
      <c r="GA4" t="e">
        <f>AND(#REF!,"AAAAAD/d/bY=")</f>
        <v>#REF!</v>
      </c>
      <c r="GB4" t="e">
        <f>AND(#REF!,"AAAAAD/d/bc=")</f>
        <v>#REF!</v>
      </c>
      <c r="GC4" t="e">
        <f>AND(#REF!,"AAAAAD/d/bg=")</f>
        <v>#REF!</v>
      </c>
      <c r="GD4" t="e">
        <f>IF(#REF!,"AAAAAD/d/bk=",0)</f>
        <v>#REF!</v>
      </c>
      <c r="GE4" t="e">
        <f>AND(#REF!,"AAAAAD/d/bo=")</f>
        <v>#REF!</v>
      </c>
      <c r="GF4" t="e">
        <f>AND(#REF!,"AAAAAD/d/bs=")</f>
        <v>#REF!</v>
      </c>
      <c r="GG4" t="e">
        <f>AND(#REF!,"AAAAAD/d/bw=")</f>
        <v>#REF!</v>
      </c>
      <c r="GH4" t="e">
        <f>AND(#REF!,"AAAAAD/d/b0=")</f>
        <v>#REF!</v>
      </c>
      <c r="GI4" t="e">
        <f>AND(#REF!,"AAAAAD/d/b4=")</f>
        <v>#REF!</v>
      </c>
      <c r="GJ4" t="e">
        <f>AND(#REF!,"AAAAAD/d/b8=")</f>
        <v>#REF!</v>
      </c>
      <c r="GK4" t="e">
        <f>AND(#REF!,"AAAAAD/d/cA=")</f>
        <v>#REF!</v>
      </c>
      <c r="GL4" t="e">
        <f>AND(#REF!,"AAAAAD/d/cE=")</f>
        <v>#REF!</v>
      </c>
      <c r="GM4" t="e">
        <f>AND(#REF!,"AAAAAD/d/cI=")</f>
        <v>#REF!</v>
      </c>
      <c r="GN4" t="e">
        <f>AND(#REF!,"AAAAAD/d/cM=")</f>
        <v>#REF!</v>
      </c>
      <c r="GO4" t="e">
        <f>IF(#REF!,"AAAAAD/d/cQ=",0)</f>
        <v>#REF!</v>
      </c>
      <c r="GP4" t="e">
        <f>AND(#REF!,"AAAAAD/d/cU=")</f>
        <v>#REF!</v>
      </c>
      <c r="GQ4" t="e">
        <f>AND(#REF!,"AAAAAD/d/cY=")</f>
        <v>#REF!</v>
      </c>
      <c r="GR4" t="e">
        <f>AND(#REF!,"AAAAAD/d/cc=")</f>
        <v>#REF!</v>
      </c>
      <c r="GS4" t="e">
        <f>AND(#REF!,"AAAAAD/d/cg=")</f>
        <v>#REF!</v>
      </c>
      <c r="GT4" t="e">
        <f>AND(#REF!,"AAAAAD/d/ck=")</f>
        <v>#REF!</v>
      </c>
      <c r="GU4" t="e">
        <f>AND(#REF!,"AAAAAD/d/co=")</f>
        <v>#REF!</v>
      </c>
      <c r="GV4" t="e">
        <f>AND(#REF!,"AAAAAD/d/cs=")</f>
        <v>#REF!</v>
      </c>
      <c r="GW4" t="e">
        <f>AND(#REF!,"AAAAAD/d/cw=")</f>
        <v>#REF!</v>
      </c>
      <c r="GX4" t="e">
        <f>AND(#REF!,"AAAAAD/d/c0=")</f>
        <v>#REF!</v>
      </c>
      <c r="GY4" t="e">
        <f>AND(#REF!,"AAAAAD/d/c4=")</f>
        <v>#REF!</v>
      </c>
      <c r="GZ4" t="e">
        <f>IF(#REF!,"AAAAAD/d/c8=",0)</f>
        <v>#REF!</v>
      </c>
      <c r="HA4" t="e">
        <f>AND(#REF!,"AAAAAD/d/dA=")</f>
        <v>#REF!</v>
      </c>
      <c r="HB4" t="e">
        <f>AND(#REF!,"AAAAAD/d/dE=")</f>
        <v>#REF!</v>
      </c>
      <c r="HC4" t="e">
        <f>AND(#REF!,"AAAAAD/d/dI=")</f>
        <v>#REF!</v>
      </c>
      <c r="HD4" t="e">
        <f>AND(#REF!,"AAAAAD/d/dM=")</f>
        <v>#REF!</v>
      </c>
      <c r="HE4" t="e">
        <f>AND(#REF!,"AAAAAD/d/dQ=")</f>
        <v>#REF!</v>
      </c>
      <c r="HF4" t="e">
        <f>AND(#REF!,"AAAAAD/d/dU=")</f>
        <v>#REF!</v>
      </c>
      <c r="HG4" t="e">
        <f>AND(#REF!,"AAAAAD/d/dY=")</f>
        <v>#REF!</v>
      </c>
      <c r="HH4" t="e">
        <f>AND(#REF!,"AAAAAD/d/dc=")</f>
        <v>#REF!</v>
      </c>
      <c r="HI4" t="e">
        <f>AND(#REF!,"AAAAAD/d/dg=")</f>
        <v>#REF!</v>
      </c>
      <c r="HJ4" t="e">
        <f>AND(#REF!,"AAAAAD/d/dk=")</f>
        <v>#REF!</v>
      </c>
      <c r="HK4" t="e">
        <f>IF(#REF!,"AAAAAD/d/do=",0)</f>
        <v>#REF!</v>
      </c>
      <c r="HL4" t="e">
        <f>AND(#REF!,"AAAAAD/d/ds=")</f>
        <v>#REF!</v>
      </c>
      <c r="HM4" t="e">
        <f>AND(#REF!,"AAAAAD/d/dw=")</f>
        <v>#REF!</v>
      </c>
      <c r="HN4" t="e">
        <f>AND(#REF!,"AAAAAD/d/d0=")</f>
        <v>#REF!</v>
      </c>
      <c r="HO4" t="e">
        <f>AND(#REF!,"AAAAAD/d/d4=")</f>
        <v>#REF!</v>
      </c>
      <c r="HP4" t="e">
        <f>AND(#REF!,"AAAAAD/d/d8=")</f>
        <v>#REF!</v>
      </c>
      <c r="HQ4" t="e">
        <f>AND(#REF!,"AAAAAD/d/eA=")</f>
        <v>#REF!</v>
      </c>
      <c r="HR4" t="e">
        <f>AND(#REF!,"AAAAAD/d/eE=")</f>
        <v>#REF!</v>
      </c>
      <c r="HS4" t="e">
        <f>AND(#REF!,"AAAAAD/d/eI=")</f>
        <v>#REF!</v>
      </c>
      <c r="HT4" t="e">
        <f>AND(#REF!,"AAAAAD/d/eM=")</f>
        <v>#REF!</v>
      </c>
      <c r="HU4" t="e">
        <f>AND(#REF!,"AAAAAD/d/eQ=")</f>
        <v>#REF!</v>
      </c>
      <c r="HV4" t="e">
        <f>IF(#REF!,"AAAAAD/d/eU=",0)</f>
        <v>#REF!</v>
      </c>
      <c r="HW4" t="e">
        <f>AND(#REF!,"AAAAAD/d/eY=")</f>
        <v>#REF!</v>
      </c>
      <c r="HX4" t="e">
        <f>AND(#REF!,"AAAAAD/d/ec=")</f>
        <v>#REF!</v>
      </c>
      <c r="HY4" t="e">
        <f>AND(#REF!,"AAAAAD/d/eg=")</f>
        <v>#REF!</v>
      </c>
      <c r="HZ4" t="e">
        <f>AND(#REF!,"AAAAAD/d/ek=")</f>
        <v>#REF!</v>
      </c>
      <c r="IA4" t="e">
        <f>AND(#REF!,"AAAAAD/d/eo=")</f>
        <v>#REF!</v>
      </c>
      <c r="IB4" t="e">
        <f>AND(#REF!,"AAAAAD/d/es=")</f>
        <v>#REF!</v>
      </c>
      <c r="IC4" t="e">
        <f>AND(#REF!,"AAAAAD/d/ew=")</f>
        <v>#REF!</v>
      </c>
      <c r="ID4" t="e">
        <f>AND(#REF!,"AAAAAD/d/e0=")</f>
        <v>#REF!</v>
      </c>
      <c r="IE4" t="e">
        <f>AND(#REF!,"AAAAAD/d/e4=")</f>
        <v>#REF!</v>
      </c>
      <c r="IF4" t="e">
        <f>AND(#REF!,"AAAAAD/d/e8=")</f>
        <v>#REF!</v>
      </c>
      <c r="IG4" t="e">
        <f>IF(#REF!,"AAAAAD/d/fA=",0)</f>
        <v>#REF!</v>
      </c>
      <c r="IH4" t="e">
        <f>AND(#REF!,"AAAAAD/d/fE=")</f>
        <v>#REF!</v>
      </c>
      <c r="II4" t="e">
        <f>AND(#REF!,"AAAAAD/d/fI=")</f>
        <v>#REF!</v>
      </c>
      <c r="IJ4" t="e">
        <f>AND(#REF!,"AAAAAD/d/fM=")</f>
        <v>#REF!</v>
      </c>
      <c r="IK4" t="e">
        <f>AND(#REF!,"AAAAAD/d/fQ=")</f>
        <v>#REF!</v>
      </c>
      <c r="IL4" t="e">
        <f>AND(#REF!,"AAAAAD/d/fU=")</f>
        <v>#REF!</v>
      </c>
      <c r="IM4" t="e">
        <f>AND(#REF!,"AAAAAD/d/fY=")</f>
        <v>#REF!</v>
      </c>
      <c r="IN4" t="e">
        <f>AND(#REF!,"AAAAAD/d/fc=")</f>
        <v>#REF!</v>
      </c>
      <c r="IO4" t="e">
        <f>AND(#REF!,"AAAAAD/d/fg=")</f>
        <v>#REF!</v>
      </c>
      <c r="IP4" t="e">
        <f>AND(#REF!,"AAAAAD/d/fk=")</f>
        <v>#REF!</v>
      </c>
      <c r="IQ4" t="e">
        <f>AND(#REF!,"AAAAAD/d/fo=")</f>
        <v>#REF!</v>
      </c>
      <c r="IR4" t="e">
        <f>IF(#REF!,"AAAAAD/d/fs=",0)</f>
        <v>#REF!</v>
      </c>
      <c r="IS4" t="e">
        <f>AND(#REF!,"AAAAAD/d/fw=")</f>
        <v>#REF!</v>
      </c>
      <c r="IT4" t="e">
        <f>AND(#REF!,"AAAAAD/d/f0=")</f>
        <v>#REF!</v>
      </c>
      <c r="IU4" t="e">
        <f>AND(#REF!,"AAAAAD/d/f4=")</f>
        <v>#REF!</v>
      </c>
      <c r="IV4" t="e">
        <f>AND(#REF!,"AAAAAD/d/f8=")</f>
        <v>#REF!</v>
      </c>
    </row>
    <row r="5" spans="1:256">
      <c r="A5" t="e">
        <f>AND(#REF!,"AAAAAH/+1gA=")</f>
        <v>#REF!</v>
      </c>
      <c r="B5" t="e">
        <f>AND(#REF!,"AAAAAH/+1gE=")</f>
        <v>#REF!</v>
      </c>
      <c r="C5" t="e">
        <f>AND(#REF!,"AAAAAH/+1gI=")</f>
        <v>#REF!</v>
      </c>
      <c r="D5" t="e">
        <f>AND(#REF!,"AAAAAH/+1gM=")</f>
        <v>#REF!</v>
      </c>
      <c r="E5" t="e">
        <f>AND(#REF!,"AAAAAH/+1gQ=")</f>
        <v>#REF!</v>
      </c>
      <c r="F5" t="e">
        <f>AND(#REF!,"AAAAAH/+1gU=")</f>
        <v>#REF!</v>
      </c>
      <c r="G5" t="e">
        <f>IF(#REF!,"AAAAAH/+1gY=",0)</f>
        <v>#REF!</v>
      </c>
      <c r="H5" t="e">
        <f>AND(#REF!,"AAAAAH/+1gc=")</f>
        <v>#REF!</v>
      </c>
      <c r="I5" t="e">
        <f>AND(#REF!,"AAAAAH/+1gg=")</f>
        <v>#REF!</v>
      </c>
      <c r="J5" t="e">
        <f>AND(#REF!,"AAAAAH/+1gk=")</f>
        <v>#REF!</v>
      </c>
      <c r="K5" t="e">
        <f>AND(#REF!,"AAAAAH/+1go=")</f>
        <v>#REF!</v>
      </c>
      <c r="L5" t="e">
        <f>AND(#REF!,"AAAAAH/+1gs=")</f>
        <v>#REF!</v>
      </c>
      <c r="M5" t="e">
        <f>AND(#REF!,"AAAAAH/+1gw=")</f>
        <v>#REF!</v>
      </c>
      <c r="N5" t="e">
        <f>AND(#REF!,"AAAAAH/+1g0=")</f>
        <v>#REF!</v>
      </c>
      <c r="O5" t="e">
        <f>AND(#REF!,"AAAAAH/+1g4=")</f>
        <v>#REF!</v>
      </c>
      <c r="P5" t="e">
        <f>AND(#REF!,"AAAAAH/+1g8=")</f>
        <v>#REF!</v>
      </c>
      <c r="Q5" t="e">
        <f>AND(#REF!,"AAAAAH/+1hA=")</f>
        <v>#REF!</v>
      </c>
      <c r="R5" t="e">
        <f>IF(#REF!,"AAAAAH/+1hE=",0)</f>
        <v>#REF!</v>
      </c>
      <c r="S5" t="e">
        <f>AND(#REF!,"AAAAAH/+1hI=")</f>
        <v>#REF!</v>
      </c>
      <c r="T5" t="e">
        <f>AND(#REF!,"AAAAAH/+1hM=")</f>
        <v>#REF!</v>
      </c>
      <c r="U5" t="e">
        <f>AND(#REF!,"AAAAAH/+1hQ=")</f>
        <v>#REF!</v>
      </c>
      <c r="V5" t="e">
        <f>AND(#REF!,"AAAAAH/+1hU=")</f>
        <v>#REF!</v>
      </c>
      <c r="W5" t="e">
        <f>AND(#REF!,"AAAAAH/+1hY=")</f>
        <v>#REF!</v>
      </c>
      <c r="X5" t="e">
        <f>AND(#REF!,"AAAAAH/+1hc=")</f>
        <v>#REF!</v>
      </c>
      <c r="Y5" t="e">
        <f>AND(#REF!,"AAAAAH/+1hg=")</f>
        <v>#REF!</v>
      </c>
      <c r="Z5" t="e">
        <f>AND(#REF!,"AAAAAH/+1hk=")</f>
        <v>#REF!</v>
      </c>
      <c r="AA5" t="e">
        <f>AND(#REF!,"AAAAAH/+1ho=")</f>
        <v>#REF!</v>
      </c>
      <c r="AB5" t="e">
        <f>AND(#REF!,"AAAAAH/+1hs=")</f>
        <v>#REF!</v>
      </c>
      <c r="AC5" t="e">
        <f>IF(#REF!,"AAAAAH/+1hw=",0)</f>
        <v>#REF!</v>
      </c>
      <c r="AD5" t="e">
        <f>AND(#REF!,"AAAAAH/+1h0=")</f>
        <v>#REF!</v>
      </c>
      <c r="AE5" t="e">
        <f>AND(#REF!,"AAAAAH/+1h4=")</f>
        <v>#REF!</v>
      </c>
      <c r="AF5" t="e">
        <f>AND(#REF!,"AAAAAH/+1h8=")</f>
        <v>#REF!</v>
      </c>
      <c r="AG5" t="e">
        <f>AND(#REF!,"AAAAAH/+1iA=")</f>
        <v>#REF!</v>
      </c>
      <c r="AH5" t="e">
        <f>AND(#REF!,"AAAAAH/+1iE=")</f>
        <v>#REF!</v>
      </c>
      <c r="AI5" t="e">
        <f>AND(#REF!,"AAAAAH/+1iI=")</f>
        <v>#REF!</v>
      </c>
      <c r="AJ5" t="e">
        <f>AND(#REF!,"AAAAAH/+1iM=")</f>
        <v>#REF!</v>
      </c>
      <c r="AK5" t="e">
        <f>AND(#REF!,"AAAAAH/+1iQ=")</f>
        <v>#REF!</v>
      </c>
      <c r="AL5" t="e">
        <f>AND(#REF!,"AAAAAH/+1iU=")</f>
        <v>#REF!</v>
      </c>
      <c r="AM5" t="e">
        <f>AND(#REF!,"AAAAAH/+1iY=")</f>
        <v>#REF!</v>
      </c>
      <c r="AN5" t="e">
        <f>IF(#REF!,"AAAAAH/+1ic=",0)</f>
        <v>#REF!</v>
      </c>
      <c r="AO5" t="e">
        <f>AND(#REF!,"AAAAAH/+1ig=")</f>
        <v>#REF!</v>
      </c>
      <c r="AP5" t="e">
        <f>AND(#REF!,"AAAAAH/+1ik=")</f>
        <v>#REF!</v>
      </c>
      <c r="AQ5" t="e">
        <f>AND(#REF!,"AAAAAH/+1io=")</f>
        <v>#REF!</v>
      </c>
      <c r="AR5" t="e">
        <f>AND(#REF!,"AAAAAH/+1is=")</f>
        <v>#REF!</v>
      </c>
      <c r="AS5" t="e">
        <f>AND(#REF!,"AAAAAH/+1iw=")</f>
        <v>#REF!</v>
      </c>
      <c r="AT5" t="e">
        <f>AND(#REF!,"AAAAAH/+1i0=")</f>
        <v>#REF!</v>
      </c>
      <c r="AU5" t="e">
        <f>AND(#REF!,"AAAAAH/+1i4=")</f>
        <v>#REF!</v>
      </c>
      <c r="AV5" t="e">
        <f>AND(#REF!,"AAAAAH/+1i8=")</f>
        <v>#REF!</v>
      </c>
      <c r="AW5" t="e">
        <f>AND(#REF!,"AAAAAH/+1jA=")</f>
        <v>#REF!</v>
      </c>
      <c r="AX5" t="e">
        <f>AND(#REF!,"AAAAAH/+1jE=")</f>
        <v>#REF!</v>
      </c>
      <c r="AY5" t="e">
        <f>IF(#REF!,"AAAAAH/+1jI=",0)</f>
        <v>#REF!</v>
      </c>
      <c r="AZ5" t="e">
        <f>AND(#REF!,"AAAAAH/+1jM=")</f>
        <v>#REF!</v>
      </c>
      <c r="BA5" t="e">
        <f>AND(#REF!,"AAAAAH/+1jQ=")</f>
        <v>#REF!</v>
      </c>
      <c r="BB5" t="e">
        <f>AND(#REF!,"AAAAAH/+1jU=")</f>
        <v>#REF!</v>
      </c>
      <c r="BC5" t="e">
        <f>AND(#REF!,"AAAAAH/+1jY=")</f>
        <v>#REF!</v>
      </c>
      <c r="BD5" t="e">
        <f>AND(#REF!,"AAAAAH/+1jc=")</f>
        <v>#REF!</v>
      </c>
      <c r="BE5" t="e">
        <f>AND(#REF!,"AAAAAH/+1jg=")</f>
        <v>#REF!</v>
      </c>
      <c r="BF5" t="e">
        <f>AND(#REF!,"AAAAAH/+1jk=")</f>
        <v>#REF!</v>
      </c>
      <c r="BG5" t="e">
        <f>AND(#REF!,"AAAAAH/+1jo=")</f>
        <v>#REF!</v>
      </c>
      <c r="BH5" t="e">
        <f>AND(#REF!,"AAAAAH/+1js=")</f>
        <v>#REF!</v>
      </c>
      <c r="BI5" t="e">
        <f>AND(#REF!,"AAAAAH/+1jw=")</f>
        <v>#REF!</v>
      </c>
      <c r="BJ5" t="e">
        <f>IF(#REF!,"AAAAAH/+1j0=",0)</f>
        <v>#REF!</v>
      </c>
      <c r="BK5" t="e">
        <f>AND(#REF!,"AAAAAH/+1j4=")</f>
        <v>#REF!</v>
      </c>
      <c r="BL5" t="e">
        <f>AND(#REF!,"AAAAAH/+1j8=")</f>
        <v>#REF!</v>
      </c>
      <c r="BM5" t="e">
        <f>AND(#REF!,"AAAAAH/+1kA=")</f>
        <v>#REF!</v>
      </c>
      <c r="BN5" t="e">
        <f>AND(#REF!,"AAAAAH/+1kE=")</f>
        <v>#REF!</v>
      </c>
      <c r="BO5" t="e">
        <f>AND(#REF!,"AAAAAH/+1kI=")</f>
        <v>#REF!</v>
      </c>
      <c r="BP5" t="e">
        <f>AND(#REF!,"AAAAAH/+1kM=")</f>
        <v>#REF!</v>
      </c>
      <c r="BQ5" t="e">
        <f>AND(#REF!,"AAAAAH/+1kQ=")</f>
        <v>#REF!</v>
      </c>
      <c r="BR5" t="e">
        <f>AND(#REF!,"AAAAAH/+1kU=")</f>
        <v>#REF!</v>
      </c>
      <c r="BS5" t="e">
        <f>AND(#REF!,"AAAAAH/+1kY=")</f>
        <v>#REF!</v>
      </c>
      <c r="BT5" t="e">
        <f>AND(#REF!,"AAAAAH/+1kc=")</f>
        <v>#REF!</v>
      </c>
      <c r="BU5" t="e">
        <f>IF(#REF!,"AAAAAH/+1kg=",0)</f>
        <v>#REF!</v>
      </c>
      <c r="BV5" t="e">
        <f>AND(#REF!,"AAAAAH/+1kk=")</f>
        <v>#REF!</v>
      </c>
      <c r="BW5" t="e">
        <f>AND(#REF!,"AAAAAH/+1ko=")</f>
        <v>#REF!</v>
      </c>
      <c r="BX5" t="e">
        <f>AND(#REF!,"AAAAAH/+1ks=")</f>
        <v>#REF!</v>
      </c>
      <c r="BY5" t="e">
        <f>AND(#REF!,"AAAAAH/+1kw=")</f>
        <v>#REF!</v>
      </c>
      <c r="BZ5" t="e">
        <f>AND(#REF!,"AAAAAH/+1k0=")</f>
        <v>#REF!</v>
      </c>
      <c r="CA5" t="e">
        <f>AND(#REF!,"AAAAAH/+1k4=")</f>
        <v>#REF!</v>
      </c>
      <c r="CB5" t="e">
        <f>AND(#REF!,"AAAAAH/+1k8=")</f>
        <v>#REF!</v>
      </c>
      <c r="CC5" t="e">
        <f>AND(#REF!,"AAAAAH/+1lA=")</f>
        <v>#REF!</v>
      </c>
      <c r="CD5" t="e">
        <f>AND(#REF!,"AAAAAH/+1lE=")</f>
        <v>#REF!</v>
      </c>
      <c r="CE5" t="e">
        <f>AND(#REF!,"AAAAAH/+1lI=")</f>
        <v>#REF!</v>
      </c>
      <c r="CF5" t="e">
        <f>IF(#REF!,"AAAAAH/+1lM=",0)</f>
        <v>#REF!</v>
      </c>
      <c r="CG5" t="e">
        <f>AND(#REF!,"AAAAAH/+1lQ=")</f>
        <v>#REF!</v>
      </c>
      <c r="CH5" t="e">
        <f>AND(#REF!,"AAAAAH/+1lU=")</f>
        <v>#REF!</v>
      </c>
      <c r="CI5" t="e">
        <f>AND(#REF!,"AAAAAH/+1lY=")</f>
        <v>#REF!</v>
      </c>
      <c r="CJ5" t="e">
        <f>AND(#REF!,"AAAAAH/+1lc=")</f>
        <v>#REF!</v>
      </c>
      <c r="CK5" t="e">
        <f>AND(#REF!,"AAAAAH/+1lg=")</f>
        <v>#REF!</v>
      </c>
      <c r="CL5" t="e">
        <f>AND(#REF!,"AAAAAH/+1lk=")</f>
        <v>#REF!</v>
      </c>
      <c r="CM5" t="e">
        <f>AND(#REF!,"AAAAAH/+1lo=")</f>
        <v>#REF!</v>
      </c>
      <c r="CN5" t="e">
        <f>AND(#REF!,"AAAAAH/+1ls=")</f>
        <v>#REF!</v>
      </c>
      <c r="CO5" t="e">
        <f>AND(#REF!,"AAAAAH/+1lw=")</f>
        <v>#REF!</v>
      </c>
      <c r="CP5" t="e">
        <f>AND(#REF!,"AAAAAH/+1l0=")</f>
        <v>#REF!</v>
      </c>
      <c r="CQ5" t="e">
        <f>IF(#REF!,"AAAAAH/+1l4=",0)</f>
        <v>#REF!</v>
      </c>
      <c r="CR5" t="e">
        <f>AND(#REF!,"AAAAAH/+1l8=")</f>
        <v>#REF!</v>
      </c>
      <c r="CS5" t="e">
        <f>AND(#REF!,"AAAAAH/+1mA=")</f>
        <v>#REF!</v>
      </c>
      <c r="CT5" t="e">
        <f>AND(#REF!,"AAAAAH/+1mE=")</f>
        <v>#REF!</v>
      </c>
      <c r="CU5" t="e">
        <f>AND(#REF!,"AAAAAH/+1mI=")</f>
        <v>#REF!</v>
      </c>
      <c r="CV5" t="e">
        <f>AND(#REF!,"AAAAAH/+1mM=")</f>
        <v>#REF!</v>
      </c>
      <c r="CW5" t="e">
        <f>AND(#REF!,"AAAAAH/+1mQ=")</f>
        <v>#REF!</v>
      </c>
      <c r="CX5" t="e">
        <f>AND(#REF!,"AAAAAH/+1mU=")</f>
        <v>#REF!</v>
      </c>
      <c r="CY5" t="e">
        <f>AND(#REF!,"AAAAAH/+1mY=")</f>
        <v>#REF!</v>
      </c>
      <c r="CZ5" t="e">
        <f>AND(#REF!,"AAAAAH/+1mc=")</f>
        <v>#REF!</v>
      </c>
      <c r="DA5" t="e">
        <f>AND(#REF!,"AAAAAH/+1mg=")</f>
        <v>#REF!</v>
      </c>
      <c r="DB5" t="e">
        <f>IF(#REF!,"AAAAAH/+1mk=",0)</f>
        <v>#REF!</v>
      </c>
      <c r="DC5" t="e">
        <f>IF(#REF!,"AAAAAH/+1mo=",0)</f>
        <v>#REF!</v>
      </c>
      <c r="DD5" t="e">
        <f>IF(#REF!,"AAAAAH/+1ms=",0)</f>
        <v>#REF!</v>
      </c>
      <c r="DE5" t="e">
        <f>IF(#REF!,"AAAAAH/+1mw=",0)</f>
        <v>#REF!</v>
      </c>
      <c r="DF5" t="e">
        <f>IF(#REF!,"AAAAAH/+1m0=",0)</f>
        <v>#REF!</v>
      </c>
      <c r="DG5" t="e">
        <f>IF(#REF!,"AAAAAH/+1m4=",0)</f>
        <v>#REF!</v>
      </c>
      <c r="DH5" t="e">
        <f>IF(#REF!,"AAAAAH/+1m8=",0)</f>
        <v>#REF!</v>
      </c>
      <c r="DI5" t="e">
        <f>IF(#REF!,"AAAAAH/+1nA=",0)</f>
        <v>#REF!</v>
      </c>
      <c r="DJ5" t="e">
        <f>IF(#REF!,"AAAAAH/+1nE=",0)</f>
        <v>#REF!</v>
      </c>
      <c r="DK5" t="e">
        <f>IF(#REF!,"AAAAAH/+1nI=",0)</f>
        <v>#REF!</v>
      </c>
      <c r="DL5" t="e">
        <f>IF(#REF!,"AAAAAH/+1nM=",0)</f>
        <v>#REF!</v>
      </c>
      <c r="DM5" t="e">
        <f>AND(#REF!,"AAAAAH/+1nQ=")</f>
        <v>#REF!</v>
      </c>
      <c r="DN5" t="e">
        <f>AND(#REF!,"AAAAAH/+1nU=")</f>
        <v>#REF!</v>
      </c>
      <c r="DO5" t="e">
        <f>AND(#REF!,"AAAAAH/+1nY=")</f>
        <v>#REF!</v>
      </c>
      <c r="DP5" t="e">
        <f>AND(#REF!,"AAAAAH/+1nc=")</f>
        <v>#REF!</v>
      </c>
      <c r="DQ5" t="e">
        <f>AND(#REF!,"AAAAAH/+1ng=")</f>
        <v>#REF!</v>
      </c>
      <c r="DR5" t="e">
        <f>AND(#REF!,"AAAAAH/+1nk=")</f>
        <v>#REF!</v>
      </c>
      <c r="DS5" t="e">
        <f>AND(#REF!,"AAAAAH/+1no=")</f>
        <v>#REF!</v>
      </c>
      <c r="DT5" t="e">
        <f>AND(#REF!,"AAAAAH/+1ns=")</f>
        <v>#REF!</v>
      </c>
      <c r="DU5" t="e">
        <f>AND(#REF!,"AAAAAH/+1nw=")</f>
        <v>#REF!</v>
      </c>
      <c r="DV5" t="e">
        <f>AND(#REF!,"AAAAAH/+1n0=")</f>
        <v>#REF!</v>
      </c>
      <c r="DW5" t="e">
        <f>IF(#REF!,"AAAAAH/+1n4=",0)</f>
        <v>#REF!</v>
      </c>
      <c r="DX5" t="e">
        <f>AND(#REF!,"AAAAAH/+1n8=")</f>
        <v>#REF!</v>
      </c>
      <c r="DY5" t="e">
        <f>AND(#REF!,"AAAAAH/+1oA=")</f>
        <v>#REF!</v>
      </c>
      <c r="DZ5" t="e">
        <f>AND(#REF!,"AAAAAH/+1oE=")</f>
        <v>#REF!</v>
      </c>
      <c r="EA5" t="e">
        <f>AND(#REF!,"AAAAAH/+1oI=")</f>
        <v>#REF!</v>
      </c>
      <c r="EB5" t="e">
        <f>AND(#REF!,"AAAAAH/+1oM=")</f>
        <v>#REF!</v>
      </c>
      <c r="EC5" t="e">
        <f>AND(#REF!,"AAAAAH/+1oQ=")</f>
        <v>#REF!</v>
      </c>
      <c r="ED5" t="e">
        <f>AND(#REF!,"AAAAAH/+1oU=")</f>
        <v>#REF!</v>
      </c>
      <c r="EE5" t="e">
        <f>AND(#REF!,"AAAAAH/+1oY=")</f>
        <v>#REF!</v>
      </c>
      <c r="EF5" t="e">
        <f>AND(#REF!,"AAAAAH/+1oc=")</f>
        <v>#REF!</v>
      </c>
      <c r="EG5" t="e">
        <f>AND(#REF!,"AAAAAH/+1og=")</f>
        <v>#REF!</v>
      </c>
      <c r="EH5" t="e">
        <f>IF(#REF!,"AAAAAH/+1ok=",0)</f>
        <v>#REF!</v>
      </c>
      <c r="EI5" t="e">
        <f>AND(#REF!,"AAAAAH/+1oo=")</f>
        <v>#REF!</v>
      </c>
      <c r="EJ5" t="e">
        <f>AND(#REF!,"AAAAAH/+1os=")</f>
        <v>#REF!</v>
      </c>
      <c r="EK5" t="e">
        <f>AND(#REF!,"AAAAAH/+1ow=")</f>
        <v>#REF!</v>
      </c>
      <c r="EL5" t="e">
        <f>AND(#REF!,"AAAAAH/+1o0=")</f>
        <v>#REF!</v>
      </c>
      <c r="EM5" t="e">
        <f>AND(#REF!,"AAAAAH/+1o4=")</f>
        <v>#REF!</v>
      </c>
      <c r="EN5" t="e">
        <f>AND(#REF!,"AAAAAH/+1o8=")</f>
        <v>#REF!</v>
      </c>
      <c r="EO5" t="e">
        <f>AND(#REF!,"AAAAAH/+1pA=")</f>
        <v>#REF!</v>
      </c>
      <c r="EP5" t="e">
        <f>AND(#REF!,"AAAAAH/+1pE=")</f>
        <v>#REF!</v>
      </c>
      <c r="EQ5" t="e">
        <f>AND(#REF!,"AAAAAH/+1pI=")</f>
        <v>#REF!</v>
      </c>
      <c r="ER5" t="e">
        <f>AND(#REF!,"AAAAAH/+1pM=")</f>
        <v>#REF!</v>
      </c>
      <c r="ES5" t="e">
        <f>IF(#REF!,"AAAAAH/+1pQ=",0)</f>
        <v>#REF!</v>
      </c>
      <c r="ET5" t="e">
        <f>AND(#REF!,"AAAAAH/+1pU=")</f>
        <v>#REF!</v>
      </c>
      <c r="EU5" t="e">
        <f>AND(#REF!,"AAAAAH/+1pY=")</f>
        <v>#REF!</v>
      </c>
      <c r="EV5" t="e">
        <f>AND(#REF!,"AAAAAH/+1pc=")</f>
        <v>#REF!</v>
      </c>
      <c r="EW5" t="e">
        <f>AND(#REF!,"AAAAAH/+1pg=")</f>
        <v>#REF!</v>
      </c>
      <c r="EX5" t="e">
        <f>AND(#REF!,"AAAAAH/+1pk=")</f>
        <v>#REF!</v>
      </c>
      <c r="EY5" t="e">
        <f>AND(#REF!,"AAAAAH/+1po=")</f>
        <v>#REF!</v>
      </c>
      <c r="EZ5" t="e">
        <f>AND(#REF!,"AAAAAH/+1ps=")</f>
        <v>#REF!</v>
      </c>
      <c r="FA5" t="e">
        <f>AND(#REF!,"AAAAAH/+1pw=")</f>
        <v>#REF!</v>
      </c>
      <c r="FB5" t="e">
        <f>AND(#REF!,"AAAAAH/+1p0=")</f>
        <v>#REF!</v>
      </c>
      <c r="FC5" t="e">
        <f>AND(#REF!,"AAAAAH/+1p4=")</f>
        <v>#REF!</v>
      </c>
      <c r="FD5" t="e">
        <f>IF(#REF!,"AAAAAH/+1p8=",0)</f>
        <v>#REF!</v>
      </c>
      <c r="FE5" t="e">
        <f>AND(#REF!,"AAAAAH/+1qA=")</f>
        <v>#REF!</v>
      </c>
      <c r="FF5" t="e">
        <f>AND(#REF!,"AAAAAH/+1qE=")</f>
        <v>#REF!</v>
      </c>
      <c r="FG5" t="e">
        <f>AND(#REF!,"AAAAAH/+1qI=")</f>
        <v>#REF!</v>
      </c>
      <c r="FH5" t="e">
        <f>AND(#REF!,"AAAAAH/+1qM=")</f>
        <v>#REF!</v>
      </c>
      <c r="FI5" t="e">
        <f>AND(#REF!,"AAAAAH/+1qQ=")</f>
        <v>#REF!</v>
      </c>
      <c r="FJ5" t="e">
        <f>AND(#REF!,"AAAAAH/+1qU=")</f>
        <v>#REF!</v>
      </c>
      <c r="FK5" t="e">
        <f>AND(#REF!,"AAAAAH/+1qY=")</f>
        <v>#REF!</v>
      </c>
      <c r="FL5" t="e">
        <f>AND(#REF!,"AAAAAH/+1qc=")</f>
        <v>#REF!</v>
      </c>
      <c r="FM5" t="e">
        <f>AND(#REF!,"AAAAAH/+1qg=")</f>
        <v>#REF!</v>
      </c>
      <c r="FN5" t="e">
        <f>AND(#REF!,"AAAAAH/+1qk=")</f>
        <v>#REF!</v>
      </c>
      <c r="FO5" t="e">
        <f>IF(#REF!,"AAAAAH/+1qo=",0)</f>
        <v>#REF!</v>
      </c>
      <c r="FP5" t="e">
        <f>AND(#REF!,"AAAAAH/+1qs=")</f>
        <v>#REF!</v>
      </c>
      <c r="FQ5" t="e">
        <f>AND(#REF!,"AAAAAH/+1qw=")</f>
        <v>#REF!</v>
      </c>
      <c r="FR5" t="e">
        <f>AND(#REF!,"AAAAAH/+1q0=")</f>
        <v>#REF!</v>
      </c>
      <c r="FS5" t="e">
        <f>AND(#REF!,"AAAAAH/+1q4=")</f>
        <v>#REF!</v>
      </c>
      <c r="FT5" t="e">
        <f>AND(#REF!,"AAAAAH/+1q8=")</f>
        <v>#REF!</v>
      </c>
      <c r="FU5" t="e">
        <f>AND(#REF!,"AAAAAH/+1rA=")</f>
        <v>#REF!</v>
      </c>
      <c r="FV5" t="e">
        <f>AND(#REF!,"AAAAAH/+1rE=")</f>
        <v>#REF!</v>
      </c>
      <c r="FW5" t="e">
        <f>AND(#REF!,"AAAAAH/+1rI=")</f>
        <v>#REF!</v>
      </c>
      <c r="FX5" t="e">
        <f>AND(#REF!,"AAAAAH/+1rM=")</f>
        <v>#REF!</v>
      </c>
      <c r="FY5" t="e">
        <f>AND(#REF!,"AAAAAH/+1rQ=")</f>
        <v>#REF!</v>
      </c>
      <c r="FZ5" t="e">
        <f>IF(#REF!,"AAAAAH/+1rU=",0)</f>
        <v>#REF!</v>
      </c>
      <c r="GA5" t="e">
        <f>AND(#REF!,"AAAAAH/+1rY=")</f>
        <v>#REF!</v>
      </c>
      <c r="GB5" t="e">
        <f>AND(#REF!,"AAAAAH/+1rc=")</f>
        <v>#REF!</v>
      </c>
      <c r="GC5" t="e">
        <f>AND(#REF!,"AAAAAH/+1rg=")</f>
        <v>#REF!</v>
      </c>
      <c r="GD5" t="e">
        <f>AND(#REF!,"AAAAAH/+1rk=")</f>
        <v>#REF!</v>
      </c>
      <c r="GE5" t="e">
        <f>AND(#REF!,"AAAAAH/+1ro=")</f>
        <v>#REF!</v>
      </c>
      <c r="GF5" t="e">
        <f>AND(#REF!,"AAAAAH/+1rs=")</f>
        <v>#REF!</v>
      </c>
      <c r="GG5" t="e">
        <f>AND(#REF!,"AAAAAH/+1rw=")</f>
        <v>#REF!</v>
      </c>
      <c r="GH5" t="e">
        <f>AND(#REF!,"AAAAAH/+1r0=")</f>
        <v>#REF!</v>
      </c>
      <c r="GI5" t="e">
        <f>AND(#REF!,"AAAAAH/+1r4=")</f>
        <v>#REF!</v>
      </c>
      <c r="GJ5" t="e">
        <f>AND(#REF!,"AAAAAH/+1r8=")</f>
        <v>#REF!</v>
      </c>
      <c r="GK5" t="e">
        <f>IF(#REF!,"AAAAAH/+1sA=",0)</f>
        <v>#REF!</v>
      </c>
      <c r="GL5" t="e">
        <f>AND(#REF!,"AAAAAH/+1sE=")</f>
        <v>#REF!</v>
      </c>
      <c r="GM5" t="e">
        <f>AND(#REF!,"AAAAAH/+1sI=")</f>
        <v>#REF!</v>
      </c>
      <c r="GN5" t="e">
        <f>AND(#REF!,"AAAAAH/+1sM=")</f>
        <v>#REF!</v>
      </c>
      <c r="GO5" t="e">
        <f>AND(#REF!,"AAAAAH/+1sQ=")</f>
        <v>#REF!</v>
      </c>
      <c r="GP5" t="e">
        <f>AND(#REF!,"AAAAAH/+1sU=")</f>
        <v>#REF!</v>
      </c>
      <c r="GQ5" t="e">
        <f>AND(#REF!,"AAAAAH/+1sY=")</f>
        <v>#REF!</v>
      </c>
      <c r="GR5" t="e">
        <f>AND(#REF!,"AAAAAH/+1sc=")</f>
        <v>#REF!</v>
      </c>
      <c r="GS5" t="e">
        <f>AND(#REF!,"AAAAAH/+1sg=")</f>
        <v>#REF!</v>
      </c>
      <c r="GT5" t="e">
        <f>AND(#REF!,"AAAAAH/+1sk=")</f>
        <v>#REF!</v>
      </c>
      <c r="GU5" t="e">
        <f>AND(#REF!,"AAAAAH/+1so=")</f>
        <v>#REF!</v>
      </c>
      <c r="GV5" t="e">
        <f>IF(#REF!,"AAAAAH/+1ss=",0)</f>
        <v>#REF!</v>
      </c>
      <c r="GW5" t="e">
        <f>AND(#REF!,"AAAAAH/+1sw=")</f>
        <v>#REF!</v>
      </c>
      <c r="GX5" t="e">
        <f>AND(#REF!,"AAAAAH/+1s0=")</f>
        <v>#REF!</v>
      </c>
      <c r="GY5" t="e">
        <f>AND(#REF!,"AAAAAH/+1s4=")</f>
        <v>#REF!</v>
      </c>
      <c r="GZ5" t="e">
        <f>AND(#REF!,"AAAAAH/+1s8=")</f>
        <v>#REF!</v>
      </c>
      <c r="HA5" t="e">
        <f>AND(#REF!,"AAAAAH/+1tA=")</f>
        <v>#REF!</v>
      </c>
      <c r="HB5" t="e">
        <f>AND(#REF!,"AAAAAH/+1tE=")</f>
        <v>#REF!</v>
      </c>
      <c r="HC5" t="e">
        <f>AND(#REF!,"AAAAAH/+1tI=")</f>
        <v>#REF!</v>
      </c>
      <c r="HD5" t="e">
        <f>AND(#REF!,"AAAAAH/+1tM=")</f>
        <v>#REF!</v>
      </c>
      <c r="HE5" t="e">
        <f>AND(#REF!,"AAAAAH/+1tQ=")</f>
        <v>#REF!</v>
      </c>
      <c r="HF5" t="e">
        <f>AND(#REF!,"AAAAAH/+1tU=")</f>
        <v>#REF!</v>
      </c>
      <c r="HG5" t="e">
        <f>IF(#REF!,"AAAAAH/+1tY=",0)</f>
        <v>#REF!</v>
      </c>
      <c r="HH5" t="e">
        <f>AND(#REF!,"AAAAAH/+1tc=")</f>
        <v>#REF!</v>
      </c>
      <c r="HI5" t="e">
        <f>AND(#REF!,"AAAAAH/+1tg=")</f>
        <v>#REF!</v>
      </c>
      <c r="HJ5" t="e">
        <f>AND(#REF!,"AAAAAH/+1tk=")</f>
        <v>#REF!</v>
      </c>
      <c r="HK5" t="e">
        <f>AND(#REF!,"AAAAAH/+1to=")</f>
        <v>#REF!</v>
      </c>
      <c r="HL5" t="e">
        <f>AND(#REF!,"AAAAAH/+1ts=")</f>
        <v>#REF!</v>
      </c>
      <c r="HM5" t="e">
        <f>AND(#REF!,"AAAAAH/+1tw=")</f>
        <v>#REF!</v>
      </c>
      <c r="HN5" t="e">
        <f>AND(#REF!,"AAAAAH/+1t0=")</f>
        <v>#REF!</v>
      </c>
      <c r="HO5" t="e">
        <f>AND(#REF!,"AAAAAH/+1t4=")</f>
        <v>#REF!</v>
      </c>
      <c r="HP5" t="e">
        <f>AND(#REF!,"AAAAAH/+1t8=")</f>
        <v>#REF!</v>
      </c>
      <c r="HQ5" t="e">
        <f>AND(#REF!,"AAAAAH/+1uA=")</f>
        <v>#REF!</v>
      </c>
      <c r="HR5" t="e">
        <f>IF(#REF!,"AAAAAH/+1uE=",0)</f>
        <v>#REF!</v>
      </c>
      <c r="HS5" t="e">
        <f>AND(#REF!,"AAAAAH/+1uI=")</f>
        <v>#REF!</v>
      </c>
      <c r="HT5" t="e">
        <f>AND(#REF!,"AAAAAH/+1uM=")</f>
        <v>#REF!</v>
      </c>
      <c r="HU5" t="e">
        <f>AND(#REF!,"AAAAAH/+1uQ=")</f>
        <v>#REF!</v>
      </c>
      <c r="HV5" t="e">
        <f>AND(#REF!,"AAAAAH/+1uU=")</f>
        <v>#REF!</v>
      </c>
      <c r="HW5" t="e">
        <f>AND(#REF!,"AAAAAH/+1uY=")</f>
        <v>#REF!</v>
      </c>
      <c r="HX5" t="e">
        <f>AND(#REF!,"AAAAAH/+1uc=")</f>
        <v>#REF!</v>
      </c>
      <c r="HY5" t="e">
        <f>AND(#REF!,"AAAAAH/+1ug=")</f>
        <v>#REF!</v>
      </c>
      <c r="HZ5" t="e">
        <f>AND(#REF!,"AAAAAH/+1uk=")</f>
        <v>#REF!</v>
      </c>
      <c r="IA5" t="e">
        <f>AND(#REF!,"AAAAAH/+1uo=")</f>
        <v>#REF!</v>
      </c>
      <c r="IB5" t="e">
        <f>AND(#REF!,"AAAAAH/+1us=")</f>
        <v>#REF!</v>
      </c>
      <c r="IC5" t="e">
        <f>IF(#REF!,"AAAAAH/+1uw=",0)</f>
        <v>#REF!</v>
      </c>
      <c r="ID5" t="e">
        <f>AND(#REF!,"AAAAAH/+1u0=")</f>
        <v>#REF!</v>
      </c>
      <c r="IE5" t="e">
        <f>AND(#REF!,"AAAAAH/+1u4=")</f>
        <v>#REF!</v>
      </c>
      <c r="IF5" t="e">
        <f>AND(#REF!,"AAAAAH/+1u8=")</f>
        <v>#REF!</v>
      </c>
      <c r="IG5" t="e">
        <f>AND(#REF!,"AAAAAH/+1vA=")</f>
        <v>#REF!</v>
      </c>
      <c r="IH5" t="e">
        <f>AND(#REF!,"AAAAAH/+1vE=")</f>
        <v>#REF!</v>
      </c>
      <c r="II5" t="e">
        <f>AND(#REF!,"AAAAAH/+1vI=")</f>
        <v>#REF!</v>
      </c>
      <c r="IJ5" t="e">
        <f>AND(#REF!,"AAAAAH/+1vM=")</f>
        <v>#REF!</v>
      </c>
      <c r="IK5" t="e">
        <f>AND(#REF!,"AAAAAH/+1vQ=")</f>
        <v>#REF!</v>
      </c>
      <c r="IL5" t="e">
        <f>AND(#REF!,"AAAAAH/+1vU=")</f>
        <v>#REF!</v>
      </c>
      <c r="IM5" t="e">
        <f>AND(#REF!,"AAAAAH/+1vY=")</f>
        <v>#REF!</v>
      </c>
      <c r="IN5" t="e">
        <f>IF(#REF!,"AAAAAH/+1vc=",0)</f>
        <v>#REF!</v>
      </c>
      <c r="IO5" t="e">
        <f>AND(#REF!,"AAAAAH/+1vg=")</f>
        <v>#REF!</v>
      </c>
      <c r="IP5" t="e">
        <f>AND(#REF!,"AAAAAH/+1vk=")</f>
        <v>#REF!</v>
      </c>
      <c r="IQ5" t="e">
        <f>AND(#REF!,"AAAAAH/+1vo=")</f>
        <v>#REF!</v>
      </c>
      <c r="IR5" t="e">
        <f>AND(#REF!,"AAAAAH/+1vs=")</f>
        <v>#REF!</v>
      </c>
      <c r="IS5" t="e">
        <f>AND(#REF!,"AAAAAH/+1vw=")</f>
        <v>#REF!</v>
      </c>
      <c r="IT5" t="e">
        <f>AND(#REF!,"AAAAAH/+1v0=")</f>
        <v>#REF!</v>
      </c>
      <c r="IU5" t="e">
        <f>AND(#REF!,"AAAAAH/+1v4=")</f>
        <v>#REF!</v>
      </c>
      <c r="IV5" t="e">
        <f>AND(#REF!,"AAAAAH/+1v8=")</f>
        <v>#REF!</v>
      </c>
    </row>
    <row r="6" spans="1:256">
      <c r="A6" t="e">
        <f>AND(#REF!,"AAAAAEmfeQA=")</f>
        <v>#REF!</v>
      </c>
      <c r="B6" t="e">
        <f>AND(#REF!,"AAAAAEmfeQE=")</f>
        <v>#REF!</v>
      </c>
      <c r="C6" t="e">
        <f>IF(#REF!,"AAAAAEmfeQI=",0)</f>
        <v>#REF!</v>
      </c>
      <c r="D6" t="e">
        <f>AND(#REF!,"AAAAAEmfeQM=")</f>
        <v>#REF!</v>
      </c>
      <c r="E6" t="e">
        <f>AND(#REF!,"AAAAAEmfeQQ=")</f>
        <v>#REF!</v>
      </c>
      <c r="F6" t="e">
        <f>AND(#REF!,"AAAAAEmfeQU=")</f>
        <v>#REF!</v>
      </c>
      <c r="G6" t="e">
        <f>AND(#REF!,"AAAAAEmfeQY=")</f>
        <v>#REF!</v>
      </c>
      <c r="H6" t="e">
        <f>AND(#REF!,"AAAAAEmfeQc=")</f>
        <v>#REF!</v>
      </c>
      <c r="I6" t="e">
        <f>AND(#REF!,"AAAAAEmfeQg=")</f>
        <v>#REF!</v>
      </c>
      <c r="J6" t="e">
        <f>AND(#REF!,"AAAAAEmfeQk=")</f>
        <v>#REF!</v>
      </c>
      <c r="K6" t="e">
        <f>AND(#REF!,"AAAAAEmfeQo=")</f>
        <v>#REF!</v>
      </c>
      <c r="L6" t="e">
        <f>AND(#REF!,"AAAAAEmfeQs=")</f>
        <v>#REF!</v>
      </c>
      <c r="M6" t="e">
        <f>AND(#REF!,"AAAAAEmfeQw=")</f>
        <v>#REF!</v>
      </c>
      <c r="N6" t="e">
        <f>IF(#REF!,"AAAAAEmfeQ0=",0)</f>
        <v>#REF!</v>
      </c>
      <c r="O6" t="e">
        <f>AND(#REF!,"AAAAAEmfeQ4=")</f>
        <v>#REF!</v>
      </c>
      <c r="P6" t="e">
        <f>AND(#REF!,"AAAAAEmfeQ8=")</f>
        <v>#REF!</v>
      </c>
      <c r="Q6" t="e">
        <f>AND(#REF!,"AAAAAEmfeRA=")</f>
        <v>#REF!</v>
      </c>
      <c r="R6" t="e">
        <f>AND(#REF!,"AAAAAEmfeRE=")</f>
        <v>#REF!</v>
      </c>
      <c r="S6" t="e">
        <f>AND(#REF!,"AAAAAEmfeRI=")</f>
        <v>#REF!</v>
      </c>
      <c r="T6" t="e">
        <f>AND(#REF!,"AAAAAEmfeRM=")</f>
        <v>#REF!</v>
      </c>
      <c r="U6" t="e">
        <f>AND(#REF!,"AAAAAEmfeRQ=")</f>
        <v>#REF!</v>
      </c>
      <c r="V6" t="e">
        <f>AND(#REF!,"AAAAAEmfeRU=")</f>
        <v>#REF!</v>
      </c>
      <c r="W6" t="e">
        <f>AND(#REF!,"AAAAAEmfeRY=")</f>
        <v>#REF!</v>
      </c>
      <c r="X6" t="e">
        <f>AND(#REF!,"AAAAAEmfeRc=")</f>
        <v>#REF!</v>
      </c>
      <c r="Y6" t="e">
        <f>IF(#REF!,"AAAAAEmfeRg=",0)</f>
        <v>#REF!</v>
      </c>
      <c r="Z6" t="e">
        <f>AND(#REF!,"AAAAAEmfeRk=")</f>
        <v>#REF!</v>
      </c>
      <c r="AA6" t="e">
        <f>AND(#REF!,"AAAAAEmfeRo=")</f>
        <v>#REF!</v>
      </c>
      <c r="AB6" t="e">
        <f>AND(#REF!,"AAAAAEmfeRs=")</f>
        <v>#REF!</v>
      </c>
      <c r="AC6" t="e">
        <f>AND(#REF!,"AAAAAEmfeRw=")</f>
        <v>#REF!</v>
      </c>
      <c r="AD6" t="e">
        <f>AND(#REF!,"AAAAAEmfeR0=")</f>
        <v>#REF!</v>
      </c>
      <c r="AE6" t="e">
        <f>AND(#REF!,"AAAAAEmfeR4=")</f>
        <v>#REF!</v>
      </c>
      <c r="AF6" t="e">
        <f>AND(#REF!,"AAAAAEmfeR8=")</f>
        <v>#REF!</v>
      </c>
      <c r="AG6" t="e">
        <f>AND(#REF!,"AAAAAEmfeSA=")</f>
        <v>#REF!</v>
      </c>
      <c r="AH6" t="e">
        <f>AND(#REF!,"AAAAAEmfeSE=")</f>
        <v>#REF!</v>
      </c>
      <c r="AI6" t="e">
        <f>AND(#REF!,"AAAAAEmfeSI=")</f>
        <v>#REF!</v>
      </c>
      <c r="AJ6" t="e">
        <f>IF(#REF!,"AAAAAEmfeSM=",0)</f>
        <v>#REF!</v>
      </c>
      <c r="AK6" t="e">
        <f>AND(#REF!,"AAAAAEmfeSQ=")</f>
        <v>#REF!</v>
      </c>
      <c r="AL6" t="e">
        <f>AND(#REF!,"AAAAAEmfeSU=")</f>
        <v>#REF!</v>
      </c>
      <c r="AM6" t="e">
        <f>AND(#REF!,"AAAAAEmfeSY=")</f>
        <v>#REF!</v>
      </c>
      <c r="AN6" t="e">
        <f>AND(#REF!,"AAAAAEmfeSc=")</f>
        <v>#REF!</v>
      </c>
      <c r="AO6" t="e">
        <f>AND(#REF!,"AAAAAEmfeSg=")</f>
        <v>#REF!</v>
      </c>
      <c r="AP6" t="e">
        <f>AND(#REF!,"AAAAAEmfeSk=")</f>
        <v>#REF!</v>
      </c>
      <c r="AQ6" t="e">
        <f>AND(#REF!,"AAAAAEmfeSo=")</f>
        <v>#REF!</v>
      </c>
      <c r="AR6" t="e">
        <f>AND(#REF!,"AAAAAEmfeSs=")</f>
        <v>#REF!</v>
      </c>
      <c r="AS6" t="e">
        <f>AND(#REF!,"AAAAAEmfeSw=")</f>
        <v>#REF!</v>
      </c>
      <c r="AT6" t="e">
        <f>AND(#REF!,"AAAAAEmfeS0=")</f>
        <v>#REF!</v>
      </c>
      <c r="AU6" t="e">
        <f>IF(#REF!,"AAAAAEmfeS4=",0)</f>
        <v>#REF!</v>
      </c>
      <c r="AV6" t="e">
        <f>AND(#REF!,"AAAAAEmfeS8=")</f>
        <v>#REF!</v>
      </c>
      <c r="AW6" t="e">
        <f>AND(#REF!,"AAAAAEmfeTA=")</f>
        <v>#REF!</v>
      </c>
      <c r="AX6" t="e">
        <f>AND(#REF!,"AAAAAEmfeTE=")</f>
        <v>#REF!</v>
      </c>
      <c r="AY6" t="e">
        <f>AND(#REF!,"AAAAAEmfeTI=")</f>
        <v>#REF!</v>
      </c>
      <c r="AZ6" t="e">
        <f>AND(#REF!,"AAAAAEmfeTM=")</f>
        <v>#REF!</v>
      </c>
      <c r="BA6" t="e">
        <f>AND(#REF!,"AAAAAEmfeTQ=")</f>
        <v>#REF!</v>
      </c>
      <c r="BB6" t="e">
        <f>AND(#REF!,"AAAAAEmfeTU=")</f>
        <v>#REF!</v>
      </c>
      <c r="BC6" t="e">
        <f>AND(#REF!,"AAAAAEmfeTY=")</f>
        <v>#REF!</v>
      </c>
      <c r="BD6" t="e">
        <f>AND(#REF!,"AAAAAEmfeTc=")</f>
        <v>#REF!</v>
      </c>
      <c r="BE6" t="e">
        <f>AND(#REF!,"AAAAAEmfeTg=")</f>
        <v>#REF!</v>
      </c>
      <c r="BF6" t="e">
        <f>IF(#REF!,"AAAAAEmfeTk=",0)</f>
        <v>#REF!</v>
      </c>
      <c r="BG6" t="e">
        <f>AND(#REF!,"AAAAAEmfeTo=")</f>
        <v>#REF!</v>
      </c>
      <c r="BH6" t="e">
        <f>AND(#REF!,"AAAAAEmfeTs=")</f>
        <v>#REF!</v>
      </c>
      <c r="BI6" t="e">
        <f>AND(#REF!,"AAAAAEmfeTw=")</f>
        <v>#REF!</v>
      </c>
      <c r="BJ6" t="e">
        <f>AND(#REF!,"AAAAAEmfeT0=")</f>
        <v>#REF!</v>
      </c>
      <c r="BK6" t="e">
        <f>AND(#REF!,"AAAAAEmfeT4=")</f>
        <v>#REF!</v>
      </c>
      <c r="BL6" t="e">
        <f>AND(#REF!,"AAAAAEmfeT8=")</f>
        <v>#REF!</v>
      </c>
      <c r="BM6" t="e">
        <f>AND(#REF!,"AAAAAEmfeUA=")</f>
        <v>#REF!</v>
      </c>
      <c r="BN6" t="e">
        <f>AND(#REF!,"AAAAAEmfeUE=")</f>
        <v>#REF!</v>
      </c>
      <c r="BO6" t="e">
        <f>AND(#REF!,"AAAAAEmfeUI=")</f>
        <v>#REF!</v>
      </c>
      <c r="BP6" t="e">
        <f>AND(#REF!,"AAAAAEmfeUM=")</f>
        <v>#REF!</v>
      </c>
      <c r="BQ6" t="e">
        <f>IF(#REF!,"AAAAAEmfeUQ=",0)</f>
        <v>#REF!</v>
      </c>
      <c r="BR6" t="e">
        <f>AND(#REF!,"AAAAAEmfeUU=")</f>
        <v>#REF!</v>
      </c>
      <c r="BS6" t="e">
        <f>AND(#REF!,"AAAAAEmfeUY=")</f>
        <v>#REF!</v>
      </c>
      <c r="BT6" t="e">
        <f>AND(#REF!,"AAAAAEmfeUc=")</f>
        <v>#REF!</v>
      </c>
      <c r="BU6" t="e">
        <f>AND(#REF!,"AAAAAEmfeUg=")</f>
        <v>#REF!</v>
      </c>
      <c r="BV6" t="e">
        <f>AND(#REF!,"AAAAAEmfeUk=")</f>
        <v>#REF!</v>
      </c>
      <c r="BW6" t="e">
        <f>AND(#REF!,"AAAAAEmfeUo=")</f>
        <v>#REF!</v>
      </c>
      <c r="BX6" t="e">
        <f>AND(#REF!,"AAAAAEmfeUs=")</f>
        <v>#REF!</v>
      </c>
      <c r="BY6" t="e">
        <f>AND(#REF!,"AAAAAEmfeUw=")</f>
        <v>#REF!</v>
      </c>
      <c r="BZ6" t="e">
        <f>AND(#REF!,"AAAAAEmfeU0=")</f>
        <v>#REF!</v>
      </c>
      <c r="CA6" t="e">
        <f>AND(#REF!,"AAAAAEmfeU4=")</f>
        <v>#REF!</v>
      </c>
      <c r="CB6" t="e">
        <f>IF(#REF!,"AAAAAEmfeU8=",0)</f>
        <v>#REF!</v>
      </c>
      <c r="CC6" t="e">
        <f>AND(#REF!,"AAAAAEmfeVA=")</f>
        <v>#REF!</v>
      </c>
      <c r="CD6" t="e">
        <f>AND(#REF!,"AAAAAEmfeVE=")</f>
        <v>#REF!</v>
      </c>
      <c r="CE6" t="e">
        <f>AND(#REF!,"AAAAAEmfeVI=")</f>
        <v>#REF!</v>
      </c>
      <c r="CF6" t="e">
        <f>AND(#REF!,"AAAAAEmfeVM=")</f>
        <v>#REF!</v>
      </c>
      <c r="CG6" t="e">
        <f>AND(#REF!,"AAAAAEmfeVQ=")</f>
        <v>#REF!</v>
      </c>
      <c r="CH6" t="e">
        <f>AND(#REF!,"AAAAAEmfeVU=")</f>
        <v>#REF!</v>
      </c>
      <c r="CI6" t="e">
        <f>AND(#REF!,"AAAAAEmfeVY=")</f>
        <v>#REF!</v>
      </c>
      <c r="CJ6" t="e">
        <f>AND(#REF!,"AAAAAEmfeVc=")</f>
        <v>#REF!</v>
      </c>
      <c r="CK6" t="e">
        <f>AND(#REF!,"AAAAAEmfeVg=")</f>
        <v>#REF!</v>
      </c>
      <c r="CL6" t="e">
        <f>AND(#REF!,"AAAAAEmfeVk=")</f>
        <v>#REF!</v>
      </c>
      <c r="CM6" t="e">
        <f>IF(#REF!,"AAAAAEmfeVo=",0)</f>
        <v>#REF!</v>
      </c>
      <c r="CN6" t="e">
        <f>AND(#REF!,"AAAAAEmfeVs=")</f>
        <v>#REF!</v>
      </c>
      <c r="CO6" t="e">
        <f>AND(#REF!,"AAAAAEmfeVw=")</f>
        <v>#REF!</v>
      </c>
      <c r="CP6" t="e">
        <f>AND(#REF!,"AAAAAEmfeV0=")</f>
        <v>#REF!</v>
      </c>
      <c r="CQ6" t="e">
        <f>AND(#REF!,"AAAAAEmfeV4=")</f>
        <v>#REF!</v>
      </c>
      <c r="CR6" t="e">
        <f>AND(#REF!,"AAAAAEmfeV8=")</f>
        <v>#REF!</v>
      </c>
      <c r="CS6" t="e">
        <f>AND(#REF!,"AAAAAEmfeWA=")</f>
        <v>#REF!</v>
      </c>
      <c r="CT6" t="e">
        <f>AND(#REF!,"AAAAAEmfeWE=")</f>
        <v>#REF!</v>
      </c>
      <c r="CU6" t="e">
        <f>AND(#REF!,"AAAAAEmfeWI=")</f>
        <v>#REF!</v>
      </c>
      <c r="CV6" t="e">
        <f>AND(#REF!,"AAAAAEmfeWM=")</f>
        <v>#REF!</v>
      </c>
      <c r="CW6" t="e">
        <f>AND(#REF!,"AAAAAEmfeWQ=")</f>
        <v>#REF!</v>
      </c>
      <c r="CX6" t="e">
        <f>IF(#REF!,"AAAAAEmfeWU=",0)</f>
        <v>#REF!</v>
      </c>
      <c r="CY6" t="e">
        <f>AND(#REF!,"AAAAAEmfeWY=")</f>
        <v>#REF!</v>
      </c>
      <c r="CZ6" t="e">
        <f>AND(#REF!,"AAAAAEmfeWc=")</f>
        <v>#REF!</v>
      </c>
      <c r="DA6" t="e">
        <f>AND(#REF!,"AAAAAEmfeWg=")</f>
        <v>#REF!</v>
      </c>
      <c r="DB6" t="e">
        <f>AND(#REF!,"AAAAAEmfeWk=")</f>
        <v>#REF!</v>
      </c>
      <c r="DC6" t="e">
        <f>AND(#REF!,"AAAAAEmfeWo=")</f>
        <v>#REF!</v>
      </c>
      <c r="DD6" t="e">
        <f>AND(#REF!,"AAAAAEmfeWs=")</f>
        <v>#REF!</v>
      </c>
      <c r="DE6" t="e">
        <f>AND(#REF!,"AAAAAEmfeWw=")</f>
        <v>#REF!</v>
      </c>
      <c r="DF6" t="e">
        <f>AND(#REF!,"AAAAAEmfeW0=")</f>
        <v>#REF!</v>
      </c>
      <c r="DG6" t="e">
        <f>AND(#REF!,"AAAAAEmfeW4=")</f>
        <v>#REF!</v>
      </c>
      <c r="DH6" t="e">
        <f>AND(#REF!,"AAAAAEmfeW8=")</f>
        <v>#REF!</v>
      </c>
      <c r="DI6" t="e">
        <f>IF(#REF!,"AAAAAEmfeXA=",0)</f>
        <v>#REF!</v>
      </c>
      <c r="DJ6" t="e">
        <f>AND(#REF!,"AAAAAEmfeXE=")</f>
        <v>#REF!</v>
      </c>
      <c r="DK6" t="e">
        <f>AND(#REF!,"AAAAAEmfeXI=")</f>
        <v>#REF!</v>
      </c>
      <c r="DL6" t="e">
        <f>AND(#REF!,"AAAAAEmfeXM=")</f>
        <v>#REF!</v>
      </c>
      <c r="DM6" t="e">
        <f>AND(#REF!,"AAAAAEmfeXQ=")</f>
        <v>#REF!</v>
      </c>
      <c r="DN6" t="e">
        <f>AND(#REF!,"AAAAAEmfeXU=")</f>
        <v>#REF!</v>
      </c>
      <c r="DO6" t="e">
        <f>AND(#REF!,"AAAAAEmfeXY=")</f>
        <v>#REF!</v>
      </c>
      <c r="DP6" t="e">
        <f>AND(#REF!,"AAAAAEmfeXc=")</f>
        <v>#REF!</v>
      </c>
      <c r="DQ6" t="e">
        <f>AND(#REF!,"AAAAAEmfeXg=")</f>
        <v>#REF!</v>
      </c>
      <c r="DR6" t="e">
        <f>AND(#REF!,"AAAAAEmfeXk=")</f>
        <v>#REF!</v>
      </c>
      <c r="DS6" t="e">
        <f>AND(#REF!,"AAAAAEmfeXo=")</f>
        <v>#REF!</v>
      </c>
      <c r="DT6" t="e">
        <f>IF(#REF!,"AAAAAEmfeXs=",0)</f>
        <v>#REF!</v>
      </c>
      <c r="DU6" t="e">
        <f>AND(#REF!,"AAAAAEmfeXw=")</f>
        <v>#REF!</v>
      </c>
      <c r="DV6" t="e">
        <f>AND(#REF!,"AAAAAEmfeX0=")</f>
        <v>#REF!</v>
      </c>
      <c r="DW6" t="e">
        <f>AND(#REF!,"AAAAAEmfeX4=")</f>
        <v>#REF!</v>
      </c>
      <c r="DX6" t="e">
        <f>AND(#REF!,"AAAAAEmfeX8=")</f>
        <v>#REF!</v>
      </c>
      <c r="DY6" t="e">
        <f>AND(#REF!,"AAAAAEmfeYA=")</f>
        <v>#REF!</v>
      </c>
      <c r="DZ6" t="e">
        <f>AND(#REF!,"AAAAAEmfeYE=")</f>
        <v>#REF!</v>
      </c>
      <c r="EA6" t="e">
        <f>AND(#REF!,"AAAAAEmfeYI=")</f>
        <v>#REF!</v>
      </c>
      <c r="EB6" t="e">
        <f>AND(#REF!,"AAAAAEmfeYM=")</f>
        <v>#REF!</v>
      </c>
      <c r="EC6" t="e">
        <f>AND(#REF!,"AAAAAEmfeYQ=")</f>
        <v>#REF!</v>
      </c>
      <c r="ED6" t="e">
        <f>AND(#REF!,"AAAAAEmfeYU=")</f>
        <v>#REF!</v>
      </c>
      <c r="EE6" t="e">
        <f>IF(#REF!,"AAAAAEmfeYY=",0)</f>
        <v>#REF!</v>
      </c>
      <c r="EF6" t="e">
        <f>AND(#REF!,"AAAAAEmfeYc=")</f>
        <v>#REF!</v>
      </c>
      <c r="EG6" t="e">
        <f>AND(#REF!,"AAAAAEmfeYg=")</f>
        <v>#REF!</v>
      </c>
      <c r="EH6" t="e">
        <f>AND(#REF!,"AAAAAEmfeYk=")</f>
        <v>#REF!</v>
      </c>
      <c r="EI6" t="e">
        <f>AND(#REF!,"AAAAAEmfeYo=")</f>
        <v>#REF!</v>
      </c>
      <c r="EJ6" t="e">
        <f>AND(#REF!,"AAAAAEmfeYs=")</f>
        <v>#REF!</v>
      </c>
      <c r="EK6" t="e">
        <f>AND(#REF!,"AAAAAEmfeYw=")</f>
        <v>#REF!</v>
      </c>
      <c r="EL6" t="e">
        <f>AND(#REF!,"AAAAAEmfeY0=")</f>
        <v>#REF!</v>
      </c>
      <c r="EM6" t="e">
        <f>AND(#REF!,"AAAAAEmfeY4=")</f>
        <v>#REF!</v>
      </c>
      <c r="EN6" t="e">
        <f>AND(#REF!,"AAAAAEmfeY8=")</f>
        <v>#REF!</v>
      </c>
      <c r="EO6" t="e">
        <f>AND(#REF!,"AAAAAEmfeZA=")</f>
        <v>#REF!</v>
      </c>
      <c r="EP6" t="e">
        <f>IF(#REF!,"AAAAAEmfeZE=",0)</f>
        <v>#REF!</v>
      </c>
      <c r="EQ6" t="e">
        <f>AND(#REF!,"AAAAAEmfeZI=")</f>
        <v>#REF!</v>
      </c>
      <c r="ER6" t="e">
        <f>AND(#REF!,"AAAAAEmfeZM=")</f>
        <v>#REF!</v>
      </c>
      <c r="ES6" t="e">
        <f>AND(#REF!,"AAAAAEmfeZQ=")</f>
        <v>#REF!</v>
      </c>
      <c r="ET6" t="e">
        <f>AND(#REF!,"AAAAAEmfeZU=")</f>
        <v>#REF!</v>
      </c>
      <c r="EU6" t="e">
        <f>AND(#REF!,"AAAAAEmfeZY=")</f>
        <v>#REF!</v>
      </c>
      <c r="EV6" t="e">
        <f>AND(#REF!,"AAAAAEmfeZc=")</f>
        <v>#REF!</v>
      </c>
      <c r="EW6" t="e">
        <f>AND(#REF!,"AAAAAEmfeZg=")</f>
        <v>#REF!</v>
      </c>
      <c r="EX6" t="e">
        <f>AND(#REF!,"AAAAAEmfeZk=")</f>
        <v>#REF!</v>
      </c>
      <c r="EY6" t="e">
        <f>AND(#REF!,"AAAAAEmfeZo=")</f>
        <v>#REF!</v>
      </c>
      <c r="EZ6" t="e">
        <f>AND(#REF!,"AAAAAEmfeZs=")</f>
        <v>#REF!</v>
      </c>
      <c r="FA6" t="e">
        <f>IF(#REF!,"AAAAAEmfeZw=",0)</f>
        <v>#REF!</v>
      </c>
      <c r="FB6" t="e">
        <f>AND(#REF!,"AAAAAEmfeZ0=")</f>
        <v>#REF!</v>
      </c>
      <c r="FC6" t="e">
        <f>AND(#REF!,"AAAAAEmfeZ4=")</f>
        <v>#REF!</v>
      </c>
      <c r="FD6" t="e">
        <f>AND(#REF!,"AAAAAEmfeZ8=")</f>
        <v>#REF!</v>
      </c>
      <c r="FE6" t="e">
        <f>AND(#REF!,"AAAAAEmfeaA=")</f>
        <v>#REF!</v>
      </c>
      <c r="FF6" t="e">
        <f>AND(#REF!,"AAAAAEmfeaE=")</f>
        <v>#REF!</v>
      </c>
      <c r="FG6" t="e">
        <f>AND(#REF!,"AAAAAEmfeaI=")</f>
        <v>#REF!</v>
      </c>
      <c r="FH6" t="e">
        <f>AND(#REF!,"AAAAAEmfeaM=")</f>
        <v>#REF!</v>
      </c>
      <c r="FI6" t="e">
        <f>AND(#REF!,"AAAAAEmfeaQ=")</f>
        <v>#REF!</v>
      </c>
      <c r="FJ6" t="e">
        <f>AND(#REF!,"AAAAAEmfeaU=")</f>
        <v>#REF!</v>
      </c>
      <c r="FK6" t="e">
        <f>AND(#REF!,"AAAAAEmfeaY=")</f>
        <v>#REF!</v>
      </c>
      <c r="FL6" t="e">
        <f>IF(#REF!,"AAAAAEmfeac=",0)</f>
        <v>#REF!</v>
      </c>
      <c r="FM6" t="e">
        <f>AND(#REF!,"AAAAAEmfeag=")</f>
        <v>#REF!</v>
      </c>
      <c r="FN6" t="e">
        <f>AND(#REF!,"AAAAAEmfeak=")</f>
        <v>#REF!</v>
      </c>
      <c r="FO6" t="e">
        <f>AND(#REF!,"AAAAAEmfeao=")</f>
        <v>#REF!</v>
      </c>
      <c r="FP6" t="e">
        <f>AND(#REF!,"AAAAAEmfeas=")</f>
        <v>#REF!</v>
      </c>
      <c r="FQ6" t="e">
        <f>AND(#REF!,"AAAAAEmfeaw=")</f>
        <v>#REF!</v>
      </c>
      <c r="FR6" t="e">
        <f>AND(#REF!,"AAAAAEmfea0=")</f>
        <v>#REF!</v>
      </c>
      <c r="FS6" t="e">
        <f>AND(#REF!,"AAAAAEmfea4=")</f>
        <v>#REF!</v>
      </c>
      <c r="FT6" t="e">
        <f>AND(#REF!,"AAAAAEmfea8=")</f>
        <v>#REF!</v>
      </c>
      <c r="FU6" t="e">
        <f>AND(#REF!,"AAAAAEmfebA=")</f>
        <v>#REF!</v>
      </c>
      <c r="FV6" t="e">
        <f>AND(#REF!,"AAAAAEmfebE=")</f>
        <v>#REF!</v>
      </c>
      <c r="FW6" t="e">
        <f>IF(#REF!,"AAAAAEmfebI=",0)</f>
        <v>#REF!</v>
      </c>
      <c r="FX6" t="e">
        <f>AND(#REF!,"AAAAAEmfebM=")</f>
        <v>#REF!</v>
      </c>
      <c r="FY6" t="e">
        <f>AND(#REF!,"AAAAAEmfebQ=")</f>
        <v>#REF!</v>
      </c>
      <c r="FZ6" t="e">
        <f>AND(#REF!,"AAAAAEmfebU=")</f>
        <v>#REF!</v>
      </c>
      <c r="GA6" t="e">
        <f>AND(#REF!,"AAAAAEmfebY=")</f>
        <v>#REF!</v>
      </c>
      <c r="GB6" t="e">
        <f>AND(#REF!,"AAAAAEmfebc=")</f>
        <v>#REF!</v>
      </c>
      <c r="GC6" t="e">
        <f>AND(#REF!,"AAAAAEmfebg=")</f>
        <v>#REF!</v>
      </c>
      <c r="GD6" t="e">
        <f>AND(#REF!,"AAAAAEmfebk=")</f>
        <v>#REF!</v>
      </c>
      <c r="GE6" t="e">
        <f>AND(#REF!,"AAAAAEmfebo=")</f>
        <v>#REF!</v>
      </c>
      <c r="GF6" t="e">
        <f>AND(#REF!,"AAAAAEmfebs=")</f>
        <v>#REF!</v>
      </c>
      <c r="GG6" t="e">
        <f>AND(#REF!,"AAAAAEmfebw=")</f>
        <v>#REF!</v>
      </c>
      <c r="GH6" t="e">
        <f>IF(#REF!,"AAAAAEmfeb0=",0)</f>
        <v>#REF!</v>
      </c>
      <c r="GI6" t="e">
        <f>AND(#REF!,"AAAAAEmfeb4=")</f>
        <v>#REF!</v>
      </c>
      <c r="GJ6" t="e">
        <f>AND(#REF!,"AAAAAEmfeb8=")</f>
        <v>#REF!</v>
      </c>
      <c r="GK6" t="e">
        <f>AND(#REF!,"AAAAAEmfecA=")</f>
        <v>#REF!</v>
      </c>
      <c r="GL6" t="e">
        <f>AND(#REF!,"AAAAAEmfecE=")</f>
        <v>#REF!</v>
      </c>
      <c r="GM6" t="e">
        <f>AND(#REF!,"AAAAAEmfecI=")</f>
        <v>#REF!</v>
      </c>
      <c r="GN6" t="e">
        <f>AND(#REF!,"AAAAAEmfecM=")</f>
        <v>#REF!</v>
      </c>
      <c r="GO6" t="e">
        <f>AND(#REF!,"AAAAAEmfecQ=")</f>
        <v>#REF!</v>
      </c>
      <c r="GP6" t="e">
        <f>AND(#REF!,"AAAAAEmfecU=")</f>
        <v>#REF!</v>
      </c>
      <c r="GQ6" t="e">
        <f>AND(#REF!,"AAAAAEmfecY=")</f>
        <v>#REF!</v>
      </c>
      <c r="GR6" t="e">
        <f>AND(#REF!,"AAAAAEmfecc=")</f>
        <v>#REF!</v>
      </c>
      <c r="GS6" t="e">
        <f>IF(#REF!,"AAAAAEmfecg=",0)</f>
        <v>#REF!</v>
      </c>
      <c r="GT6" t="e">
        <f>AND(#REF!,"AAAAAEmfeck=")</f>
        <v>#REF!</v>
      </c>
      <c r="GU6" t="e">
        <f>AND(#REF!,"AAAAAEmfeco=")</f>
        <v>#REF!</v>
      </c>
      <c r="GV6" t="e">
        <f>AND(#REF!,"AAAAAEmfecs=")</f>
        <v>#REF!</v>
      </c>
      <c r="GW6" t="e">
        <f>AND(#REF!,"AAAAAEmfecw=")</f>
        <v>#REF!</v>
      </c>
      <c r="GX6" t="e">
        <f>AND(#REF!,"AAAAAEmfec0=")</f>
        <v>#REF!</v>
      </c>
      <c r="GY6" t="e">
        <f>AND(#REF!,"AAAAAEmfec4=")</f>
        <v>#REF!</v>
      </c>
      <c r="GZ6" t="e">
        <f>AND(#REF!,"AAAAAEmfec8=")</f>
        <v>#REF!</v>
      </c>
      <c r="HA6" t="e">
        <f>AND(#REF!,"AAAAAEmfedA=")</f>
        <v>#REF!</v>
      </c>
      <c r="HB6" t="e">
        <f>AND(#REF!,"AAAAAEmfedE=")</f>
        <v>#REF!</v>
      </c>
      <c r="HC6" t="e">
        <f>AND(#REF!,"AAAAAEmfedI=")</f>
        <v>#REF!</v>
      </c>
      <c r="HD6" t="e">
        <f>IF(#REF!,"AAAAAEmfedM=",0)</f>
        <v>#REF!</v>
      </c>
      <c r="HE6" t="e">
        <f>AND(#REF!,"AAAAAEmfedQ=")</f>
        <v>#REF!</v>
      </c>
      <c r="HF6" t="e">
        <f>AND(#REF!,"AAAAAEmfedU=")</f>
        <v>#REF!</v>
      </c>
      <c r="HG6" t="e">
        <f>AND(#REF!,"AAAAAEmfedY=")</f>
        <v>#REF!</v>
      </c>
      <c r="HH6" t="e">
        <f>AND(#REF!,"AAAAAEmfedc=")</f>
        <v>#REF!</v>
      </c>
      <c r="HI6" t="e">
        <f>AND(#REF!,"AAAAAEmfedg=")</f>
        <v>#REF!</v>
      </c>
      <c r="HJ6" t="e">
        <f>AND(#REF!,"AAAAAEmfedk=")</f>
        <v>#REF!</v>
      </c>
      <c r="HK6" t="e">
        <f>AND(#REF!,"AAAAAEmfedo=")</f>
        <v>#REF!</v>
      </c>
      <c r="HL6" t="e">
        <f>AND(#REF!,"AAAAAEmfeds=")</f>
        <v>#REF!</v>
      </c>
      <c r="HM6" t="e">
        <f>AND(#REF!,"AAAAAEmfedw=")</f>
        <v>#REF!</v>
      </c>
      <c r="HN6" t="e">
        <f>AND(#REF!,"AAAAAEmfed0=")</f>
        <v>#REF!</v>
      </c>
      <c r="HO6" t="e">
        <f>IF(#REF!,"AAAAAEmfed4=",0)</f>
        <v>#REF!</v>
      </c>
      <c r="HP6" t="e">
        <f>IF(#REF!,"AAAAAEmfed8=",0)</f>
        <v>#REF!</v>
      </c>
      <c r="HQ6" t="e">
        <f>IF(#REF!,"AAAAAEmfeeA=",0)</f>
        <v>#REF!</v>
      </c>
      <c r="HR6" t="e">
        <f>IF(#REF!,"AAAAAEmfeeE=",0)</f>
        <v>#REF!</v>
      </c>
      <c r="HS6" t="e">
        <f>IF(#REF!,"AAAAAEmfeeI=",0)</f>
        <v>#REF!</v>
      </c>
      <c r="HT6" t="e">
        <f>IF(#REF!,"AAAAAEmfeeM=",0)</f>
        <v>#REF!</v>
      </c>
      <c r="HU6" t="e">
        <f>IF(#REF!,"AAAAAEmfeeQ=",0)</f>
        <v>#REF!</v>
      </c>
      <c r="HV6" t="e">
        <f>IF(#REF!,"AAAAAEmfeeU=",0)</f>
        <v>#REF!</v>
      </c>
      <c r="HW6" t="e">
        <f>IF(#REF!,"AAAAAEmfeeY=",0)</f>
        <v>#REF!</v>
      </c>
      <c r="HX6" t="e">
        <f>IF(#REF!,"AAAAAEmfeec=",0)</f>
        <v>#REF!</v>
      </c>
      <c r="HY6">
        <f>IF('Ammonia Reconciliation Problem'!2:2,"AAAAAEmfeeg=",0)</f>
        <v>0</v>
      </c>
      <c r="HZ6" t="e">
        <f>AND('Ammonia Reconciliation Problem'!A2,"AAAAAEmfeek=")</f>
        <v>#VALUE!</v>
      </c>
      <c r="IA6" t="e">
        <f>AND('Ammonia Reconciliation Problem'!B2,"AAAAAEmfeeo=")</f>
        <v>#VALUE!</v>
      </c>
      <c r="IB6" t="e">
        <f>AND('Ammonia Reconciliation Problem'!C2,"AAAAAEmfees=")</f>
        <v>#VALUE!</v>
      </c>
      <c r="IC6" t="e">
        <f>AND('Ammonia Reconciliation Problem'!D2,"AAAAAEmfeew=")</f>
        <v>#VALUE!</v>
      </c>
      <c r="ID6" t="e">
        <f>AND('Ammonia Reconciliation Problem'!E2,"AAAAAEmfee0=")</f>
        <v>#VALUE!</v>
      </c>
      <c r="IE6" t="e">
        <f>AND('Ammonia Reconciliation Problem'!F2,"AAAAAEmfee4=")</f>
        <v>#VALUE!</v>
      </c>
      <c r="IF6" t="e">
        <f>AND('Ammonia Reconciliation Problem'!G2,"AAAAAEmfee8=")</f>
        <v>#VALUE!</v>
      </c>
      <c r="IG6" t="e">
        <f>AND('Ammonia Reconciliation Problem'!H2,"AAAAAEmfefA=")</f>
        <v>#VALUE!</v>
      </c>
      <c r="IH6" t="e">
        <f>AND('Ammonia Reconciliation Problem'!I2,"AAAAAEmfefE=")</f>
        <v>#VALUE!</v>
      </c>
      <c r="II6" t="e">
        <f>AND('Ammonia Reconciliation Problem'!J2,"AAAAAEmfefI=")</f>
        <v>#VALUE!</v>
      </c>
      <c r="IJ6" t="e">
        <f>AND('Ammonia Reconciliation Problem'!K2,"AAAAAEmfefM=")</f>
        <v>#VALUE!</v>
      </c>
      <c r="IK6" t="e">
        <f>AND('Ammonia Reconciliation Problem'!L2,"AAAAAEmfefQ=")</f>
        <v>#VALUE!</v>
      </c>
      <c r="IL6" t="e">
        <f>AND('Ammonia Reconciliation Problem'!M2,"AAAAAEmfefU=")</f>
        <v>#VALUE!</v>
      </c>
      <c r="IM6" t="e">
        <f>AND('Ammonia Reconciliation Problem'!N2,"AAAAAEmfefY=")</f>
        <v>#VALUE!</v>
      </c>
      <c r="IN6" t="e">
        <f>AND('Ammonia Reconciliation Problem'!O2,"AAAAAEmfefc=")</f>
        <v>#VALUE!</v>
      </c>
      <c r="IO6" t="e">
        <f>AND('Ammonia Reconciliation Problem'!P2,"AAAAAEmfefg=")</f>
        <v>#VALUE!</v>
      </c>
      <c r="IP6" t="e">
        <f>AND('Ammonia Reconciliation Problem'!Q2,"AAAAAEmfefk=")</f>
        <v>#VALUE!</v>
      </c>
      <c r="IQ6" t="e">
        <f>AND('Ammonia Reconciliation Problem'!R2,"AAAAAEmfefo=")</f>
        <v>#VALUE!</v>
      </c>
      <c r="IR6">
        <f>IF('Ammonia Reconciliation Problem'!3:3,"AAAAAEmfefs=",0)</f>
        <v>0</v>
      </c>
      <c r="IS6" t="e">
        <f>AND('Ammonia Reconciliation Problem'!A3,"AAAAAEmfefw=")</f>
        <v>#VALUE!</v>
      </c>
      <c r="IT6" t="e">
        <f>AND('Ammonia Reconciliation Problem'!B3,"AAAAAEmfef0=")</f>
        <v>#VALUE!</v>
      </c>
      <c r="IU6" t="e">
        <f>AND('Ammonia Reconciliation Problem'!C3,"AAAAAEmfef4=")</f>
        <v>#VALUE!</v>
      </c>
      <c r="IV6" t="e">
        <f>AND('Ammonia Reconciliation Problem'!D3,"AAAAAEmfef8=")</f>
        <v>#VALUE!</v>
      </c>
    </row>
    <row r="7" spans="1:256">
      <c r="A7" t="e">
        <f>AND('Ammonia Reconciliation Problem'!E3,"AAAAAH//XwA=")</f>
        <v>#VALUE!</v>
      </c>
      <c r="B7" t="e">
        <f>AND('Ammonia Reconciliation Problem'!F3,"AAAAAH//XwE=")</f>
        <v>#VALUE!</v>
      </c>
      <c r="C7" t="e">
        <f>AND('Ammonia Reconciliation Problem'!G3,"AAAAAH//XwI=")</f>
        <v>#VALUE!</v>
      </c>
      <c r="D7" t="e">
        <f>AND('Ammonia Reconciliation Problem'!H3,"AAAAAH//XwM=")</f>
        <v>#VALUE!</v>
      </c>
      <c r="E7" t="e">
        <f>AND('Ammonia Reconciliation Problem'!I3,"AAAAAH//XwQ=")</f>
        <v>#VALUE!</v>
      </c>
      <c r="F7" t="e">
        <f>AND('Ammonia Reconciliation Problem'!J3,"AAAAAH//XwU=")</f>
        <v>#VALUE!</v>
      </c>
      <c r="G7" t="e">
        <f>AND('Ammonia Reconciliation Problem'!K3,"AAAAAH//XwY=")</f>
        <v>#VALUE!</v>
      </c>
      <c r="H7" t="e">
        <f>AND('Ammonia Reconciliation Problem'!L3,"AAAAAH//Xwc=")</f>
        <v>#VALUE!</v>
      </c>
      <c r="I7" t="e">
        <f>AND('Ammonia Reconciliation Problem'!M3,"AAAAAH//Xwg=")</f>
        <v>#VALUE!</v>
      </c>
      <c r="J7" t="e">
        <f>AND('Ammonia Reconciliation Problem'!N3,"AAAAAH//Xwk=")</f>
        <v>#VALUE!</v>
      </c>
      <c r="K7" t="e">
        <f>AND('Ammonia Reconciliation Problem'!O3,"AAAAAH//Xwo=")</f>
        <v>#VALUE!</v>
      </c>
      <c r="L7" t="e">
        <f>AND('Ammonia Reconciliation Problem'!P3,"AAAAAH//Xws=")</f>
        <v>#VALUE!</v>
      </c>
      <c r="M7" t="e">
        <f>AND('Ammonia Reconciliation Problem'!Q3,"AAAAAH//Xww=")</f>
        <v>#VALUE!</v>
      </c>
      <c r="N7" t="e">
        <f>AND('Ammonia Reconciliation Problem'!R3,"AAAAAH//Xw0=")</f>
        <v>#VALUE!</v>
      </c>
      <c r="O7">
        <f>IF('Ammonia Reconciliation Problem'!4:4,"AAAAAH//Xw4=",0)</f>
        <v>0</v>
      </c>
      <c r="P7" t="e">
        <f>AND('Ammonia Reconciliation Problem'!A4,"AAAAAH//Xw8=")</f>
        <v>#VALUE!</v>
      </c>
      <c r="Q7" t="e">
        <f>AND('Ammonia Reconciliation Problem'!B4,"AAAAAH//XxA=")</f>
        <v>#VALUE!</v>
      </c>
      <c r="R7" t="e">
        <f>AND('Ammonia Reconciliation Problem'!C4,"AAAAAH//XxE=")</f>
        <v>#VALUE!</v>
      </c>
      <c r="S7" t="e">
        <f>AND('Ammonia Reconciliation Problem'!D4,"AAAAAH//XxI=")</f>
        <v>#VALUE!</v>
      </c>
      <c r="T7" t="e">
        <f>AND('Ammonia Reconciliation Problem'!E4,"AAAAAH//XxM=")</f>
        <v>#VALUE!</v>
      </c>
      <c r="U7" t="e">
        <f>AND('Ammonia Reconciliation Problem'!F4,"AAAAAH//XxQ=")</f>
        <v>#VALUE!</v>
      </c>
      <c r="V7" t="e">
        <f>AND('Ammonia Reconciliation Problem'!G4,"AAAAAH//XxU=")</f>
        <v>#VALUE!</v>
      </c>
      <c r="W7" t="e">
        <f>AND('Ammonia Reconciliation Problem'!H4,"AAAAAH//XxY=")</f>
        <v>#VALUE!</v>
      </c>
      <c r="X7" t="e">
        <f>AND('Ammonia Reconciliation Problem'!I4,"AAAAAH//Xxc=")</f>
        <v>#VALUE!</v>
      </c>
      <c r="Y7" t="e">
        <f>AND('Ammonia Reconciliation Problem'!J4,"AAAAAH//Xxg=")</f>
        <v>#VALUE!</v>
      </c>
      <c r="Z7" t="e">
        <f>AND('Ammonia Reconciliation Problem'!K4,"AAAAAH//Xxk=")</f>
        <v>#VALUE!</v>
      </c>
      <c r="AA7" t="e">
        <f>AND('Ammonia Reconciliation Problem'!L4,"AAAAAH//Xxo=")</f>
        <v>#VALUE!</v>
      </c>
      <c r="AB7" t="e">
        <f>AND('Ammonia Reconciliation Problem'!M4,"AAAAAH//Xxs=")</f>
        <v>#VALUE!</v>
      </c>
      <c r="AC7" t="e">
        <f>AND('Ammonia Reconciliation Problem'!N4,"AAAAAH//Xxw=")</f>
        <v>#VALUE!</v>
      </c>
      <c r="AD7" t="e">
        <f>AND('Ammonia Reconciliation Problem'!O4,"AAAAAH//Xx0=")</f>
        <v>#VALUE!</v>
      </c>
      <c r="AE7" t="e">
        <f>AND('Ammonia Reconciliation Problem'!P4,"AAAAAH//Xx4=")</f>
        <v>#VALUE!</v>
      </c>
      <c r="AF7" t="e">
        <f>AND('Ammonia Reconciliation Problem'!Q4,"AAAAAH//Xx8=")</f>
        <v>#VALUE!</v>
      </c>
      <c r="AG7" t="e">
        <f>AND('Ammonia Reconciliation Problem'!R4,"AAAAAH//XyA=")</f>
        <v>#VALUE!</v>
      </c>
      <c r="AH7">
        <f>IF('Ammonia Reconciliation Problem'!5:5,"AAAAAH//XyE=",0)</f>
        <v>0</v>
      </c>
      <c r="AI7" t="e">
        <f>AND('Ammonia Reconciliation Problem'!A5,"AAAAAH//XyI=")</f>
        <v>#VALUE!</v>
      </c>
      <c r="AJ7" t="e">
        <f>AND('Ammonia Reconciliation Problem'!B5,"AAAAAH//XyM=")</f>
        <v>#VALUE!</v>
      </c>
      <c r="AK7" t="e">
        <f>AND('Ammonia Reconciliation Problem'!C5,"AAAAAH//XyQ=")</f>
        <v>#VALUE!</v>
      </c>
      <c r="AL7" t="e">
        <f>AND('Ammonia Reconciliation Problem'!D5,"AAAAAH//XyU=")</f>
        <v>#VALUE!</v>
      </c>
      <c r="AM7" t="e">
        <f>AND('Ammonia Reconciliation Problem'!E5,"AAAAAH//XyY=")</f>
        <v>#VALUE!</v>
      </c>
      <c r="AN7" t="e">
        <f>AND('Ammonia Reconciliation Problem'!F5,"AAAAAH//Xyc=")</f>
        <v>#VALUE!</v>
      </c>
      <c r="AO7" t="e">
        <f>AND('Ammonia Reconciliation Problem'!G5,"AAAAAH//Xyg=")</f>
        <v>#VALUE!</v>
      </c>
      <c r="AP7" t="e">
        <f>AND('Ammonia Reconciliation Problem'!H5,"AAAAAH//Xyk=")</f>
        <v>#VALUE!</v>
      </c>
      <c r="AQ7" t="e">
        <f>AND('Ammonia Reconciliation Problem'!I5,"AAAAAH//Xyo=")</f>
        <v>#VALUE!</v>
      </c>
      <c r="AR7" t="e">
        <f>AND('Ammonia Reconciliation Problem'!J5,"AAAAAH//Xys=")</f>
        <v>#VALUE!</v>
      </c>
      <c r="AS7" t="e">
        <f>AND('Ammonia Reconciliation Problem'!K5,"AAAAAH//Xyw=")</f>
        <v>#VALUE!</v>
      </c>
      <c r="AT7" t="e">
        <f>AND('Ammonia Reconciliation Problem'!L5,"AAAAAH//Xy0=")</f>
        <v>#VALUE!</v>
      </c>
      <c r="AU7" t="e">
        <f>AND('Ammonia Reconciliation Problem'!M5,"AAAAAH//Xy4=")</f>
        <v>#VALUE!</v>
      </c>
      <c r="AV7" t="e">
        <f>AND('Ammonia Reconciliation Problem'!N5,"AAAAAH//Xy8=")</f>
        <v>#VALUE!</v>
      </c>
      <c r="AW7" t="e">
        <f>AND('Ammonia Reconciliation Problem'!O5,"AAAAAH//XzA=")</f>
        <v>#VALUE!</v>
      </c>
      <c r="AX7" t="e">
        <f>AND('Ammonia Reconciliation Problem'!P5,"AAAAAH//XzE=")</f>
        <v>#VALUE!</v>
      </c>
      <c r="AY7" t="e">
        <f>AND('Ammonia Reconciliation Problem'!Q5,"AAAAAH//XzI=")</f>
        <v>#VALUE!</v>
      </c>
      <c r="AZ7" t="e">
        <f>AND('Ammonia Reconciliation Problem'!R5,"AAAAAH//XzM=")</f>
        <v>#VALUE!</v>
      </c>
      <c r="BA7">
        <f>IF('Ammonia Reconciliation Problem'!6:6,"AAAAAH//XzQ=",0)</f>
        <v>0</v>
      </c>
      <c r="BB7" t="e">
        <f>AND('Ammonia Reconciliation Problem'!A6,"AAAAAH//XzU=")</f>
        <v>#VALUE!</v>
      </c>
      <c r="BC7" t="e">
        <f>AND('Ammonia Reconciliation Problem'!B6,"AAAAAH//XzY=")</f>
        <v>#VALUE!</v>
      </c>
      <c r="BD7" t="e">
        <f>AND('Ammonia Reconciliation Problem'!C6,"AAAAAH//Xzc=")</f>
        <v>#VALUE!</v>
      </c>
      <c r="BE7" t="e">
        <f>AND('Ammonia Reconciliation Problem'!D6,"AAAAAH//Xzg=")</f>
        <v>#VALUE!</v>
      </c>
      <c r="BF7" t="e">
        <f>AND('Ammonia Reconciliation Problem'!E6,"AAAAAH//Xzk=")</f>
        <v>#VALUE!</v>
      </c>
      <c r="BG7" t="e">
        <f>AND('Ammonia Reconciliation Problem'!F6,"AAAAAH//Xzo=")</f>
        <v>#VALUE!</v>
      </c>
      <c r="BH7" t="e">
        <f>AND('Ammonia Reconciliation Problem'!G6,"AAAAAH//Xzs=")</f>
        <v>#VALUE!</v>
      </c>
      <c r="BI7" t="e">
        <f>AND('Ammonia Reconciliation Problem'!H6,"AAAAAH//Xzw=")</f>
        <v>#VALUE!</v>
      </c>
      <c r="BJ7" t="e">
        <f>AND('Ammonia Reconciliation Problem'!I6,"AAAAAH//Xz0=")</f>
        <v>#VALUE!</v>
      </c>
      <c r="BK7" t="e">
        <f>AND('Ammonia Reconciliation Problem'!J6,"AAAAAH//Xz4=")</f>
        <v>#VALUE!</v>
      </c>
      <c r="BL7" t="e">
        <f>AND('Ammonia Reconciliation Problem'!K6,"AAAAAH//Xz8=")</f>
        <v>#VALUE!</v>
      </c>
      <c r="BM7" t="e">
        <f>AND('Ammonia Reconciliation Problem'!L6,"AAAAAH//X0A=")</f>
        <v>#VALUE!</v>
      </c>
      <c r="BN7" t="e">
        <f>AND('Ammonia Reconciliation Problem'!M6,"AAAAAH//X0E=")</f>
        <v>#VALUE!</v>
      </c>
      <c r="BO7" t="e">
        <f>AND('Ammonia Reconciliation Problem'!N6,"AAAAAH//X0I=")</f>
        <v>#VALUE!</v>
      </c>
      <c r="BP7" t="e">
        <f>AND('Ammonia Reconciliation Problem'!O6,"AAAAAH//X0M=")</f>
        <v>#VALUE!</v>
      </c>
      <c r="BQ7" t="e">
        <f>AND('Ammonia Reconciliation Problem'!P6,"AAAAAH//X0Q=")</f>
        <v>#VALUE!</v>
      </c>
      <c r="BR7" t="e">
        <f>AND('Ammonia Reconciliation Problem'!Q6,"AAAAAH//X0U=")</f>
        <v>#VALUE!</v>
      </c>
      <c r="BS7" t="e">
        <f>AND('Ammonia Reconciliation Problem'!R6,"AAAAAH//X0Y=")</f>
        <v>#VALUE!</v>
      </c>
      <c r="BT7">
        <f>IF('Ammonia Reconciliation Problem'!7:7,"AAAAAH//X0c=",0)</f>
        <v>0</v>
      </c>
      <c r="BU7" t="e">
        <f>AND('Ammonia Reconciliation Problem'!A7,"AAAAAH//X0g=")</f>
        <v>#VALUE!</v>
      </c>
      <c r="BV7" t="e">
        <f>AND('Ammonia Reconciliation Problem'!B7,"AAAAAH//X0k=")</f>
        <v>#VALUE!</v>
      </c>
      <c r="BW7" t="e">
        <f>AND('Ammonia Reconciliation Problem'!C7,"AAAAAH//X0o=")</f>
        <v>#VALUE!</v>
      </c>
      <c r="BX7" t="e">
        <f>AND('Ammonia Reconciliation Problem'!D7,"AAAAAH//X0s=")</f>
        <v>#VALUE!</v>
      </c>
      <c r="BY7" t="e">
        <f>AND('Ammonia Reconciliation Problem'!E7,"AAAAAH//X0w=")</f>
        <v>#VALUE!</v>
      </c>
      <c r="BZ7" t="e">
        <f>AND('Ammonia Reconciliation Problem'!F7,"AAAAAH//X00=")</f>
        <v>#VALUE!</v>
      </c>
      <c r="CA7" t="e">
        <f>AND('Ammonia Reconciliation Problem'!G7,"AAAAAH//X04=")</f>
        <v>#VALUE!</v>
      </c>
      <c r="CB7" t="e">
        <f>AND('Ammonia Reconciliation Problem'!H7,"AAAAAH//X08=")</f>
        <v>#VALUE!</v>
      </c>
      <c r="CC7" t="e">
        <f>AND('Ammonia Reconciliation Problem'!I7,"AAAAAH//X1A=")</f>
        <v>#VALUE!</v>
      </c>
      <c r="CD7" t="e">
        <f>AND('Ammonia Reconciliation Problem'!J7,"AAAAAH//X1E=")</f>
        <v>#VALUE!</v>
      </c>
      <c r="CE7" t="e">
        <f>AND('Ammonia Reconciliation Problem'!K7,"AAAAAH//X1I=")</f>
        <v>#VALUE!</v>
      </c>
      <c r="CF7" t="e">
        <f>AND('Ammonia Reconciliation Problem'!L7,"AAAAAH//X1M=")</f>
        <v>#VALUE!</v>
      </c>
      <c r="CG7" t="e">
        <f>AND('Ammonia Reconciliation Problem'!M7,"AAAAAH//X1Q=")</f>
        <v>#VALUE!</v>
      </c>
      <c r="CH7" t="e">
        <f>AND('Ammonia Reconciliation Problem'!N7,"AAAAAH//X1U=")</f>
        <v>#VALUE!</v>
      </c>
      <c r="CI7" t="e">
        <f>AND('Ammonia Reconciliation Problem'!O7,"AAAAAH//X1Y=")</f>
        <v>#VALUE!</v>
      </c>
      <c r="CJ7" t="e">
        <f>AND('Ammonia Reconciliation Problem'!P7,"AAAAAH//X1c=")</f>
        <v>#VALUE!</v>
      </c>
      <c r="CK7" t="e">
        <f>AND('Ammonia Reconciliation Problem'!Q7,"AAAAAH//X1g=")</f>
        <v>#VALUE!</v>
      </c>
      <c r="CL7" t="e">
        <f>AND('Ammonia Reconciliation Problem'!R7,"AAAAAH//X1k=")</f>
        <v>#VALUE!</v>
      </c>
      <c r="CM7">
        <f>IF('Ammonia Reconciliation Problem'!8:8,"AAAAAH//X1o=",0)</f>
        <v>0</v>
      </c>
      <c r="CN7" t="e">
        <f>AND('Ammonia Reconciliation Problem'!A8,"AAAAAH//X1s=")</f>
        <v>#VALUE!</v>
      </c>
      <c r="CO7" t="e">
        <f>AND('Ammonia Reconciliation Problem'!B8,"AAAAAH//X1w=")</f>
        <v>#VALUE!</v>
      </c>
      <c r="CP7" t="e">
        <f>AND('Ammonia Reconciliation Problem'!C8,"AAAAAH//X10=")</f>
        <v>#VALUE!</v>
      </c>
      <c r="CQ7" t="e">
        <f>AND('Ammonia Reconciliation Problem'!D8,"AAAAAH//X14=")</f>
        <v>#VALUE!</v>
      </c>
      <c r="CR7" t="e">
        <f>AND('Ammonia Reconciliation Problem'!E8,"AAAAAH//X18=")</f>
        <v>#VALUE!</v>
      </c>
      <c r="CS7" t="e">
        <f>AND('Ammonia Reconciliation Problem'!F8,"AAAAAH//X2A=")</f>
        <v>#VALUE!</v>
      </c>
      <c r="CT7" t="e">
        <f>AND('Ammonia Reconciliation Problem'!G8,"AAAAAH//X2E=")</f>
        <v>#VALUE!</v>
      </c>
      <c r="CU7" t="e">
        <f>AND('Ammonia Reconciliation Problem'!H8,"AAAAAH//X2I=")</f>
        <v>#VALUE!</v>
      </c>
      <c r="CV7" t="e">
        <f>AND('Ammonia Reconciliation Problem'!I8,"AAAAAH//X2M=")</f>
        <v>#VALUE!</v>
      </c>
      <c r="CW7" t="e">
        <f>AND('Ammonia Reconciliation Problem'!J8,"AAAAAH//X2Q=")</f>
        <v>#VALUE!</v>
      </c>
      <c r="CX7" t="e">
        <f>AND('Ammonia Reconciliation Problem'!K8,"AAAAAH//X2U=")</f>
        <v>#VALUE!</v>
      </c>
      <c r="CY7" t="e">
        <f>AND('Ammonia Reconciliation Problem'!L8,"AAAAAH//X2Y=")</f>
        <v>#VALUE!</v>
      </c>
      <c r="CZ7" t="e">
        <f>AND('Ammonia Reconciliation Problem'!M8,"AAAAAH//X2c=")</f>
        <v>#VALUE!</v>
      </c>
      <c r="DA7" t="e">
        <f>AND('Ammonia Reconciliation Problem'!N8,"AAAAAH//X2g=")</f>
        <v>#VALUE!</v>
      </c>
      <c r="DB7" t="e">
        <f>AND('Ammonia Reconciliation Problem'!O8,"AAAAAH//X2k=")</f>
        <v>#VALUE!</v>
      </c>
      <c r="DC7" t="e">
        <f>AND('Ammonia Reconciliation Problem'!P8,"AAAAAH//X2o=")</f>
        <v>#VALUE!</v>
      </c>
      <c r="DD7" t="e">
        <f>AND('Ammonia Reconciliation Problem'!Q8,"AAAAAH//X2s=")</f>
        <v>#VALUE!</v>
      </c>
      <c r="DE7" t="e">
        <f>AND('Ammonia Reconciliation Problem'!R8,"AAAAAH//X2w=")</f>
        <v>#VALUE!</v>
      </c>
      <c r="DF7">
        <f>IF('Ammonia Reconciliation Problem'!9:9,"AAAAAH//X20=",0)</f>
        <v>0</v>
      </c>
      <c r="DG7" t="e">
        <f>AND('Ammonia Reconciliation Problem'!A9,"AAAAAH//X24=")</f>
        <v>#VALUE!</v>
      </c>
      <c r="DH7" t="e">
        <f>AND('Ammonia Reconciliation Problem'!B9,"AAAAAH//X28=")</f>
        <v>#VALUE!</v>
      </c>
      <c r="DI7" t="e">
        <f>AND('Ammonia Reconciliation Problem'!C9,"AAAAAH//X3A=")</f>
        <v>#VALUE!</v>
      </c>
      <c r="DJ7" t="e">
        <f>AND('Ammonia Reconciliation Problem'!D9,"AAAAAH//X3E=")</f>
        <v>#VALUE!</v>
      </c>
      <c r="DK7" t="e">
        <f>AND('Ammonia Reconciliation Problem'!E9,"AAAAAH//X3I=")</f>
        <v>#VALUE!</v>
      </c>
      <c r="DL7" t="e">
        <f>AND('Ammonia Reconciliation Problem'!F9,"AAAAAH//X3M=")</f>
        <v>#VALUE!</v>
      </c>
      <c r="DM7" t="e">
        <f>AND('Ammonia Reconciliation Problem'!G9,"AAAAAH//X3Q=")</f>
        <v>#VALUE!</v>
      </c>
      <c r="DN7" t="e">
        <f>AND('Ammonia Reconciliation Problem'!H9,"AAAAAH//X3U=")</f>
        <v>#VALUE!</v>
      </c>
      <c r="DO7" t="e">
        <f>AND('Ammonia Reconciliation Problem'!I9,"AAAAAH//X3Y=")</f>
        <v>#VALUE!</v>
      </c>
      <c r="DP7" t="e">
        <f>AND('Ammonia Reconciliation Problem'!J9,"AAAAAH//X3c=")</f>
        <v>#VALUE!</v>
      </c>
      <c r="DQ7" t="e">
        <f>AND('Ammonia Reconciliation Problem'!K9,"AAAAAH//X3g=")</f>
        <v>#VALUE!</v>
      </c>
      <c r="DR7" t="e">
        <f>AND('Ammonia Reconciliation Problem'!L9,"AAAAAH//X3k=")</f>
        <v>#VALUE!</v>
      </c>
      <c r="DS7" t="e">
        <f>AND('Ammonia Reconciliation Problem'!M9,"AAAAAH//X3o=")</f>
        <v>#VALUE!</v>
      </c>
      <c r="DT7" t="e">
        <f>AND('Ammonia Reconciliation Problem'!N9,"AAAAAH//X3s=")</f>
        <v>#VALUE!</v>
      </c>
      <c r="DU7" t="e">
        <f>AND('Ammonia Reconciliation Problem'!O9,"AAAAAH//X3w=")</f>
        <v>#VALUE!</v>
      </c>
      <c r="DV7" t="e">
        <f>AND('Ammonia Reconciliation Problem'!P9,"AAAAAH//X30=")</f>
        <v>#VALUE!</v>
      </c>
      <c r="DW7" t="e">
        <f>AND('Ammonia Reconciliation Problem'!Q9,"AAAAAH//X34=")</f>
        <v>#VALUE!</v>
      </c>
      <c r="DX7" t="e">
        <f>AND('Ammonia Reconciliation Problem'!R9,"AAAAAH//X38=")</f>
        <v>#VALUE!</v>
      </c>
      <c r="DY7">
        <f>IF('Ammonia Reconciliation Problem'!10:10,"AAAAAH//X4A=",0)</f>
        <v>0</v>
      </c>
      <c r="DZ7" t="e">
        <f>AND('Ammonia Reconciliation Problem'!A10,"AAAAAH//X4E=")</f>
        <v>#VALUE!</v>
      </c>
      <c r="EA7" t="e">
        <f>AND('Ammonia Reconciliation Problem'!B10,"AAAAAH//X4I=")</f>
        <v>#VALUE!</v>
      </c>
      <c r="EB7" t="e">
        <f>AND('Ammonia Reconciliation Problem'!C10,"AAAAAH//X4M=")</f>
        <v>#VALUE!</v>
      </c>
      <c r="EC7" t="e">
        <f>AND('Ammonia Reconciliation Problem'!D10,"AAAAAH//X4Q=")</f>
        <v>#VALUE!</v>
      </c>
      <c r="ED7" t="e">
        <f>AND('Ammonia Reconciliation Problem'!E10,"AAAAAH//X4U=")</f>
        <v>#VALUE!</v>
      </c>
      <c r="EE7" t="e">
        <f>AND('Ammonia Reconciliation Problem'!F10,"AAAAAH//X4Y=")</f>
        <v>#VALUE!</v>
      </c>
      <c r="EF7" t="e">
        <f>AND('Ammonia Reconciliation Problem'!G10,"AAAAAH//X4c=")</f>
        <v>#VALUE!</v>
      </c>
      <c r="EG7" t="e">
        <f>AND('Ammonia Reconciliation Problem'!H10,"AAAAAH//X4g=")</f>
        <v>#VALUE!</v>
      </c>
      <c r="EH7" t="e">
        <f>AND('Ammonia Reconciliation Problem'!I10,"AAAAAH//X4k=")</f>
        <v>#VALUE!</v>
      </c>
      <c r="EI7" t="e">
        <f>AND('Ammonia Reconciliation Problem'!J10,"AAAAAH//X4o=")</f>
        <v>#VALUE!</v>
      </c>
      <c r="EJ7" t="e">
        <f>AND('Ammonia Reconciliation Problem'!K10,"AAAAAH//X4s=")</f>
        <v>#VALUE!</v>
      </c>
      <c r="EK7" t="e">
        <f>AND('Ammonia Reconciliation Problem'!L10,"AAAAAH//X4w=")</f>
        <v>#VALUE!</v>
      </c>
      <c r="EL7" t="e">
        <f>AND('Ammonia Reconciliation Problem'!M10,"AAAAAH//X40=")</f>
        <v>#VALUE!</v>
      </c>
      <c r="EM7" t="e">
        <f>AND('Ammonia Reconciliation Problem'!N10,"AAAAAH//X44=")</f>
        <v>#VALUE!</v>
      </c>
      <c r="EN7" t="e">
        <f>AND('Ammonia Reconciliation Problem'!O10,"AAAAAH//X48=")</f>
        <v>#VALUE!</v>
      </c>
      <c r="EO7" t="e">
        <f>AND('Ammonia Reconciliation Problem'!P10,"AAAAAH//X5A=")</f>
        <v>#VALUE!</v>
      </c>
      <c r="EP7" t="e">
        <f>AND('Ammonia Reconciliation Problem'!Q10,"AAAAAH//X5E=")</f>
        <v>#VALUE!</v>
      </c>
      <c r="EQ7" t="e">
        <f>AND('Ammonia Reconciliation Problem'!R10,"AAAAAH//X5I=")</f>
        <v>#VALUE!</v>
      </c>
      <c r="ER7">
        <f>IF('Ammonia Reconciliation Problem'!11:11,"AAAAAH//X5M=",0)</f>
        <v>0</v>
      </c>
      <c r="ES7" t="e">
        <f>AND('Ammonia Reconciliation Problem'!A11,"AAAAAH//X5Q=")</f>
        <v>#VALUE!</v>
      </c>
      <c r="ET7" t="e">
        <f>AND('Ammonia Reconciliation Problem'!B11,"AAAAAH//X5U=")</f>
        <v>#VALUE!</v>
      </c>
      <c r="EU7" t="e">
        <f>AND('Ammonia Reconciliation Problem'!C11,"AAAAAH//X5Y=")</f>
        <v>#VALUE!</v>
      </c>
      <c r="EV7" t="e">
        <f>AND('Ammonia Reconciliation Problem'!D11,"AAAAAH//X5c=")</f>
        <v>#VALUE!</v>
      </c>
      <c r="EW7" t="e">
        <f>AND('Ammonia Reconciliation Problem'!E11,"AAAAAH//X5g=")</f>
        <v>#VALUE!</v>
      </c>
      <c r="EX7" t="e">
        <f>AND('Ammonia Reconciliation Problem'!F11,"AAAAAH//X5k=")</f>
        <v>#VALUE!</v>
      </c>
      <c r="EY7" t="e">
        <f>AND('Ammonia Reconciliation Problem'!G11,"AAAAAH//X5o=")</f>
        <v>#VALUE!</v>
      </c>
      <c r="EZ7" t="e">
        <f>AND('Ammonia Reconciliation Problem'!H11,"AAAAAH//X5s=")</f>
        <v>#VALUE!</v>
      </c>
      <c r="FA7" t="e">
        <f>AND('Ammonia Reconciliation Problem'!I11,"AAAAAH//X5w=")</f>
        <v>#VALUE!</v>
      </c>
      <c r="FB7" t="e">
        <f>AND('Ammonia Reconciliation Problem'!J11,"AAAAAH//X50=")</f>
        <v>#VALUE!</v>
      </c>
      <c r="FC7" t="e">
        <f>AND('Ammonia Reconciliation Problem'!K11,"AAAAAH//X54=")</f>
        <v>#VALUE!</v>
      </c>
      <c r="FD7" t="e">
        <f>AND('Ammonia Reconciliation Problem'!L11,"AAAAAH//X58=")</f>
        <v>#VALUE!</v>
      </c>
      <c r="FE7" t="e">
        <f>AND('Ammonia Reconciliation Problem'!M11,"AAAAAH//X6A=")</f>
        <v>#VALUE!</v>
      </c>
      <c r="FF7" t="e">
        <f>AND('Ammonia Reconciliation Problem'!N11,"AAAAAH//X6E=")</f>
        <v>#VALUE!</v>
      </c>
      <c r="FG7" t="e">
        <f>AND('Ammonia Reconciliation Problem'!O11,"AAAAAH//X6I=")</f>
        <v>#VALUE!</v>
      </c>
      <c r="FH7" t="e">
        <f>AND('Ammonia Reconciliation Problem'!P11,"AAAAAH//X6M=")</f>
        <v>#VALUE!</v>
      </c>
      <c r="FI7" t="e">
        <f>AND('Ammonia Reconciliation Problem'!Q11,"AAAAAH//X6Q=")</f>
        <v>#VALUE!</v>
      </c>
      <c r="FJ7" t="e">
        <f>AND('Ammonia Reconciliation Problem'!R11,"AAAAAH//X6U=")</f>
        <v>#VALUE!</v>
      </c>
      <c r="FK7">
        <f>IF('Ammonia Reconciliation Problem'!12:12,"AAAAAH//X6Y=",0)</f>
        <v>0</v>
      </c>
      <c r="FL7" t="e">
        <f>AND('Ammonia Reconciliation Problem'!A12,"AAAAAH//X6c=")</f>
        <v>#VALUE!</v>
      </c>
      <c r="FM7" t="e">
        <f>AND('Ammonia Reconciliation Problem'!B12,"AAAAAH//X6g=")</f>
        <v>#VALUE!</v>
      </c>
      <c r="FN7" t="e">
        <f>AND('Ammonia Reconciliation Problem'!C12,"AAAAAH//X6k=")</f>
        <v>#VALUE!</v>
      </c>
      <c r="FO7" t="e">
        <f>AND('Ammonia Reconciliation Problem'!D12,"AAAAAH//X6o=")</f>
        <v>#VALUE!</v>
      </c>
      <c r="FP7" t="e">
        <f>AND('Ammonia Reconciliation Problem'!E12,"AAAAAH//X6s=")</f>
        <v>#VALUE!</v>
      </c>
      <c r="FQ7" t="e">
        <f>AND('Ammonia Reconciliation Problem'!F12,"AAAAAH//X6w=")</f>
        <v>#VALUE!</v>
      </c>
      <c r="FR7" t="e">
        <f>AND('Ammonia Reconciliation Problem'!G12,"AAAAAH//X60=")</f>
        <v>#VALUE!</v>
      </c>
      <c r="FS7" t="e">
        <f>AND('Ammonia Reconciliation Problem'!H12,"AAAAAH//X64=")</f>
        <v>#VALUE!</v>
      </c>
      <c r="FT7" t="e">
        <f>AND('Ammonia Reconciliation Problem'!I12,"AAAAAH//X68=")</f>
        <v>#VALUE!</v>
      </c>
      <c r="FU7" t="e">
        <f>AND('Ammonia Reconciliation Problem'!J12,"AAAAAH//X7A=")</f>
        <v>#VALUE!</v>
      </c>
      <c r="FV7" t="e">
        <f>AND('Ammonia Reconciliation Problem'!K12,"AAAAAH//X7E=")</f>
        <v>#VALUE!</v>
      </c>
      <c r="FW7" t="e">
        <f>AND('Ammonia Reconciliation Problem'!L12,"AAAAAH//X7I=")</f>
        <v>#VALUE!</v>
      </c>
      <c r="FX7" t="e">
        <f>AND('Ammonia Reconciliation Problem'!M12,"AAAAAH//X7M=")</f>
        <v>#VALUE!</v>
      </c>
      <c r="FY7" t="e">
        <f>AND('Ammonia Reconciliation Problem'!N12,"AAAAAH//X7Q=")</f>
        <v>#VALUE!</v>
      </c>
      <c r="FZ7" t="e">
        <f>AND('Ammonia Reconciliation Problem'!O12,"AAAAAH//X7U=")</f>
        <v>#VALUE!</v>
      </c>
      <c r="GA7" t="e">
        <f>AND('Ammonia Reconciliation Problem'!P12,"AAAAAH//X7Y=")</f>
        <v>#VALUE!</v>
      </c>
      <c r="GB7" t="e">
        <f>AND('Ammonia Reconciliation Problem'!Q12,"AAAAAH//X7c=")</f>
        <v>#VALUE!</v>
      </c>
      <c r="GC7" t="e">
        <f>AND('Ammonia Reconciliation Problem'!R12,"AAAAAH//X7g=")</f>
        <v>#VALUE!</v>
      </c>
      <c r="GD7">
        <f>IF('Ammonia Reconciliation Problem'!13:13,"AAAAAH//X7k=",0)</f>
        <v>0</v>
      </c>
      <c r="GE7" t="e">
        <f>AND('Ammonia Reconciliation Problem'!A13,"AAAAAH//X7o=")</f>
        <v>#VALUE!</v>
      </c>
      <c r="GF7" t="e">
        <f>AND('Ammonia Reconciliation Problem'!B13,"AAAAAH//X7s=")</f>
        <v>#VALUE!</v>
      </c>
      <c r="GG7" t="e">
        <f>AND('Ammonia Reconciliation Problem'!C13,"AAAAAH//X7w=")</f>
        <v>#VALUE!</v>
      </c>
      <c r="GH7" t="e">
        <f>AND('Ammonia Reconciliation Problem'!D13,"AAAAAH//X70=")</f>
        <v>#VALUE!</v>
      </c>
      <c r="GI7" t="e">
        <f>AND('Ammonia Reconciliation Problem'!E13,"AAAAAH//X74=")</f>
        <v>#VALUE!</v>
      </c>
      <c r="GJ7" t="e">
        <f>AND('Ammonia Reconciliation Problem'!F13,"AAAAAH//X78=")</f>
        <v>#VALUE!</v>
      </c>
      <c r="GK7" t="e">
        <f>AND('Ammonia Reconciliation Problem'!G13,"AAAAAH//X8A=")</f>
        <v>#VALUE!</v>
      </c>
      <c r="GL7" t="e">
        <f>AND('Ammonia Reconciliation Problem'!H13,"AAAAAH//X8E=")</f>
        <v>#VALUE!</v>
      </c>
      <c r="GM7" t="e">
        <f>AND('Ammonia Reconciliation Problem'!I13,"AAAAAH//X8I=")</f>
        <v>#VALUE!</v>
      </c>
      <c r="GN7" t="e">
        <f>AND('Ammonia Reconciliation Problem'!J13,"AAAAAH//X8M=")</f>
        <v>#VALUE!</v>
      </c>
      <c r="GO7" t="e">
        <f>AND('Ammonia Reconciliation Problem'!K13,"AAAAAH//X8Q=")</f>
        <v>#VALUE!</v>
      </c>
      <c r="GP7" t="e">
        <f>AND('Ammonia Reconciliation Problem'!L13,"AAAAAH//X8U=")</f>
        <v>#VALUE!</v>
      </c>
      <c r="GQ7" t="e">
        <f>AND('Ammonia Reconciliation Problem'!M13,"AAAAAH//X8Y=")</f>
        <v>#VALUE!</v>
      </c>
      <c r="GR7" t="e">
        <f>AND('Ammonia Reconciliation Problem'!N13,"AAAAAH//X8c=")</f>
        <v>#VALUE!</v>
      </c>
      <c r="GS7" t="e">
        <f>AND('Ammonia Reconciliation Problem'!O13,"AAAAAH//X8g=")</f>
        <v>#VALUE!</v>
      </c>
      <c r="GT7" t="e">
        <f>AND('Ammonia Reconciliation Problem'!P13,"AAAAAH//X8k=")</f>
        <v>#VALUE!</v>
      </c>
      <c r="GU7" t="e">
        <f>AND('Ammonia Reconciliation Problem'!Q13,"AAAAAH//X8o=")</f>
        <v>#VALUE!</v>
      </c>
      <c r="GV7" t="e">
        <f>AND('Ammonia Reconciliation Problem'!R13,"AAAAAH//X8s=")</f>
        <v>#VALUE!</v>
      </c>
      <c r="GW7">
        <f>IF('Ammonia Reconciliation Problem'!14:14,"AAAAAH//X8w=",0)</f>
        <v>0</v>
      </c>
      <c r="GX7" t="e">
        <f>AND('Ammonia Reconciliation Problem'!A14,"AAAAAH//X80=")</f>
        <v>#VALUE!</v>
      </c>
      <c r="GY7" t="e">
        <f>AND('Ammonia Reconciliation Problem'!B14,"AAAAAH//X84=")</f>
        <v>#VALUE!</v>
      </c>
      <c r="GZ7" t="e">
        <f>AND('Ammonia Reconciliation Problem'!C14,"AAAAAH//X88=")</f>
        <v>#VALUE!</v>
      </c>
      <c r="HA7" t="e">
        <f>AND('Ammonia Reconciliation Problem'!D14,"AAAAAH//X9A=")</f>
        <v>#VALUE!</v>
      </c>
      <c r="HB7" t="e">
        <f>AND('Ammonia Reconciliation Problem'!E14,"AAAAAH//X9E=")</f>
        <v>#VALUE!</v>
      </c>
      <c r="HC7" t="e">
        <f>AND('Ammonia Reconciliation Problem'!F14,"AAAAAH//X9I=")</f>
        <v>#VALUE!</v>
      </c>
      <c r="HD7" t="e">
        <f>AND('Ammonia Reconciliation Problem'!G14,"AAAAAH//X9M=")</f>
        <v>#VALUE!</v>
      </c>
      <c r="HE7" t="e">
        <f>AND('Ammonia Reconciliation Problem'!H14,"AAAAAH//X9Q=")</f>
        <v>#VALUE!</v>
      </c>
      <c r="HF7" t="e">
        <f>AND('Ammonia Reconciliation Problem'!I14,"AAAAAH//X9U=")</f>
        <v>#VALUE!</v>
      </c>
      <c r="HG7" t="e">
        <f>AND('Ammonia Reconciliation Problem'!J14,"AAAAAH//X9Y=")</f>
        <v>#VALUE!</v>
      </c>
      <c r="HH7" t="e">
        <f>AND('Ammonia Reconciliation Problem'!K14,"AAAAAH//X9c=")</f>
        <v>#VALUE!</v>
      </c>
      <c r="HI7" t="e">
        <f>AND('Ammonia Reconciliation Problem'!L14,"AAAAAH//X9g=")</f>
        <v>#VALUE!</v>
      </c>
      <c r="HJ7" t="e">
        <f>AND('Ammonia Reconciliation Problem'!M14,"AAAAAH//X9k=")</f>
        <v>#VALUE!</v>
      </c>
      <c r="HK7" t="e">
        <f>AND('Ammonia Reconciliation Problem'!N14,"AAAAAH//X9o=")</f>
        <v>#VALUE!</v>
      </c>
      <c r="HL7" t="e">
        <f>AND('Ammonia Reconciliation Problem'!O14,"AAAAAH//X9s=")</f>
        <v>#VALUE!</v>
      </c>
      <c r="HM7" t="e">
        <f>AND('Ammonia Reconciliation Problem'!P14,"AAAAAH//X9w=")</f>
        <v>#VALUE!</v>
      </c>
      <c r="HN7" t="e">
        <f>AND('Ammonia Reconciliation Problem'!Q14,"AAAAAH//X90=")</f>
        <v>#VALUE!</v>
      </c>
      <c r="HO7" t="e">
        <f>AND('Ammonia Reconciliation Problem'!R14,"AAAAAH//X94=")</f>
        <v>#VALUE!</v>
      </c>
      <c r="HP7">
        <f>IF('Ammonia Reconciliation Problem'!15:15,"AAAAAH//X98=",0)</f>
        <v>0</v>
      </c>
      <c r="HQ7" t="e">
        <f>AND('Ammonia Reconciliation Problem'!A15,"AAAAAH//X+A=")</f>
        <v>#VALUE!</v>
      </c>
      <c r="HR7" t="e">
        <f>AND('Ammonia Reconciliation Problem'!B15,"AAAAAH//X+E=")</f>
        <v>#VALUE!</v>
      </c>
      <c r="HS7" t="e">
        <f>AND('Ammonia Reconciliation Problem'!C15,"AAAAAH//X+I=")</f>
        <v>#VALUE!</v>
      </c>
      <c r="HT7" t="e">
        <f>AND('Ammonia Reconciliation Problem'!D15,"AAAAAH//X+M=")</f>
        <v>#VALUE!</v>
      </c>
      <c r="HU7" t="e">
        <f>AND('Ammonia Reconciliation Problem'!E15,"AAAAAH//X+Q=")</f>
        <v>#VALUE!</v>
      </c>
      <c r="HV7" t="e">
        <f>AND('Ammonia Reconciliation Problem'!F15,"AAAAAH//X+U=")</f>
        <v>#VALUE!</v>
      </c>
      <c r="HW7" t="e">
        <f>AND('Ammonia Reconciliation Problem'!G15,"AAAAAH//X+Y=")</f>
        <v>#VALUE!</v>
      </c>
      <c r="HX7" t="e">
        <f>AND('Ammonia Reconciliation Problem'!H15,"AAAAAH//X+c=")</f>
        <v>#VALUE!</v>
      </c>
      <c r="HY7" t="e">
        <f>AND('Ammonia Reconciliation Problem'!I15,"AAAAAH//X+g=")</f>
        <v>#VALUE!</v>
      </c>
      <c r="HZ7" t="e">
        <f>AND('Ammonia Reconciliation Problem'!J15,"AAAAAH//X+k=")</f>
        <v>#VALUE!</v>
      </c>
      <c r="IA7" t="e">
        <f>AND('Ammonia Reconciliation Problem'!K15,"AAAAAH//X+o=")</f>
        <v>#VALUE!</v>
      </c>
      <c r="IB7" t="e">
        <f>AND('Ammonia Reconciliation Problem'!L15,"AAAAAH//X+s=")</f>
        <v>#VALUE!</v>
      </c>
      <c r="IC7" t="e">
        <f>AND('Ammonia Reconciliation Problem'!M15,"AAAAAH//X+w=")</f>
        <v>#VALUE!</v>
      </c>
      <c r="ID7" t="e">
        <f>AND('Ammonia Reconciliation Problem'!N15,"AAAAAH//X+0=")</f>
        <v>#VALUE!</v>
      </c>
      <c r="IE7" t="e">
        <f>AND('Ammonia Reconciliation Problem'!O15,"AAAAAH//X+4=")</f>
        <v>#VALUE!</v>
      </c>
      <c r="IF7" t="e">
        <f>AND('Ammonia Reconciliation Problem'!P15,"AAAAAH//X+8=")</f>
        <v>#VALUE!</v>
      </c>
      <c r="IG7" t="e">
        <f>AND('Ammonia Reconciliation Problem'!Q15,"AAAAAH//X/A=")</f>
        <v>#VALUE!</v>
      </c>
      <c r="IH7" t="e">
        <f>AND('Ammonia Reconciliation Problem'!R15,"AAAAAH//X/E=")</f>
        <v>#VALUE!</v>
      </c>
      <c r="II7">
        <f>IF('Ammonia Reconciliation Problem'!16:16,"AAAAAH//X/I=",0)</f>
        <v>0</v>
      </c>
      <c r="IJ7" t="e">
        <f>AND('Ammonia Reconciliation Problem'!A16,"AAAAAH//X/M=")</f>
        <v>#VALUE!</v>
      </c>
      <c r="IK7" t="e">
        <f>AND('Ammonia Reconciliation Problem'!B16,"AAAAAH//X/Q=")</f>
        <v>#VALUE!</v>
      </c>
      <c r="IL7" t="e">
        <f>AND('Ammonia Reconciliation Problem'!C16,"AAAAAH//X/U=")</f>
        <v>#VALUE!</v>
      </c>
      <c r="IM7" t="e">
        <f>AND('Ammonia Reconciliation Problem'!D16,"AAAAAH//X/Y=")</f>
        <v>#VALUE!</v>
      </c>
      <c r="IN7" t="e">
        <f>AND('Ammonia Reconciliation Problem'!E16,"AAAAAH//X/c=")</f>
        <v>#VALUE!</v>
      </c>
      <c r="IO7" t="e">
        <f>AND('Ammonia Reconciliation Problem'!F16,"AAAAAH//X/g=")</f>
        <v>#VALUE!</v>
      </c>
      <c r="IP7" t="e">
        <f>AND('Ammonia Reconciliation Problem'!G16,"AAAAAH//X/k=")</f>
        <v>#VALUE!</v>
      </c>
      <c r="IQ7" t="e">
        <f>AND('Ammonia Reconciliation Problem'!H16,"AAAAAH//X/o=")</f>
        <v>#VALUE!</v>
      </c>
      <c r="IR7" t="e">
        <f>AND('Ammonia Reconciliation Problem'!I16,"AAAAAH//X/s=")</f>
        <v>#VALUE!</v>
      </c>
      <c r="IS7" t="e">
        <f>AND('Ammonia Reconciliation Problem'!J16,"AAAAAH//X/w=")</f>
        <v>#VALUE!</v>
      </c>
      <c r="IT7" t="e">
        <f>AND('Ammonia Reconciliation Problem'!K16,"AAAAAH//X/0=")</f>
        <v>#VALUE!</v>
      </c>
      <c r="IU7" t="e">
        <f>AND('Ammonia Reconciliation Problem'!L16,"AAAAAH//X/4=")</f>
        <v>#VALUE!</v>
      </c>
      <c r="IV7" t="e">
        <f>AND('Ammonia Reconciliation Problem'!M16,"AAAAAH//X/8=")</f>
        <v>#VALUE!</v>
      </c>
    </row>
    <row r="8" spans="1:256">
      <c r="A8" t="e">
        <f>AND('Ammonia Reconciliation Problem'!N16,"AAAAAH991QA=")</f>
        <v>#VALUE!</v>
      </c>
      <c r="B8" t="e">
        <f>AND('Ammonia Reconciliation Problem'!O16,"AAAAAH991QE=")</f>
        <v>#VALUE!</v>
      </c>
      <c r="C8" t="e">
        <f>AND('Ammonia Reconciliation Problem'!#REF!,"AAAAAH991QI=")</f>
        <v>#REF!</v>
      </c>
      <c r="D8" t="e">
        <f>AND('Ammonia Reconciliation Problem'!#REF!,"AAAAAH991QM=")</f>
        <v>#REF!</v>
      </c>
      <c r="E8" t="e">
        <f>AND('Ammonia Reconciliation Problem'!#REF!,"AAAAAH991QQ=")</f>
        <v>#REF!</v>
      </c>
      <c r="F8" t="str">
        <f>IF('Ammonia Reconciliation Problem'!17:17,"AAAAAH991QU=",0)</f>
        <v>AAAAAH991QU=</v>
      </c>
      <c r="G8" t="e">
        <f>AND('Ammonia Reconciliation Problem'!A17,"AAAAAH991QY=")</f>
        <v>#VALUE!</v>
      </c>
      <c r="H8" t="e">
        <f>AND('Ammonia Reconciliation Problem'!B17,"AAAAAH991Qc=")</f>
        <v>#VALUE!</v>
      </c>
      <c r="I8" t="e">
        <f>AND('Ammonia Reconciliation Problem'!C17,"AAAAAH991Qg=")</f>
        <v>#VALUE!</v>
      </c>
      <c r="J8" t="e">
        <f>AND('Ammonia Reconciliation Problem'!D17,"AAAAAH991Qk=")</f>
        <v>#VALUE!</v>
      </c>
      <c r="K8" t="e">
        <f>AND('Ammonia Reconciliation Problem'!E17,"AAAAAH991Qo=")</f>
        <v>#VALUE!</v>
      </c>
      <c r="L8" t="e">
        <f>AND('Ammonia Reconciliation Problem'!F17,"AAAAAH991Qs=")</f>
        <v>#VALUE!</v>
      </c>
      <c r="M8" t="e">
        <f>AND('Ammonia Reconciliation Problem'!G17,"AAAAAH991Qw=")</f>
        <v>#VALUE!</v>
      </c>
      <c r="N8" t="e">
        <f>AND('Ammonia Reconciliation Problem'!H17,"AAAAAH991Q0=")</f>
        <v>#VALUE!</v>
      </c>
      <c r="O8" t="e">
        <f>AND('Ammonia Reconciliation Problem'!I17,"AAAAAH991Q4=")</f>
        <v>#VALUE!</v>
      </c>
      <c r="P8" t="e">
        <f>AND('Ammonia Reconciliation Problem'!J17,"AAAAAH991Q8=")</f>
        <v>#VALUE!</v>
      </c>
      <c r="Q8" t="e">
        <f>AND('Ammonia Reconciliation Problem'!K17,"AAAAAH991RA=")</f>
        <v>#VALUE!</v>
      </c>
      <c r="R8" t="e">
        <f>AND('Ammonia Reconciliation Problem'!L17,"AAAAAH991RE=")</f>
        <v>#VALUE!</v>
      </c>
      <c r="S8" t="e">
        <f>AND('Ammonia Reconciliation Problem'!M17,"AAAAAH991RI=")</f>
        <v>#VALUE!</v>
      </c>
      <c r="T8" t="e">
        <f>AND('Ammonia Reconciliation Problem'!N17,"AAAAAH991RM=")</f>
        <v>#VALUE!</v>
      </c>
      <c r="U8" t="e">
        <f>AND('Ammonia Reconciliation Problem'!O17,"AAAAAH991RQ=")</f>
        <v>#VALUE!</v>
      </c>
      <c r="V8" t="e">
        <f>AND('Ammonia Reconciliation Problem'!P16,"AAAAAH991RU=")</f>
        <v>#VALUE!</v>
      </c>
      <c r="W8" t="e">
        <f>AND('Ammonia Reconciliation Problem'!Q16,"AAAAAH991RY=")</f>
        <v>#VALUE!</v>
      </c>
      <c r="X8" t="e">
        <f>AND('Ammonia Reconciliation Problem'!R16,"AAAAAH991Rc=")</f>
        <v>#VALUE!</v>
      </c>
      <c r="Y8">
        <f>IF('Ammonia Reconciliation Problem'!18:18,"AAAAAH991Rg=",0)</f>
        <v>0</v>
      </c>
      <c r="Z8" t="e">
        <f>AND('Ammonia Reconciliation Problem'!A18,"AAAAAH991Rk=")</f>
        <v>#VALUE!</v>
      </c>
      <c r="AA8" t="e">
        <f>AND('Ammonia Reconciliation Problem'!B18,"AAAAAH991Ro=")</f>
        <v>#VALUE!</v>
      </c>
      <c r="AB8" t="e">
        <f>AND('Ammonia Reconciliation Problem'!C18,"AAAAAH991Rs=")</f>
        <v>#VALUE!</v>
      </c>
      <c r="AC8" t="e">
        <f>AND('Ammonia Reconciliation Problem'!D18,"AAAAAH991Rw=")</f>
        <v>#VALUE!</v>
      </c>
      <c r="AD8" t="e">
        <f>AND('Ammonia Reconciliation Problem'!E18,"AAAAAH991R0=")</f>
        <v>#VALUE!</v>
      </c>
      <c r="AE8" t="e">
        <f>AND('Ammonia Reconciliation Problem'!F18,"AAAAAH991R4=")</f>
        <v>#VALUE!</v>
      </c>
      <c r="AF8" t="e">
        <f>AND('Ammonia Reconciliation Problem'!G18,"AAAAAH991R8=")</f>
        <v>#VALUE!</v>
      </c>
      <c r="AG8" t="e">
        <f>AND('Ammonia Reconciliation Problem'!H18,"AAAAAH991SA=")</f>
        <v>#VALUE!</v>
      </c>
      <c r="AH8" t="e">
        <f>AND('Ammonia Reconciliation Problem'!I18,"AAAAAH991SE=")</f>
        <v>#VALUE!</v>
      </c>
      <c r="AI8" t="e">
        <f>AND('Ammonia Reconciliation Problem'!J18,"AAAAAH991SI=")</f>
        <v>#VALUE!</v>
      </c>
      <c r="AJ8" t="e">
        <f>AND('Ammonia Reconciliation Problem'!K18,"AAAAAH991SM=")</f>
        <v>#VALUE!</v>
      </c>
      <c r="AK8" t="e">
        <f>AND('Ammonia Reconciliation Problem'!L18,"AAAAAH991SQ=")</f>
        <v>#VALUE!</v>
      </c>
      <c r="AL8" t="e">
        <f>AND('Ammonia Reconciliation Problem'!M18,"AAAAAH991SU=")</f>
        <v>#VALUE!</v>
      </c>
      <c r="AM8" t="e">
        <f>AND('Ammonia Reconciliation Problem'!N18,"AAAAAH991SY=")</f>
        <v>#VALUE!</v>
      </c>
      <c r="AN8" t="e">
        <f>AND('Ammonia Reconciliation Problem'!O18,"AAAAAH991Sc=")</f>
        <v>#VALUE!</v>
      </c>
      <c r="AO8" t="e">
        <f>AND('Ammonia Reconciliation Problem'!P17,"AAAAAH991Sg=")</f>
        <v>#VALUE!</v>
      </c>
      <c r="AP8" t="e">
        <f>AND('Ammonia Reconciliation Problem'!Q17,"AAAAAH991Sk=")</f>
        <v>#VALUE!</v>
      </c>
      <c r="AQ8" t="e">
        <f>AND('Ammonia Reconciliation Problem'!R17,"AAAAAH991So=")</f>
        <v>#VALUE!</v>
      </c>
      <c r="AR8">
        <f>IF('Ammonia Reconciliation Problem'!19:19,"AAAAAH991Ss=",0)</f>
        <v>0</v>
      </c>
      <c r="AS8" t="e">
        <f>AND('Ammonia Reconciliation Problem'!A19,"AAAAAH991Sw=")</f>
        <v>#VALUE!</v>
      </c>
      <c r="AT8" t="e">
        <f>AND('Ammonia Reconciliation Problem'!B19,"AAAAAH991S0=")</f>
        <v>#VALUE!</v>
      </c>
      <c r="AU8" t="e">
        <f>AND('Ammonia Reconciliation Problem'!C19,"AAAAAH991S4=")</f>
        <v>#VALUE!</v>
      </c>
      <c r="AV8" t="e">
        <f>AND('Ammonia Reconciliation Problem'!D19,"AAAAAH991S8=")</f>
        <v>#VALUE!</v>
      </c>
      <c r="AW8" t="e">
        <f>AND('Ammonia Reconciliation Problem'!E19,"AAAAAH991TA=")</f>
        <v>#VALUE!</v>
      </c>
      <c r="AX8" t="e">
        <f>AND('Ammonia Reconciliation Problem'!F19,"AAAAAH991TE=")</f>
        <v>#VALUE!</v>
      </c>
      <c r="AY8" t="e">
        <f>AND('Ammonia Reconciliation Problem'!G19,"AAAAAH991TI=")</f>
        <v>#VALUE!</v>
      </c>
      <c r="AZ8" t="e">
        <f>AND('Ammonia Reconciliation Problem'!H19,"AAAAAH991TM=")</f>
        <v>#VALUE!</v>
      </c>
      <c r="BA8" t="e">
        <f>AND('Ammonia Reconciliation Problem'!I19,"AAAAAH991TQ=")</f>
        <v>#VALUE!</v>
      </c>
      <c r="BB8" t="e">
        <f>AND('Ammonia Reconciliation Problem'!J19,"AAAAAH991TU=")</f>
        <v>#VALUE!</v>
      </c>
      <c r="BC8" t="e">
        <f>AND('Ammonia Reconciliation Problem'!K19,"AAAAAH991TY=")</f>
        <v>#VALUE!</v>
      </c>
      <c r="BD8" t="e">
        <f>AND('Ammonia Reconciliation Problem'!L19,"AAAAAH991Tc=")</f>
        <v>#VALUE!</v>
      </c>
      <c r="BE8" t="e">
        <f>AND('Ammonia Reconciliation Problem'!M19,"AAAAAH991Tg=")</f>
        <v>#VALUE!</v>
      </c>
      <c r="BF8" t="e">
        <f>AND('Ammonia Reconciliation Problem'!N19,"AAAAAH991Tk=")</f>
        <v>#VALUE!</v>
      </c>
      <c r="BG8">
        <f>IF('Ammonia Reconciliation Problem'!A:A,"AAAAAH991To=",0)</f>
        <v>0</v>
      </c>
      <c r="BH8" t="e">
        <f>IF('Ammonia Reconciliation Problem'!B:B,"AAAAAH991Ts=",0)</f>
        <v>#VALUE!</v>
      </c>
      <c r="BI8" t="str">
        <f>IF('Ammonia Reconciliation Problem'!C:C,"AAAAAH991Tw=",0)</f>
        <v>AAAAAH991Tw=</v>
      </c>
      <c r="BJ8" t="str">
        <f>IF('Ammonia Reconciliation Problem'!D:D,"AAAAAH991T0=",0)</f>
        <v>AAAAAH991T0=</v>
      </c>
      <c r="BK8">
        <f>IF('Ammonia Reconciliation Problem'!E:E,"AAAAAH991T4=",0)</f>
        <v>0</v>
      </c>
      <c r="BL8">
        <f>IF('Ammonia Reconciliation Problem'!F:F,"AAAAAH991T8=",0)</f>
        <v>0</v>
      </c>
      <c r="BM8" t="str">
        <f>IF('Ammonia Reconciliation Problem'!G:G,"AAAAAH991UA=",0)</f>
        <v>AAAAAH991UA=</v>
      </c>
      <c r="BN8" t="str">
        <f>IF('Ammonia Reconciliation Problem'!H:H,"AAAAAH991UE=",0)</f>
        <v>AAAAAH991UE=</v>
      </c>
      <c r="BO8" t="str">
        <f>IF('Ammonia Reconciliation Problem'!I:I,"AAAAAH991UI=",0)</f>
        <v>AAAAAH991UI=</v>
      </c>
      <c r="BP8" t="str">
        <f>IF('Ammonia Reconciliation Problem'!J:J,"AAAAAH991UM=",0)</f>
        <v>AAAAAH991UM=</v>
      </c>
      <c r="BQ8" t="str">
        <f>IF('Ammonia Reconciliation Problem'!K:K,"AAAAAH991UQ=",0)</f>
        <v>AAAAAH991UQ=</v>
      </c>
      <c r="BR8" t="str">
        <f>IF('Ammonia Reconciliation Problem'!L:L,"AAAAAH991UU=",0)</f>
        <v>AAAAAH991UU=</v>
      </c>
      <c r="BS8">
        <f>IF('Ammonia Reconciliation Problem'!M:M,"AAAAAH991UY=",0)</f>
        <v>0</v>
      </c>
      <c r="BT8">
        <f>IF('Ammonia Reconciliation Problem'!N:N,"AAAAAH991Uc=",0)</f>
        <v>0</v>
      </c>
      <c r="BU8">
        <f>IF('Ammonia Reconciliation Problem'!O:O,"AAAAAH991Ug=",0)</f>
        <v>0</v>
      </c>
      <c r="BV8">
        <f>IF('Ammonia Reconciliation Problem'!P:P,"AAAAAH991Uk=",0)</f>
        <v>0</v>
      </c>
      <c r="BW8">
        <f>IF('Ammonia Reconciliation Problem'!Q:Q,"AAAAAH991Uo=",0)</f>
        <v>0</v>
      </c>
      <c r="BX8">
        <f>IF('Ammonia Reconciliation Problem'!R:R,"AAAAAH991Us=",0)</f>
        <v>0</v>
      </c>
      <c r="BY8">
        <f>IF('Test1 Problem'!3:3,"AAAAAH991Uw=",0)</f>
        <v>0</v>
      </c>
      <c r="BZ8" t="e">
        <f>AND('Test1 Problem'!A3,"AAAAAH991U0=")</f>
        <v>#VALUE!</v>
      </c>
      <c r="CA8" t="e">
        <f>AND('Test1 Problem'!B3,"AAAAAH991U4=")</f>
        <v>#VALUE!</v>
      </c>
      <c r="CB8" t="e">
        <f>AND('Test1 Problem'!C3,"AAAAAH991U8=")</f>
        <v>#VALUE!</v>
      </c>
      <c r="CC8" t="e">
        <f>AND('Test1 Problem'!D3,"AAAAAH991VA=")</f>
        <v>#VALUE!</v>
      </c>
      <c r="CD8" t="e">
        <f>AND('Test1 Problem'!E3,"AAAAAH991VE=")</f>
        <v>#VALUE!</v>
      </c>
      <c r="CE8" t="e">
        <f>AND('Test1 Problem'!F3,"AAAAAH991VI=")</f>
        <v>#VALUE!</v>
      </c>
      <c r="CF8" t="e">
        <f>AND('Test1 Problem'!G3,"AAAAAH991VM=")</f>
        <v>#VALUE!</v>
      </c>
      <c r="CG8" t="e">
        <f>AND('Test1 Problem'!H3,"AAAAAH991VQ=")</f>
        <v>#VALUE!</v>
      </c>
      <c r="CH8" t="e">
        <f>AND('Test1 Problem'!I3,"AAAAAH991VU=")</f>
        <v>#VALUE!</v>
      </c>
      <c r="CI8" t="e">
        <f>AND('Test1 Problem'!J3,"AAAAAH991VY=")</f>
        <v>#VALUE!</v>
      </c>
      <c r="CJ8" t="e">
        <f>AND('Test1 Problem'!K3,"AAAAAH991Vc=")</f>
        <v>#VALUE!</v>
      </c>
      <c r="CK8" t="e">
        <f>AND('Test1 Problem'!L3,"AAAAAH991Vg=")</f>
        <v>#VALUE!</v>
      </c>
      <c r="CL8" t="e">
        <f>AND('Test1 Problem'!M3,"AAAAAH991Vk=")</f>
        <v>#VALUE!</v>
      </c>
      <c r="CM8" t="e">
        <f>AND('Test1 Problem'!N3,"AAAAAH991Vo=")</f>
        <v>#VALUE!</v>
      </c>
      <c r="CN8" t="e">
        <f>AND('Test1 Problem'!O3,"AAAAAH991Vs=")</f>
        <v>#VALUE!</v>
      </c>
      <c r="CO8" t="e">
        <f>AND('Test1 Problem'!P3,"AAAAAH991Vw=")</f>
        <v>#VALUE!</v>
      </c>
      <c r="CP8" t="e">
        <f>AND('Test1 Problem'!Q3,"AAAAAH991V0=")</f>
        <v>#VALUE!</v>
      </c>
      <c r="CQ8" t="e">
        <f>AND('Test1 Problem'!R3,"AAAAAH991V4=")</f>
        <v>#VALUE!</v>
      </c>
      <c r="CR8" t="e">
        <f>AND('Test1 Problem'!S3,"AAAAAH991V8=")</f>
        <v>#VALUE!</v>
      </c>
      <c r="CS8" t="e">
        <f>AND('Test1 Problem'!T3,"AAAAAH991WA=")</f>
        <v>#VALUE!</v>
      </c>
      <c r="CT8">
        <f>IF('Test1 Problem'!4:4,"AAAAAH991WE=",0)</f>
        <v>0</v>
      </c>
      <c r="CU8" t="e">
        <f>AND('Test1 Problem'!A4,"AAAAAH991WI=")</f>
        <v>#VALUE!</v>
      </c>
      <c r="CV8" t="e">
        <f>AND('Test1 Problem'!B4,"AAAAAH991WM=")</f>
        <v>#VALUE!</v>
      </c>
      <c r="CW8" t="e">
        <f>AND('Test1 Problem'!C4,"AAAAAH991WQ=")</f>
        <v>#VALUE!</v>
      </c>
      <c r="CX8" t="e">
        <f>AND('Test1 Problem'!D4,"AAAAAH991WU=")</f>
        <v>#VALUE!</v>
      </c>
      <c r="CY8" t="e">
        <f>AND('Test1 Problem'!E4,"AAAAAH991WY=")</f>
        <v>#VALUE!</v>
      </c>
      <c r="CZ8" t="e">
        <f>AND('Test1 Problem'!F4,"AAAAAH991Wc=")</f>
        <v>#VALUE!</v>
      </c>
      <c r="DA8" t="e">
        <f>AND('Test1 Problem'!G4,"AAAAAH991Wg=")</f>
        <v>#VALUE!</v>
      </c>
      <c r="DB8" t="e">
        <f>AND('Test1 Problem'!H4,"AAAAAH991Wk=")</f>
        <v>#VALUE!</v>
      </c>
      <c r="DC8" t="e">
        <f>AND('Test1 Problem'!I4,"AAAAAH991Wo=")</f>
        <v>#VALUE!</v>
      </c>
      <c r="DD8" t="e">
        <f>AND('Test1 Problem'!J4,"AAAAAH991Ws=")</f>
        <v>#VALUE!</v>
      </c>
      <c r="DE8" t="e">
        <f>AND('Test1 Problem'!K4,"AAAAAH991Ww=")</f>
        <v>#VALUE!</v>
      </c>
      <c r="DF8" t="e">
        <f>AND('Test1 Problem'!L4,"AAAAAH991W0=")</f>
        <v>#VALUE!</v>
      </c>
      <c r="DG8" t="e">
        <f>AND('Test1 Problem'!M4,"AAAAAH991W4=")</f>
        <v>#VALUE!</v>
      </c>
      <c r="DH8" t="e">
        <f>AND('Test1 Problem'!N4,"AAAAAH991W8=")</f>
        <v>#VALUE!</v>
      </c>
      <c r="DI8" t="e">
        <f>AND('Test1 Problem'!O4,"AAAAAH991XA=")</f>
        <v>#VALUE!</v>
      </c>
      <c r="DJ8" t="e">
        <f>AND('Test1 Problem'!P4,"AAAAAH991XE=")</f>
        <v>#VALUE!</v>
      </c>
      <c r="DK8" t="e">
        <f>AND('Test1 Problem'!Q4,"AAAAAH991XI=")</f>
        <v>#VALUE!</v>
      </c>
      <c r="DL8" t="e">
        <f>AND('Test1 Problem'!R4,"AAAAAH991XM=")</f>
        <v>#VALUE!</v>
      </c>
      <c r="DM8" t="e">
        <f>AND('Test1 Problem'!S4,"AAAAAH991XQ=")</f>
        <v>#VALUE!</v>
      </c>
      <c r="DN8" t="e">
        <f>AND('Test1 Problem'!T4,"AAAAAH991XU=")</f>
        <v>#VALUE!</v>
      </c>
      <c r="DO8">
        <f>IF('Test1 Problem'!5:5,"AAAAAH991XY=",0)</f>
        <v>0</v>
      </c>
      <c r="DP8" t="e">
        <f>AND('Test1 Problem'!A5,"AAAAAH991Xc=")</f>
        <v>#VALUE!</v>
      </c>
      <c r="DQ8" t="e">
        <f>AND('Test1 Problem'!B5,"AAAAAH991Xg=")</f>
        <v>#VALUE!</v>
      </c>
      <c r="DR8" t="e">
        <f>AND('Test1 Problem'!C5,"AAAAAH991Xk=")</f>
        <v>#VALUE!</v>
      </c>
      <c r="DS8" t="e">
        <f>AND('Test1 Problem'!D5,"AAAAAH991Xo=")</f>
        <v>#VALUE!</v>
      </c>
      <c r="DT8" t="e">
        <f>AND('Test1 Problem'!E5,"AAAAAH991Xs=")</f>
        <v>#VALUE!</v>
      </c>
      <c r="DU8" t="e">
        <f>AND('Test1 Problem'!F5,"AAAAAH991Xw=")</f>
        <v>#VALUE!</v>
      </c>
      <c r="DV8" t="e">
        <f>AND('Test1 Problem'!G5,"AAAAAH991X0=")</f>
        <v>#VALUE!</v>
      </c>
      <c r="DW8" t="e">
        <f>AND('Test1 Problem'!H5,"AAAAAH991X4=")</f>
        <v>#VALUE!</v>
      </c>
      <c r="DX8" t="e">
        <f>AND('Test1 Problem'!I5,"AAAAAH991X8=")</f>
        <v>#VALUE!</v>
      </c>
      <c r="DY8" t="e">
        <f>AND('Test1 Problem'!J5,"AAAAAH991YA=")</f>
        <v>#VALUE!</v>
      </c>
      <c r="DZ8" t="e">
        <f>AND('Test1 Problem'!K5,"AAAAAH991YE=")</f>
        <v>#VALUE!</v>
      </c>
      <c r="EA8" t="e">
        <f>AND('Test1 Problem'!L5,"AAAAAH991YI=")</f>
        <v>#VALUE!</v>
      </c>
      <c r="EB8" t="e">
        <f>AND('Test1 Problem'!M5,"AAAAAH991YM=")</f>
        <v>#VALUE!</v>
      </c>
      <c r="EC8" t="e">
        <f>AND('Test1 Problem'!N5,"AAAAAH991YQ=")</f>
        <v>#VALUE!</v>
      </c>
      <c r="ED8" t="e">
        <f>AND('Test1 Problem'!O5,"AAAAAH991YU=")</f>
        <v>#VALUE!</v>
      </c>
      <c r="EE8" t="e">
        <f>AND('Test1 Problem'!P5,"AAAAAH991YY=")</f>
        <v>#VALUE!</v>
      </c>
      <c r="EF8" t="e">
        <f>AND('Test1 Problem'!Q5,"AAAAAH991Yc=")</f>
        <v>#VALUE!</v>
      </c>
      <c r="EG8" t="e">
        <f>AND('Test1 Problem'!R5,"AAAAAH991Yg=")</f>
        <v>#VALUE!</v>
      </c>
      <c r="EH8" t="e">
        <f>AND('Test1 Problem'!S5,"AAAAAH991Yk=")</f>
        <v>#VALUE!</v>
      </c>
      <c r="EI8" t="e">
        <f>AND('Test1 Problem'!T5,"AAAAAH991Yo=")</f>
        <v>#VALUE!</v>
      </c>
      <c r="EJ8">
        <f>IF('Test1 Problem'!6:6,"AAAAAH991Ys=",0)</f>
        <v>0</v>
      </c>
      <c r="EK8" t="e">
        <f>AND('Test1 Problem'!A6,"AAAAAH991Yw=")</f>
        <v>#VALUE!</v>
      </c>
      <c r="EL8" t="e">
        <f>AND('Test1 Problem'!B6,"AAAAAH991Y0=")</f>
        <v>#VALUE!</v>
      </c>
      <c r="EM8" t="e">
        <f>AND('Test1 Problem'!C6,"AAAAAH991Y4=")</f>
        <v>#VALUE!</v>
      </c>
      <c r="EN8" t="e">
        <f>AND('Test1 Problem'!D6,"AAAAAH991Y8=")</f>
        <v>#VALUE!</v>
      </c>
      <c r="EO8" t="e">
        <f>AND('Test1 Problem'!E6,"AAAAAH991ZA=")</f>
        <v>#VALUE!</v>
      </c>
      <c r="EP8" t="e">
        <f>AND('Test1 Problem'!F6,"AAAAAH991ZE=")</f>
        <v>#VALUE!</v>
      </c>
      <c r="EQ8" t="e">
        <f>AND('Test1 Problem'!G6,"AAAAAH991ZI=")</f>
        <v>#VALUE!</v>
      </c>
      <c r="ER8" t="e">
        <f>AND('Test1 Problem'!H6,"AAAAAH991ZM=")</f>
        <v>#VALUE!</v>
      </c>
      <c r="ES8" t="e">
        <f>AND('Test1 Problem'!I6,"AAAAAH991ZQ=")</f>
        <v>#VALUE!</v>
      </c>
      <c r="ET8" t="e">
        <f>AND('Test1 Problem'!J6,"AAAAAH991ZU=")</f>
        <v>#VALUE!</v>
      </c>
      <c r="EU8" t="e">
        <f>AND('Test1 Problem'!K6,"AAAAAH991ZY=")</f>
        <v>#VALUE!</v>
      </c>
      <c r="EV8" t="e">
        <f>AND('Test1 Problem'!L6,"AAAAAH991Zc=")</f>
        <v>#VALUE!</v>
      </c>
      <c r="EW8" t="e">
        <f>AND('Test1 Problem'!M6,"AAAAAH991Zg=")</f>
        <v>#VALUE!</v>
      </c>
      <c r="EX8" t="e">
        <f>AND('Test1 Problem'!N6,"AAAAAH991Zk=")</f>
        <v>#VALUE!</v>
      </c>
      <c r="EY8" t="e">
        <f>AND('Test1 Problem'!O6,"AAAAAH991Zo=")</f>
        <v>#VALUE!</v>
      </c>
      <c r="EZ8" t="e">
        <f>AND('Test1 Problem'!P6,"AAAAAH991Zs=")</f>
        <v>#VALUE!</v>
      </c>
      <c r="FA8" t="e">
        <f>AND('Test1 Problem'!Q6,"AAAAAH991Zw=")</f>
        <v>#VALUE!</v>
      </c>
      <c r="FB8" t="e">
        <f>AND('Test1 Problem'!R6,"AAAAAH991Z0=")</f>
        <v>#VALUE!</v>
      </c>
      <c r="FC8" t="e">
        <f>AND('Test1 Problem'!S6,"AAAAAH991Z4=")</f>
        <v>#VALUE!</v>
      </c>
      <c r="FD8" t="e">
        <f>AND('Test1 Problem'!T6,"AAAAAH991Z8=")</f>
        <v>#VALUE!</v>
      </c>
      <c r="FE8">
        <f>IF('Test1 Problem'!7:7,"AAAAAH991aA=",0)</f>
        <v>0</v>
      </c>
      <c r="FF8" t="e">
        <f>AND('Test1 Problem'!A7,"AAAAAH991aE=")</f>
        <v>#VALUE!</v>
      </c>
      <c r="FG8" t="e">
        <f>AND('Test1 Problem'!B7,"AAAAAH991aI=")</f>
        <v>#VALUE!</v>
      </c>
      <c r="FH8" t="e">
        <f>AND('Test1 Problem'!C7,"AAAAAH991aM=")</f>
        <v>#VALUE!</v>
      </c>
      <c r="FI8" t="e">
        <f>AND('Test1 Problem'!D7,"AAAAAH991aQ=")</f>
        <v>#VALUE!</v>
      </c>
      <c r="FJ8" t="e">
        <f>AND('Test1 Problem'!E7,"AAAAAH991aU=")</f>
        <v>#VALUE!</v>
      </c>
      <c r="FK8" t="e">
        <f>AND('Test1 Problem'!F7,"AAAAAH991aY=")</f>
        <v>#VALUE!</v>
      </c>
      <c r="FL8" t="e">
        <f>AND('Test1 Problem'!G7,"AAAAAH991ac=")</f>
        <v>#VALUE!</v>
      </c>
      <c r="FM8" t="e">
        <f>AND('Test1 Problem'!H7,"AAAAAH991ag=")</f>
        <v>#VALUE!</v>
      </c>
      <c r="FN8" t="e">
        <f>AND('Test1 Problem'!I7,"AAAAAH991ak=")</f>
        <v>#VALUE!</v>
      </c>
      <c r="FO8" t="e">
        <f>AND('Test1 Problem'!J7,"AAAAAH991ao=")</f>
        <v>#VALUE!</v>
      </c>
      <c r="FP8" t="e">
        <f>AND('Test1 Problem'!K7,"AAAAAH991as=")</f>
        <v>#VALUE!</v>
      </c>
      <c r="FQ8" t="e">
        <f>AND('Test1 Problem'!L7,"AAAAAH991aw=")</f>
        <v>#VALUE!</v>
      </c>
      <c r="FR8" t="e">
        <f>AND('Test1 Problem'!M7,"AAAAAH991a0=")</f>
        <v>#VALUE!</v>
      </c>
      <c r="FS8" t="e">
        <f>AND('Test1 Problem'!N7,"AAAAAH991a4=")</f>
        <v>#VALUE!</v>
      </c>
      <c r="FT8" t="e">
        <f>AND('Test1 Problem'!O7,"AAAAAH991a8=")</f>
        <v>#VALUE!</v>
      </c>
      <c r="FU8" t="e">
        <f>AND('Test1 Problem'!P7,"AAAAAH991bA=")</f>
        <v>#VALUE!</v>
      </c>
      <c r="FV8" t="e">
        <f>AND('Test1 Problem'!Q7,"AAAAAH991bE=")</f>
        <v>#VALUE!</v>
      </c>
      <c r="FW8" t="e">
        <f>AND('Test1 Problem'!R7,"AAAAAH991bI=")</f>
        <v>#VALUE!</v>
      </c>
      <c r="FX8" t="e">
        <f>AND('Test1 Problem'!S7,"AAAAAH991bM=")</f>
        <v>#VALUE!</v>
      </c>
      <c r="FY8" t="e">
        <f>AND('Test1 Problem'!T7,"AAAAAH991bQ=")</f>
        <v>#VALUE!</v>
      </c>
      <c r="FZ8">
        <f>IF('Test1 Problem'!8:8,"AAAAAH991bU=",0)</f>
        <v>0</v>
      </c>
      <c r="GA8" t="e">
        <f>AND('Test1 Problem'!A8,"AAAAAH991bY=")</f>
        <v>#VALUE!</v>
      </c>
      <c r="GB8" t="e">
        <f>AND('Test1 Problem'!B8,"AAAAAH991bc=")</f>
        <v>#VALUE!</v>
      </c>
      <c r="GC8" t="e">
        <f>AND('Test1 Problem'!C8,"AAAAAH991bg=")</f>
        <v>#VALUE!</v>
      </c>
      <c r="GD8" t="e">
        <f>AND('Test1 Problem'!D8,"AAAAAH991bk=")</f>
        <v>#VALUE!</v>
      </c>
      <c r="GE8" t="e">
        <f>AND('Test1 Problem'!E8,"AAAAAH991bo=")</f>
        <v>#VALUE!</v>
      </c>
      <c r="GF8" t="e">
        <f>AND('Test1 Problem'!F8,"AAAAAH991bs=")</f>
        <v>#VALUE!</v>
      </c>
      <c r="GG8" t="e">
        <f>AND('Test1 Problem'!G8,"AAAAAH991bw=")</f>
        <v>#VALUE!</v>
      </c>
      <c r="GH8" t="e">
        <f>AND('Test1 Problem'!H8,"AAAAAH991b0=")</f>
        <v>#VALUE!</v>
      </c>
      <c r="GI8" t="e">
        <f>AND('Test1 Problem'!I8,"AAAAAH991b4=")</f>
        <v>#VALUE!</v>
      </c>
      <c r="GJ8" t="e">
        <f>AND('Test1 Problem'!J8,"AAAAAH991b8=")</f>
        <v>#VALUE!</v>
      </c>
      <c r="GK8" t="e">
        <f>AND('Test1 Problem'!K8,"AAAAAH991cA=")</f>
        <v>#VALUE!</v>
      </c>
      <c r="GL8" t="e">
        <f>AND('Test1 Problem'!L8,"AAAAAH991cE=")</f>
        <v>#VALUE!</v>
      </c>
      <c r="GM8" t="e">
        <f>AND('Test1 Problem'!M8,"AAAAAH991cI=")</f>
        <v>#VALUE!</v>
      </c>
      <c r="GN8" t="e">
        <f>AND('Test1 Problem'!N8,"AAAAAH991cM=")</f>
        <v>#VALUE!</v>
      </c>
      <c r="GO8" t="e">
        <f>AND('Test1 Problem'!O8,"AAAAAH991cQ=")</f>
        <v>#VALUE!</v>
      </c>
      <c r="GP8" t="e">
        <f>AND('Test1 Problem'!P8,"AAAAAH991cU=")</f>
        <v>#VALUE!</v>
      </c>
      <c r="GQ8" t="e">
        <f>AND('Test1 Problem'!Q8,"AAAAAH991cY=")</f>
        <v>#VALUE!</v>
      </c>
      <c r="GR8" t="e">
        <f>AND('Test1 Problem'!R8,"AAAAAH991cc=")</f>
        <v>#VALUE!</v>
      </c>
      <c r="GS8" t="e">
        <f>AND('Test1 Problem'!S8,"AAAAAH991cg=")</f>
        <v>#VALUE!</v>
      </c>
      <c r="GT8" t="e">
        <f>AND('Test1 Problem'!T8,"AAAAAH991ck=")</f>
        <v>#VALUE!</v>
      </c>
      <c r="GU8">
        <f>IF('Test1 Problem'!9:9,"AAAAAH991co=",0)</f>
        <v>0</v>
      </c>
      <c r="GV8" t="e">
        <f>AND('Test1 Problem'!A9,"AAAAAH991cs=")</f>
        <v>#VALUE!</v>
      </c>
      <c r="GW8" t="e">
        <f>AND('Test1 Problem'!B9,"AAAAAH991cw=")</f>
        <v>#VALUE!</v>
      </c>
      <c r="GX8" t="e">
        <f>AND('Test1 Problem'!C9,"AAAAAH991c0=")</f>
        <v>#VALUE!</v>
      </c>
      <c r="GY8" t="e">
        <f>AND('Test1 Problem'!D9,"AAAAAH991c4=")</f>
        <v>#VALUE!</v>
      </c>
      <c r="GZ8" t="e">
        <f>AND('Test1 Problem'!E9,"AAAAAH991c8=")</f>
        <v>#VALUE!</v>
      </c>
      <c r="HA8" t="e">
        <f>AND('Test1 Problem'!F9,"AAAAAH991dA=")</f>
        <v>#VALUE!</v>
      </c>
      <c r="HB8" t="e">
        <f>AND('Test1 Problem'!G9,"AAAAAH991dE=")</f>
        <v>#VALUE!</v>
      </c>
      <c r="HC8" t="e">
        <f>AND('Test1 Problem'!H9,"AAAAAH991dI=")</f>
        <v>#VALUE!</v>
      </c>
      <c r="HD8" t="e">
        <f>AND('Test1 Problem'!I9,"AAAAAH991dM=")</f>
        <v>#VALUE!</v>
      </c>
      <c r="HE8" t="e">
        <f>AND('Test1 Problem'!J9,"AAAAAH991dQ=")</f>
        <v>#VALUE!</v>
      </c>
      <c r="HF8" t="e">
        <f>AND('Test1 Problem'!K9,"AAAAAH991dU=")</f>
        <v>#VALUE!</v>
      </c>
      <c r="HG8" t="e">
        <f>AND('Test1 Problem'!L9,"AAAAAH991dY=")</f>
        <v>#VALUE!</v>
      </c>
      <c r="HH8" t="e">
        <f>AND('Test1 Problem'!M9,"AAAAAH991dc=")</f>
        <v>#VALUE!</v>
      </c>
      <c r="HI8" t="e">
        <f>AND('Test1 Problem'!N9,"AAAAAH991dg=")</f>
        <v>#VALUE!</v>
      </c>
      <c r="HJ8" t="e">
        <f>AND('Test1 Problem'!O9,"AAAAAH991dk=")</f>
        <v>#VALUE!</v>
      </c>
      <c r="HK8" t="e">
        <f>AND('Test1 Problem'!P9,"AAAAAH991do=")</f>
        <v>#VALUE!</v>
      </c>
      <c r="HL8" t="e">
        <f>AND('Test1 Problem'!Q9,"AAAAAH991ds=")</f>
        <v>#VALUE!</v>
      </c>
      <c r="HM8" t="e">
        <f>AND('Test1 Problem'!R9,"AAAAAH991dw=")</f>
        <v>#VALUE!</v>
      </c>
      <c r="HN8" t="e">
        <f>AND('Test1 Problem'!S9,"AAAAAH991d0=")</f>
        <v>#VALUE!</v>
      </c>
      <c r="HO8" t="e">
        <f>AND('Test1 Problem'!T9,"AAAAAH991d4=")</f>
        <v>#VALUE!</v>
      </c>
      <c r="HP8">
        <f>IF('Test1 Problem'!10:10,"AAAAAH991d8=",0)</f>
        <v>0</v>
      </c>
      <c r="HQ8" t="e">
        <f>AND('Test1 Problem'!A10,"AAAAAH991eA=")</f>
        <v>#VALUE!</v>
      </c>
      <c r="HR8" t="e">
        <f>AND('Test1 Problem'!B10,"AAAAAH991eE=")</f>
        <v>#VALUE!</v>
      </c>
      <c r="HS8" t="e">
        <f>AND('Test1 Problem'!C10,"AAAAAH991eI=")</f>
        <v>#VALUE!</v>
      </c>
      <c r="HT8" t="e">
        <f>AND('Test1 Problem'!D10,"AAAAAH991eM=")</f>
        <v>#VALUE!</v>
      </c>
      <c r="HU8" t="e">
        <f>AND('Test1 Problem'!E10,"AAAAAH991eQ=")</f>
        <v>#VALUE!</v>
      </c>
      <c r="HV8" t="e">
        <f>AND('Test1 Problem'!F10,"AAAAAH991eU=")</f>
        <v>#VALUE!</v>
      </c>
      <c r="HW8" t="e">
        <f>AND('Test1 Problem'!G10,"AAAAAH991eY=")</f>
        <v>#VALUE!</v>
      </c>
      <c r="HX8" t="e">
        <f>AND('Test1 Problem'!H10,"AAAAAH991ec=")</f>
        <v>#VALUE!</v>
      </c>
      <c r="HY8" t="e">
        <f>AND('Test1 Problem'!I10,"AAAAAH991eg=")</f>
        <v>#VALUE!</v>
      </c>
      <c r="HZ8" t="e">
        <f>AND('Test1 Problem'!J10,"AAAAAH991ek=")</f>
        <v>#VALUE!</v>
      </c>
      <c r="IA8" t="e">
        <f>AND('Test1 Problem'!K10,"AAAAAH991eo=")</f>
        <v>#VALUE!</v>
      </c>
      <c r="IB8" t="e">
        <f>AND('Test1 Problem'!L10,"AAAAAH991es=")</f>
        <v>#VALUE!</v>
      </c>
      <c r="IC8" t="e">
        <f>AND('Test1 Problem'!M10,"AAAAAH991ew=")</f>
        <v>#VALUE!</v>
      </c>
      <c r="ID8" t="e">
        <f>AND('Test1 Problem'!N10,"AAAAAH991e0=")</f>
        <v>#VALUE!</v>
      </c>
      <c r="IE8" t="e">
        <f>AND('Test1 Problem'!O10,"AAAAAH991e4=")</f>
        <v>#VALUE!</v>
      </c>
      <c r="IF8" t="e">
        <f>AND('Test1 Problem'!P10,"AAAAAH991e8=")</f>
        <v>#VALUE!</v>
      </c>
      <c r="IG8" t="e">
        <f>AND('Test1 Problem'!Q10,"AAAAAH991fA=")</f>
        <v>#VALUE!</v>
      </c>
      <c r="IH8" t="e">
        <f>AND('Test1 Problem'!R10,"AAAAAH991fE=")</f>
        <v>#VALUE!</v>
      </c>
      <c r="II8" t="e">
        <f>AND('Test1 Problem'!S10,"AAAAAH991fI=")</f>
        <v>#VALUE!</v>
      </c>
      <c r="IJ8" t="e">
        <f>AND('Test1 Problem'!T10,"AAAAAH991fM=")</f>
        <v>#VALUE!</v>
      </c>
      <c r="IK8">
        <f>IF('Test1 Problem'!11:11,"AAAAAH991fQ=",0)</f>
        <v>0</v>
      </c>
      <c r="IL8" t="e">
        <f>AND('Test1 Problem'!A11,"AAAAAH991fU=")</f>
        <v>#VALUE!</v>
      </c>
      <c r="IM8" t="e">
        <f>AND('Test1 Problem'!B11,"AAAAAH991fY=")</f>
        <v>#VALUE!</v>
      </c>
      <c r="IN8" t="e">
        <f>AND('Test1 Problem'!C11,"AAAAAH991fc=")</f>
        <v>#VALUE!</v>
      </c>
      <c r="IO8" t="e">
        <f>AND('Test1 Problem'!D11,"AAAAAH991fg=")</f>
        <v>#VALUE!</v>
      </c>
      <c r="IP8" t="e">
        <f>AND('Test1 Problem'!E11,"AAAAAH991fk=")</f>
        <v>#VALUE!</v>
      </c>
      <c r="IQ8" t="e">
        <f>AND('Test1 Problem'!F11,"AAAAAH991fo=")</f>
        <v>#VALUE!</v>
      </c>
      <c r="IR8" t="e">
        <f>AND('Test1 Problem'!G11,"AAAAAH991fs=")</f>
        <v>#VALUE!</v>
      </c>
      <c r="IS8" t="e">
        <f>AND('Test1 Problem'!H11,"AAAAAH991fw=")</f>
        <v>#VALUE!</v>
      </c>
      <c r="IT8" t="e">
        <f>AND('Test1 Problem'!I11,"AAAAAH991f0=")</f>
        <v>#VALUE!</v>
      </c>
      <c r="IU8" t="e">
        <f>AND('Test1 Problem'!J11,"AAAAAH991f4=")</f>
        <v>#VALUE!</v>
      </c>
      <c r="IV8" t="e">
        <f>AND('Test1 Problem'!K11,"AAAAAH991f8=")</f>
        <v>#VALUE!</v>
      </c>
    </row>
    <row r="9" spans="1:256">
      <c r="A9" t="e">
        <f>AND('Test1 Problem'!L11,"AAAAAHaZpwA=")</f>
        <v>#VALUE!</v>
      </c>
      <c r="B9" t="e">
        <f>AND('Test1 Problem'!M11,"AAAAAHaZpwE=")</f>
        <v>#VALUE!</v>
      </c>
      <c r="C9" t="e">
        <f>AND('Test1 Problem'!N11,"AAAAAHaZpwI=")</f>
        <v>#VALUE!</v>
      </c>
      <c r="D9" t="e">
        <f>AND('Test1 Problem'!O11,"AAAAAHaZpwM=")</f>
        <v>#VALUE!</v>
      </c>
      <c r="E9" t="e">
        <f>AND('Test1 Problem'!P11,"AAAAAHaZpwQ=")</f>
        <v>#VALUE!</v>
      </c>
      <c r="F9" t="e">
        <f>AND('Test1 Problem'!Q11,"AAAAAHaZpwU=")</f>
        <v>#VALUE!</v>
      </c>
      <c r="G9" t="e">
        <f>AND('Test1 Problem'!R11,"AAAAAHaZpwY=")</f>
        <v>#VALUE!</v>
      </c>
      <c r="H9" t="e">
        <f>AND('Test1 Problem'!S11,"AAAAAHaZpwc=")</f>
        <v>#VALUE!</v>
      </c>
      <c r="I9" t="e">
        <f>AND('Test1 Problem'!T11,"AAAAAHaZpwg=")</f>
        <v>#VALUE!</v>
      </c>
      <c r="J9" t="str">
        <f>IF('Test1 Problem'!12:12,"AAAAAHaZpwk=",0)</f>
        <v>AAAAAHaZpwk=</v>
      </c>
      <c r="K9" t="e">
        <f>AND('Test1 Problem'!#REF!,"AAAAAHaZpwo=")</f>
        <v>#REF!</v>
      </c>
      <c r="L9" t="e">
        <f>AND('Test1 Problem'!D16,"AAAAAHaZpws=")</f>
        <v>#VALUE!</v>
      </c>
      <c r="M9" t="e">
        <f>AND('Test1 Problem'!D15,"AAAAAHaZpww=")</f>
        <v>#VALUE!</v>
      </c>
      <c r="N9" t="e">
        <f>AND('Test1 Problem'!D13,"AAAAAHaZpw0=")</f>
        <v>#VALUE!</v>
      </c>
      <c r="O9" t="e">
        <f>AND('Test1 Problem'!E12,"AAAAAHaZpw4=")</f>
        <v>#VALUE!</v>
      </c>
      <c r="P9" t="e">
        <f>AND('Test1 Problem'!F12,"AAAAAHaZpw8=")</f>
        <v>#VALUE!</v>
      </c>
      <c r="Q9" t="e">
        <f>AND('Test1 Problem'!G12,"AAAAAHaZpxA=")</f>
        <v>#VALUE!</v>
      </c>
      <c r="R9" t="e">
        <f>AND('Test1 Problem'!H12,"AAAAAHaZpxE=")</f>
        <v>#VALUE!</v>
      </c>
      <c r="S9" t="e">
        <f>AND('Test1 Problem'!I12,"AAAAAHaZpxI=")</f>
        <v>#VALUE!</v>
      </c>
      <c r="T9" t="e">
        <f>AND('Test1 Problem'!J12,"AAAAAHaZpxM=")</f>
        <v>#VALUE!</v>
      </c>
      <c r="U9" t="e">
        <f>AND('Test1 Problem'!K12,"AAAAAHaZpxQ=")</f>
        <v>#VALUE!</v>
      </c>
      <c r="V9" t="e">
        <f>AND('Test1 Problem'!L12,"AAAAAHaZpxU=")</f>
        <v>#VALUE!</v>
      </c>
      <c r="W9" t="e">
        <f>AND('Test1 Problem'!M12,"AAAAAHaZpxY=")</f>
        <v>#VALUE!</v>
      </c>
      <c r="X9" t="e">
        <f>AND('Test1 Problem'!N12,"AAAAAHaZpxc=")</f>
        <v>#VALUE!</v>
      </c>
      <c r="Y9" t="e">
        <f>AND('Test1 Problem'!O12,"AAAAAHaZpxg=")</f>
        <v>#VALUE!</v>
      </c>
      <c r="Z9" t="e">
        <f>AND('Test1 Problem'!P12,"AAAAAHaZpxk=")</f>
        <v>#VALUE!</v>
      </c>
      <c r="AA9" t="e">
        <f>AND('Test1 Problem'!Q12,"AAAAAHaZpxo=")</f>
        <v>#VALUE!</v>
      </c>
      <c r="AB9" t="e">
        <f>AND('Test1 Problem'!R12,"AAAAAHaZpxs=")</f>
        <v>#VALUE!</v>
      </c>
      <c r="AC9" t="e">
        <f>AND('Test1 Problem'!S12,"AAAAAHaZpxw=")</f>
        <v>#VALUE!</v>
      </c>
      <c r="AD9" t="e">
        <f>AND('Test1 Problem'!T12,"AAAAAHaZpx0=")</f>
        <v>#VALUE!</v>
      </c>
      <c r="AE9">
        <f>IF('Test1 Problem'!13:13,"AAAAAHaZpx4=",0)</f>
        <v>0</v>
      </c>
      <c r="AF9" t="e">
        <f>AND('Test1 Problem'!A13,"AAAAAHaZpx8=")</f>
        <v>#VALUE!</v>
      </c>
      <c r="AG9" t="e">
        <f>AND('Test1 Problem'!B13,"AAAAAHaZpyA=")</f>
        <v>#VALUE!</v>
      </c>
      <c r="AH9" t="e">
        <f>AND('Test1 Problem'!C13,"AAAAAHaZpyE=")</f>
        <v>#VALUE!</v>
      </c>
      <c r="AI9" t="e">
        <f>AND('Test1 Problem'!D14,"AAAAAHaZpyI=")</f>
        <v>#VALUE!</v>
      </c>
      <c r="AJ9" t="e">
        <f>AND('Test1 Problem'!E13,"AAAAAHaZpyM=")</f>
        <v>#VALUE!</v>
      </c>
      <c r="AK9" t="e">
        <f>AND('Test1 Problem'!F13,"AAAAAHaZpyQ=")</f>
        <v>#VALUE!</v>
      </c>
      <c r="AL9" t="e">
        <f>AND('Test1 Problem'!G13,"AAAAAHaZpyU=")</f>
        <v>#VALUE!</v>
      </c>
      <c r="AM9" t="e">
        <f>AND('Test1 Problem'!H13,"AAAAAHaZpyY=")</f>
        <v>#VALUE!</v>
      </c>
      <c r="AN9" t="e">
        <f>AND('Test1 Problem'!I13,"AAAAAHaZpyc=")</f>
        <v>#VALUE!</v>
      </c>
      <c r="AO9" t="e">
        <f>AND('Test1 Problem'!J13,"AAAAAHaZpyg=")</f>
        <v>#VALUE!</v>
      </c>
      <c r="AP9" t="e">
        <f>AND('Test1 Problem'!K13,"AAAAAHaZpyk=")</f>
        <v>#VALUE!</v>
      </c>
      <c r="AQ9" t="e">
        <f>AND('Test1 Problem'!L13,"AAAAAHaZpyo=")</f>
        <v>#VALUE!</v>
      </c>
      <c r="AR9" t="e">
        <f>AND('Test1 Problem'!M13,"AAAAAHaZpys=")</f>
        <v>#VALUE!</v>
      </c>
      <c r="AS9" t="e">
        <f>AND('Test1 Problem'!N13,"AAAAAHaZpyw=")</f>
        <v>#VALUE!</v>
      </c>
      <c r="AT9" t="e">
        <f>AND('Test1 Problem'!O13,"AAAAAHaZpy0=")</f>
        <v>#VALUE!</v>
      </c>
      <c r="AU9" t="e">
        <f>AND('Test1 Problem'!P13,"AAAAAHaZpy4=")</f>
        <v>#VALUE!</v>
      </c>
      <c r="AV9" t="e">
        <f>AND('Test1 Problem'!Q13,"AAAAAHaZpy8=")</f>
        <v>#VALUE!</v>
      </c>
      <c r="AW9" t="e">
        <f>AND('Test1 Problem'!R13,"AAAAAHaZpzA=")</f>
        <v>#VALUE!</v>
      </c>
      <c r="AX9" t="e">
        <f>AND('Test1 Problem'!S13,"AAAAAHaZpzE=")</f>
        <v>#VALUE!</v>
      </c>
      <c r="AY9" t="e">
        <f>AND('Test1 Problem'!T13,"AAAAAHaZpzI=")</f>
        <v>#VALUE!</v>
      </c>
      <c r="AZ9">
        <f>IF('Test1 Problem'!14:14,"AAAAAHaZpzM=",0)</f>
        <v>0</v>
      </c>
      <c r="BA9" t="e">
        <f>AND('Test1 Problem'!A14,"AAAAAHaZpzQ=")</f>
        <v>#VALUE!</v>
      </c>
      <c r="BB9" t="e">
        <f>AND('Test1 Problem'!B14,"AAAAAHaZpzU=")</f>
        <v>#VALUE!</v>
      </c>
      <c r="BC9" t="e">
        <f>AND('Test1 Problem'!C14,"AAAAAHaZpzY=")</f>
        <v>#VALUE!</v>
      </c>
      <c r="BD9" t="e">
        <f>AND('Test1 Problem'!#REF!,"AAAAAHaZpzc=")</f>
        <v>#REF!</v>
      </c>
      <c r="BE9" t="e">
        <f>AND('Test1 Problem'!E14,"AAAAAHaZpzg=")</f>
        <v>#VALUE!</v>
      </c>
      <c r="BF9" t="e">
        <f>AND('Test1 Problem'!F14,"AAAAAHaZpzk=")</f>
        <v>#VALUE!</v>
      </c>
      <c r="BG9" t="e">
        <f>AND('Test1 Problem'!G14,"AAAAAHaZpzo=")</f>
        <v>#VALUE!</v>
      </c>
      <c r="BH9" t="e">
        <f>AND('Test1 Problem'!H14,"AAAAAHaZpzs=")</f>
        <v>#VALUE!</v>
      </c>
      <c r="BI9" t="e">
        <f>AND('Test1 Problem'!I14,"AAAAAHaZpzw=")</f>
        <v>#VALUE!</v>
      </c>
      <c r="BJ9" t="e">
        <f>AND('Test1 Problem'!J14,"AAAAAHaZpz0=")</f>
        <v>#VALUE!</v>
      </c>
      <c r="BK9" t="e">
        <f>AND('Test1 Problem'!K14,"AAAAAHaZpz4=")</f>
        <v>#VALUE!</v>
      </c>
      <c r="BL9" t="e">
        <f>AND('Test1 Problem'!L14,"AAAAAHaZpz8=")</f>
        <v>#VALUE!</v>
      </c>
      <c r="BM9" t="e">
        <f>AND('Test1 Problem'!M14,"AAAAAHaZp0A=")</f>
        <v>#VALUE!</v>
      </c>
      <c r="BN9" t="e">
        <f>AND('Test1 Problem'!N14,"AAAAAHaZp0E=")</f>
        <v>#VALUE!</v>
      </c>
      <c r="BO9" t="e">
        <f>AND('Test1 Problem'!O14,"AAAAAHaZp0I=")</f>
        <v>#VALUE!</v>
      </c>
      <c r="BP9" t="e">
        <f>AND('Test1 Problem'!P14,"AAAAAHaZp0M=")</f>
        <v>#VALUE!</v>
      </c>
      <c r="BQ9" t="e">
        <f>AND('Test1 Problem'!Q14,"AAAAAHaZp0Q=")</f>
        <v>#VALUE!</v>
      </c>
      <c r="BR9" t="e">
        <f>AND('Test1 Problem'!R14,"AAAAAHaZp0U=")</f>
        <v>#VALUE!</v>
      </c>
      <c r="BS9" t="e">
        <f>AND('Test1 Problem'!S14,"AAAAAHaZp0Y=")</f>
        <v>#VALUE!</v>
      </c>
      <c r="BT9" t="e">
        <f>AND('Test1 Problem'!T14,"AAAAAHaZp0c=")</f>
        <v>#VALUE!</v>
      </c>
      <c r="BU9">
        <f>IF('Test1 Problem'!15:15,"AAAAAHaZp0g=",0)</f>
        <v>0</v>
      </c>
      <c r="BV9" t="e">
        <f>AND('Test1 Problem'!A15,"AAAAAHaZp0k=")</f>
        <v>#VALUE!</v>
      </c>
      <c r="BW9" t="e">
        <f>AND('Test1 Problem'!B15,"AAAAAHaZp0o=")</f>
        <v>#VALUE!</v>
      </c>
      <c r="BX9" t="e">
        <f>AND('Test1 Problem'!C15,"AAAAAHaZp0s=")</f>
        <v>#VALUE!</v>
      </c>
      <c r="BY9" t="e">
        <f>AND('Test1 Problem'!#REF!,"AAAAAHaZp0w=")</f>
        <v>#REF!</v>
      </c>
      <c r="BZ9" t="e">
        <f>AND('Test1 Problem'!E15,"AAAAAHaZp00=")</f>
        <v>#VALUE!</v>
      </c>
      <c r="CA9" t="e">
        <f>AND('Test1 Problem'!F15,"AAAAAHaZp04=")</f>
        <v>#VALUE!</v>
      </c>
      <c r="CB9" t="e">
        <f>AND('Test1 Problem'!G15,"AAAAAHaZp08=")</f>
        <v>#VALUE!</v>
      </c>
      <c r="CC9" t="e">
        <f>AND('Test1 Problem'!H15,"AAAAAHaZp1A=")</f>
        <v>#VALUE!</v>
      </c>
      <c r="CD9" t="e">
        <f>AND('Test1 Problem'!I15,"AAAAAHaZp1E=")</f>
        <v>#VALUE!</v>
      </c>
      <c r="CE9" t="e">
        <f>AND('Test1 Problem'!J15,"AAAAAHaZp1I=")</f>
        <v>#VALUE!</v>
      </c>
      <c r="CF9" t="e">
        <f>AND('Test1 Problem'!K15,"AAAAAHaZp1M=")</f>
        <v>#VALUE!</v>
      </c>
      <c r="CG9" t="e">
        <f>AND('Test1 Problem'!L15,"AAAAAHaZp1Q=")</f>
        <v>#VALUE!</v>
      </c>
      <c r="CH9" t="e">
        <f>AND('Test1 Problem'!M15,"AAAAAHaZp1U=")</f>
        <v>#VALUE!</v>
      </c>
      <c r="CI9" t="e">
        <f>AND('Test1 Problem'!N15,"AAAAAHaZp1Y=")</f>
        <v>#VALUE!</v>
      </c>
      <c r="CJ9" t="e">
        <f>AND('Test1 Problem'!O15,"AAAAAHaZp1c=")</f>
        <v>#VALUE!</v>
      </c>
      <c r="CK9" t="e">
        <f>AND('Test1 Problem'!P15,"AAAAAHaZp1g=")</f>
        <v>#VALUE!</v>
      </c>
      <c r="CL9" t="e">
        <f>AND('Test1 Problem'!Q15,"AAAAAHaZp1k=")</f>
        <v>#VALUE!</v>
      </c>
      <c r="CM9" t="e">
        <f>AND('Test1 Problem'!R15,"AAAAAHaZp1o=")</f>
        <v>#VALUE!</v>
      </c>
      <c r="CN9" t="e">
        <f>AND('Test1 Problem'!S15,"AAAAAHaZp1s=")</f>
        <v>#VALUE!</v>
      </c>
      <c r="CO9" t="e">
        <f>AND('Test1 Problem'!T15,"AAAAAHaZp1w=")</f>
        <v>#VALUE!</v>
      </c>
      <c r="CP9">
        <f>IF('Test1 Problem'!16:16,"AAAAAHaZp10=",0)</f>
        <v>0</v>
      </c>
      <c r="CQ9" t="e">
        <f>AND('Test1 Problem'!A16,"AAAAAHaZp14=")</f>
        <v>#VALUE!</v>
      </c>
      <c r="CR9" t="e">
        <f>AND('Test1 Problem'!B16,"AAAAAHaZp18=")</f>
        <v>#VALUE!</v>
      </c>
      <c r="CS9" t="e">
        <f>AND('Test1 Problem'!C16,"AAAAAHaZp2A=")</f>
        <v>#VALUE!</v>
      </c>
      <c r="CT9" t="e">
        <f>AND('Test1 Problem'!#REF!,"AAAAAHaZp2E=")</f>
        <v>#REF!</v>
      </c>
      <c r="CU9" t="e">
        <f>AND('Test1 Problem'!E16,"AAAAAHaZp2I=")</f>
        <v>#VALUE!</v>
      </c>
      <c r="CV9" t="e">
        <f>AND('Test1 Problem'!F16,"AAAAAHaZp2M=")</f>
        <v>#VALUE!</v>
      </c>
      <c r="CW9" t="e">
        <f>AND('Test1 Problem'!G16,"AAAAAHaZp2Q=")</f>
        <v>#VALUE!</v>
      </c>
      <c r="CX9" t="e">
        <f>AND('Test1 Problem'!H16,"AAAAAHaZp2U=")</f>
        <v>#VALUE!</v>
      </c>
      <c r="CY9" t="e">
        <f>AND('Test1 Problem'!I16,"AAAAAHaZp2Y=")</f>
        <v>#VALUE!</v>
      </c>
      <c r="CZ9" t="e">
        <f>AND('Test1 Problem'!J16,"AAAAAHaZp2c=")</f>
        <v>#VALUE!</v>
      </c>
      <c r="DA9" t="e">
        <f>AND('Test1 Problem'!K16,"AAAAAHaZp2g=")</f>
        <v>#VALUE!</v>
      </c>
      <c r="DB9" t="e">
        <f>AND('Test1 Problem'!L16,"AAAAAHaZp2k=")</f>
        <v>#VALUE!</v>
      </c>
      <c r="DC9" t="e">
        <f>AND('Test1 Problem'!M16,"AAAAAHaZp2o=")</f>
        <v>#VALUE!</v>
      </c>
      <c r="DD9" t="e">
        <f>AND('Test1 Problem'!N16,"AAAAAHaZp2s=")</f>
        <v>#VALUE!</v>
      </c>
      <c r="DE9" t="e">
        <f>AND('Test1 Problem'!O16,"AAAAAHaZp2w=")</f>
        <v>#VALUE!</v>
      </c>
      <c r="DF9" t="e">
        <f>AND('Test1 Problem'!P16,"AAAAAHaZp20=")</f>
        <v>#VALUE!</v>
      </c>
      <c r="DG9" t="e">
        <f>AND('Test1 Problem'!Q16,"AAAAAHaZp24=")</f>
        <v>#VALUE!</v>
      </c>
      <c r="DH9" t="e">
        <f>AND('Test1 Problem'!R16,"AAAAAHaZp28=")</f>
        <v>#VALUE!</v>
      </c>
      <c r="DI9" t="e">
        <f>AND('Test1 Problem'!S16,"AAAAAHaZp3A=")</f>
        <v>#VALUE!</v>
      </c>
      <c r="DJ9" t="e">
        <f>AND('Test1 Problem'!T16,"AAAAAHaZp3E=")</f>
        <v>#VALUE!</v>
      </c>
      <c r="DK9">
        <f>IF('Test1 Problem'!17:17,"AAAAAHaZp3I=",0)</f>
        <v>0</v>
      </c>
      <c r="DL9" t="e">
        <f>AND('Test1 Problem'!A17,"AAAAAHaZp3M=")</f>
        <v>#VALUE!</v>
      </c>
      <c r="DM9" t="e">
        <f>AND('Test1 Problem'!B17,"AAAAAHaZp3Q=")</f>
        <v>#VALUE!</v>
      </c>
      <c r="DN9" t="e">
        <f>AND('Test1 Problem'!C17,"AAAAAHaZp3U=")</f>
        <v>#VALUE!</v>
      </c>
      <c r="DO9" t="e">
        <f>AND('Test1 Problem'!D17,"AAAAAHaZp3Y=")</f>
        <v>#VALUE!</v>
      </c>
      <c r="DP9" t="e">
        <f>AND('Test1 Problem'!E17,"AAAAAHaZp3c=")</f>
        <v>#VALUE!</v>
      </c>
      <c r="DQ9" t="e">
        <f>AND('Test1 Problem'!F17,"AAAAAHaZp3g=")</f>
        <v>#VALUE!</v>
      </c>
      <c r="DR9" t="e">
        <f>AND('Test1 Problem'!G17,"AAAAAHaZp3k=")</f>
        <v>#VALUE!</v>
      </c>
      <c r="DS9" t="e">
        <f>AND('Test1 Problem'!H17,"AAAAAHaZp3o=")</f>
        <v>#VALUE!</v>
      </c>
      <c r="DT9" t="e">
        <f>AND('Test1 Problem'!M17,"AAAAAHaZp3s=")</f>
        <v>#VALUE!</v>
      </c>
      <c r="DU9" t="e">
        <f>AND('Test1 Problem'!N18,"AAAAAHaZp3w=")</f>
        <v>#VALUE!</v>
      </c>
      <c r="DV9" t="e">
        <f>AND('Test1 Problem'!N17,"AAAAAHaZp30=")</f>
        <v>#VALUE!</v>
      </c>
      <c r="DW9" t="e">
        <f>AND('Test1 Problem'!L17,"AAAAAHaZp34=")</f>
        <v>#VALUE!</v>
      </c>
      <c r="DX9" t="e">
        <f>AND('Test1 Problem'!#REF!,"AAAAAHaZp38=")</f>
        <v>#REF!</v>
      </c>
      <c r="DY9" t="e">
        <f>AND('Test1 Problem'!#REF!,"AAAAAHaZp4A=")</f>
        <v>#REF!</v>
      </c>
      <c r="DZ9" t="e">
        <f>AND('Test1 Problem'!O17,"AAAAAHaZp4E=")</f>
        <v>#VALUE!</v>
      </c>
      <c r="EA9" t="e">
        <f>AND('Test1 Problem'!P17,"AAAAAHaZp4I=")</f>
        <v>#VALUE!</v>
      </c>
      <c r="EB9" t="e">
        <f>AND('Test1 Problem'!Q17,"AAAAAHaZp4M=")</f>
        <v>#VALUE!</v>
      </c>
      <c r="EC9" t="e">
        <f>AND('Test1 Problem'!R17,"AAAAAHaZp4Q=")</f>
        <v>#VALUE!</v>
      </c>
      <c r="ED9" t="e">
        <f>AND('Test1 Problem'!S17,"AAAAAHaZp4U=")</f>
        <v>#VALUE!</v>
      </c>
      <c r="EE9" t="e">
        <f>AND('Test1 Problem'!T17,"AAAAAHaZp4Y=")</f>
        <v>#VALUE!</v>
      </c>
      <c r="EF9">
        <f>IF('Test1 Problem'!18:18,"AAAAAHaZp4c=",0)</f>
        <v>0</v>
      </c>
      <c r="EG9" t="e">
        <f>AND('Test1 Problem'!A18,"AAAAAHaZp4g=")</f>
        <v>#VALUE!</v>
      </c>
      <c r="EH9" t="e">
        <f>AND('Test1 Problem'!B18,"AAAAAHaZp4k=")</f>
        <v>#VALUE!</v>
      </c>
      <c r="EI9" t="e">
        <f>AND('Test1 Problem'!C18,"AAAAAHaZp4o=")</f>
        <v>#VALUE!</v>
      </c>
      <c r="EJ9" t="e">
        <f>AND('Test1 Problem'!D18,"AAAAAHaZp4s=")</f>
        <v>#VALUE!</v>
      </c>
      <c r="EK9" t="e">
        <f>AND('Test1 Problem'!E18,"AAAAAHaZp4w=")</f>
        <v>#VALUE!</v>
      </c>
      <c r="EL9" t="e">
        <f>AND('Test1 Problem'!F18,"AAAAAHaZp40=")</f>
        <v>#VALUE!</v>
      </c>
      <c r="EM9" t="e">
        <f>AND('Test1 Problem'!G18,"AAAAAHaZp44=")</f>
        <v>#VALUE!</v>
      </c>
      <c r="EN9" t="e">
        <f>AND('Test1 Problem'!H18,"AAAAAHaZp48=")</f>
        <v>#VALUE!</v>
      </c>
      <c r="EO9" t="e">
        <f>AND('Test1 Problem'!I18,"AAAAAHaZp5A=")</f>
        <v>#VALUE!</v>
      </c>
      <c r="EP9" t="e">
        <f>AND('Test1 Problem'!N19,"AAAAAHaZp5E=")</f>
        <v>#VALUE!</v>
      </c>
      <c r="EQ9" t="e">
        <f>AND('Test1 Problem'!#REF!,"AAAAAHaZp5I=")</f>
        <v>#REF!</v>
      </c>
      <c r="ER9" t="e">
        <f>AND('Test1 Problem'!L18,"AAAAAHaZp5M=")</f>
        <v>#VALUE!</v>
      </c>
      <c r="ES9" t="e">
        <f>AND('Test1 Problem'!#REF!,"AAAAAHaZp5Q=")</f>
        <v>#REF!</v>
      </c>
      <c r="ET9" t="e">
        <f>AND('Test1 Problem'!#REF!,"AAAAAHaZp5U=")</f>
        <v>#REF!</v>
      </c>
      <c r="EU9" t="e">
        <f>AND('Test1 Problem'!O18,"AAAAAHaZp5Y=")</f>
        <v>#VALUE!</v>
      </c>
      <c r="EV9" t="e">
        <f>AND('Test1 Problem'!P18,"AAAAAHaZp5c=")</f>
        <v>#VALUE!</v>
      </c>
      <c r="EW9" t="e">
        <f>AND('Test1 Problem'!Q18,"AAAAAHaZp5g=")</f>
        <v>#VALUE!</v>
      </c>
      <c r="EX9" t="e">
        <f>AND('Test1 Problem'!R18,"AAAAAHaZp5k=")</f>
        <v>#VALUE!</v>
      </c>
      <c r="EY9" t="e">
        <f>AND('Test1 Problem'!S18,"AAAAAHaZp5o=")</f>
        <v>#VALUE!</v>
      </c>
      <c r="EZ9" t="e">
        <f>AND('Test1 Problem'!T18,"AAAAAHaZp5s=")</f>
        <v>#VALUE!</v>
      </c>
      <c r="FA9">
        <f>IF('Test1 Problem'!19:19,"AAAAAHaZp5w=",0)</f>
        <v>0</v>
      </c>
      <c r="FB9" t="e">
        <f>AND('Test1 Problem'!A19,"AAAAAHaZp50=")</f>
        <v>#VALUE!</v>
      </c>
      <c r="FC9" t="e">
        <f>AND('Test1 Problem'!B19,"AAAAAHaZp54=")</f>
        <v>#VALUE!</v>
      </c>
      <c r="FD9" t="e">
        <f>AND('Test1 Problem'!C19,"AAAAAHaZp58=")</f>
        <v>#VALUE!</v>
      </c>
      <c r="FE9" t="e">
        <f>AND('Test1 Problem'!D19,"AAAAAHaZp6A=")</f>
        <v>#VALUE!</v>
      </c>
      <c r="FF9" t="e">
        <f>AND('Test1 Problem'!E19,"AAAAAHaZp6E=")</f>
        <v>#VALUE!</v>
      </c>
      <c r="FG9" t="e">
        <f>AND('Test1 Problem'!F19,"AAAAAHaZp6I=")</f>
        <v>#VALUE!</v>
      </c>
      <c r="FH9" t="e">
        <f>AND('Test1 Problem'!G19,"AAAAAHaZp6M=")</f>
        <v>#VALUE!</v>
      </c>
      <c r="FI9" t="e">
        <f>AND('Test1 Problem'!H19,"AAAAAHaZp6Q=")</f>
        <v>#VALUE!</v>
      </c>
      <c r="FJ9" t="e">
        <f>AND('Test1 Problem'!I19,"AAAAAHaZp6U=")</f>
        <v>#VALUE!</v>
      </c>
      <c r="FK9" t="e">
        <f>AND('Test1 Problem'!N20,"AAAAAHaZp6Y=")</f>
        <v>#VALUE!</v>
      </c>
      <c r="FL9" t="e">
        <f>AND('Test1 Problem'!#REF!,"AAAAAHaZp6c=")</f>
        <v>#REF!</v>
      </c>
      <c r="FM9" t="e">
        <f>AND('Test1 Problem'!L19,"AAAAAHaZp6g=")</f>
        <v>#VALUE!</v>
      </c>
      <c r="FN9" t="e">
        <f>AND('Test1 Problem'!#REF!,"AAAAAHaZp6k=")</f>
        <v>#REF!</v>
      </c>
      <c r="FO9" t="e">
        <f>AND('Test1 Problem'!#REF!,"AAAAAHaZp6o=")</f>
        <v>#REF!</v>
      </c>
      <c r="FP9" t="e">
        <f>AND('Test1 Problem'!O19,"AAAAAHaZp6s=")</f>
        <v>#VALUE!</v>
      </c>
      <c r="FQ9" t="e">
        <f>AND('Test1 Problem'!P19,"AAAAAHaZp6w=")</f>
        <v>#VALUE!</v>
      </c>
      <c r="FR9" t="e">
        <f>AND('Test1 Problem'!Q19,"AAAAAHaZp60=")</f>
        <v>#VALUE!</v>
      </c>
      <c r="FS9" t="e">
        <f>AND('Test1 Problem'!R19,"AAAAAHaZp64=")</f>
        <v>#VALUE!</v>
      </c>
      <c r="FT9" t="e">
        <f>AND('Test1 Problem'!S19,"AAAAAHaZp68=")</f>
        <v>#VALUE!</v>
      </c>
      <c r="FU9" t="e">
        <f>AND('Test1 Problem'!T19,"AAAAAHaZp7A=")</f>
        <v>#VALUE!</v>
      </c>
      <c r="FV9">
        <f>IF('Test1 Problem'!20:20,"AAAAAHaZp7E=",0)</f>
        <v>0</v>
      </c>
      <c r="FW9" t="e">
        <f>AND('Test1 Problem'!A20,"AAAAAHaZp7I=")</f>
        <v>#VALUE!</v>
      </c>
      <c r="FX9" t="e">
        <f>AND('Test1 Problem'!B20,"AAAAAHaZp7M=")</f>
        <v>#VALUE!</v>
      </c>
      <c r="FY9" t="e">
        <f>AND('Test1 Problem'!C20,"AAAAAHaZp7Q=")</f>
        <v>#VALUE!</v>
      </c>
      <c r="FZ9" t="e">
        <f>AND('Test1 Problem'!D20,"AAAAAHaZp7U=")</f>
        <v>#VALUE!</v>
      </c>
      <c r="GA9" t="e">
        <f>AND('Test1 Problem'!E20,"AAAAAHaZp7Y=")</f>
        <v>#VALUE!</v>
      </c>
      <c r="GB9" t="e">
        <f>AND('Test1 Problem'!F20,"AAAAAHaZp7c=")</f>
        <v>#VALUE!</v>
      </c>
      <c r="GC9" t="e">
        <f>AND('Test1 Problem'!G20,"AAAAAHaZp7g=")</f>
        <v>#VALUE!</v>
      </c>
      <c r="GD9" t="e">
        <f>AND('Test1 Problem'!H20,"AAAAAHaZp7k=")</f>
        <v>#VALUE!</v>
      </c>
      <c r="GE9" t="e">
        <f>AND('Test1 Problem'!I20,"AAAAAHaZp7o=")</f>
        <v>#VALUE!</v>
      </c>
      <c r="GF9" t="e">
        <f>AND('Test1 Problem'!N21,"AAAAAHaZp7s=")</f>
        <v>#VALUE!</v>
      </c>
      <c r="GG9" t="e">
        <f>AND('Test1 Problem'!#REF!,"AAAAAHaZp7w=")</f>
        <v>#REF!</v>
      </c>
      <c r="GH9" t="e">
        <f>AND('Test1 Problem'!L20,"AAAAAHaZp70=")</f>
        <v>#VALUE!</v>
      </c>
      <c r="GI9" t="e">
        <f>AND('Test1 Problem'!#REF!,"AAAAAHaZp74=")</f>
        <v>#REF!</v>
      </c>
      <c r="GJ9" t="e">
        <f>AND('Test1 Problem'!#REF!,"AAAAAHaZp78=")</f>
        <v>#REF!</v>
      </c>
      <c r="GK9" t="e">
        <f>AND('Test1 Problem'!O20,"AAAAAHaZp8A=")</f>
        <v>#VALUE!</v>
      </c>
      <c r="GL9" t="e">
        <f>AND('Test1 Problem'!P20,"AAAAAHaZp8E=")</f>
        <v>#VALUE!</v>
      </c>
      <c r="GM9" t="e">
        <f>AND('Test1 Problem'!Q20,"AAAAAHaZp8I=")</f>
        <v>#VALUE!</v>
      </c>
      <c r="GN9" t="e">
        <f>AND('Test1 Problem'!R20,"AAAAAHaZp8M=")</f>
        <v>#VALUE!</v>
      </c>
      <c r="GO9" t="e">
        <f>AND('Test1 Problem'!S20,"AAAAAHaZp8Q=")</f>
        <v>#VALUE!</v>
      </c>
      <c r="GP9" t="e">
        <f>AND('Test1 Problem'!T20,"AAAAAHaZp8U=")</f>
        <v>#VALUE!</v>
      </c>
      <c r="GQ9">
        <f>IF('Test1 Problem'!21:21,"AAAAAHaZp8Y=",0)</f>
        <v>0</v>
      </c>
      <c r="GR9" t="e">
        <f>AND('Test1 Problem'!A21,"AAAAAHaZp8c=")</f>
        <v>#VALUE!</v>
      </c>
      <c r="GS9" t="e">
        <f>AND('Test1 Problem'!B21,"AAAAAHaZp8g=")</f>
        <v>#VALUE!</v>
      </c>
      <c r="GT9" t="e">
        <f>AND('Test1 Problem'!C21,"AAAAAHaZp8k=")</f>
        <v>#VALUE!</v>
      </c>
      <c r="GU9" t="e">
        <f>AND('Test1 Problem'!D21,"AAAAAHaZp8o=")</f>
        <v>#VALUE!</v>
      </c>
      <c r="GV9" t="e">
        <f>AND('Test1 Problem'!E21,"AAAAAHaZp8s=")</f>
        <v>#VALUE!</v>
      </c>
      <c r="GW9" t="e">
        <f>AND('Test1 Problem'!F21,"AAAAAHaZp8w=")</f>
        <v>#VALUE!</v>
      </c>
      <c r="GX9" t="e">
        <f>AND('Test1 Problem'!G21,"AAAAAHaZp80=")</f>
        <v>#VALUE!</v>
      </c>
      <c r="GY9" t="e">
        <f>AND('Test1 Problem'!H21,"AAAAAHaZp84=")</f>
        <v>#VALUE!</v>
      </c>
      <c r="GZ9" t="e">
        <f>AND('Test1 Problem'!I21,"AAAAAHaZp88=")</f>
        <v>#VALUE!</v>
      </c>
      <c r="HA9" t="e">
        <f>AND('Test1 Problem'!N22,"AAAAAHaZp9A=")</f>
        <v>#VALUE!</v>
      </c>
      <c r="HB9" t="e">
        <f>AND('Test1 Problem'!#REF!,"AAAAAHaZp9E=")</f>
        <v>#REF!</v>
      </c>
      <c r="HC9" t="e">
        <f>AND('Test1 Problem'!L21,"AAAAAHaZp9I=")</f>
        <v>#VALUE!</v>
      </c>
      <c r="HD9" t="e">
        <f>AND('Test1 Problem'!#REF!,"AAAAAHaZp9M=")</f>
        <v>#REF!</v>
      </c>
      <c r="HE9" t="e">
        <f>AND('Test1 Problem'!#REF!,"AAAAAHaZp9Q=")</f>
        <v>#REF!</v>
      </c>
      <c r="HF9" t="e">
        <f>AND('Test1 Problem'!O21,"AAAAAHaZp9U=")</f>
        <v>#VALUE!</v>
      </c>
      <c r="HG9" t="e">
        <f>AND('Test1 Problem'!P21,"AAAAAHaZp9Y=")</f>
        <v>#VALUE!</v>
      </c>
      <c r="HH9" t="e">
        <f>AND('Test1 Problem'!Q21,"AAAAAHaZp9c=")</f>
        <v>#VALUE!</v>
      </c>
      <c r="HI9" t="e">
        <f>AND('Test1 Problem'!R21,"AAAAAHaZp9g=")</f>
        <v>#VALUE!</v>
      </c>
      <c r="HJ9" t="e">
        <f>AND('Test1 Problem'!S21,"AAAAAHaZp9k=")</f>
        <v>#VALUE!</v>
      </c>
      <c r="HK9" t="e">
        <f>AND('Test1 Problem'!T21,"AAAAAHaZp9o=")</f>
        <v>#VALUE!</v>
      </c>
      <c r="HL9">
        <f>IF('Test1 Problem'!22:22,"AAAAAHaZp9s=",0)</f>
        <v>0</v>
      </c>
      <c r="HM9">
        <f>IF('Test1 Problem'!23:23,"AAAAAHaZp9w=",0)</f>
        <v>0</v>
      </c>
      <c r="HN9">
        <f>IF('Test1 Problem'!24:24,"AAAAAHaZp90=",0)</f>
        <v>0</v>
      </c>
      <c r="HO9">
        <f>IF('Test1 Problem'!25:25,"AAAAAHaZp94=",0)</f>
        <v>0</v>
      </c>
      <c r="HP9">
        <f>IF('Test1 Problem'!26:26,"AAAAAHaZp98=",0)</f>
        <v>0</v>
      </c>
      <c r="HQ9">
        <f>IF('Test1 Problem'!27:27,"AAAAAHaZp+A=",0)</f>
        <v>0</v>
      </c>
      <c r="HR9">
        <f>IF('Test1 Problem'!28:28,"AAAAAHaZp+E=",0)</f>
        <v>0</v>
      </c>
      <c r="HS9">
        <f>IF('Test1 Problem'!A:A,"AAAAAHaZp+I=",0)</f>
        <v>0</v>
      </c>
      <c r="HT9" t="e">
        <f>IF('Test1 Problem'!B:B,"AAAAAHaZp+M=",0)</f>
        <v>#VALUE!</v>
      </c>
      <c r="HU9" t="str">
        <f>IF('Test1 Problem'!C:C,"AAAAAHaZp+Q=",0)</f>
        <v>AAAAAHaZp+Q=</v>
      </c>
      <c r="HV9" t="e">
        <f>IF('Test1 Problem'!D:D,"AAAAAHaZp+U=",0)</f>
        <v>#VALUE!</v>
      </c>
      <c r="HW9" t="str">
        <f>IF('Test1 Problem'!E:E,"AAAAAHaZp+Y=",0)</f>
        <v>AAAAAHaZp+Y=</v>
      </c>
      <c r="HX9" t="str">
        <f>IF('Test1 Problem'!F:F,"AAAAAHaZp+c=",0)</f>
        <v>AAAAAHaZp+c=</v>
      </c>
      <c r="HY9">
        <f>IF('Test1 Problem'!G:G,"AAAAAHaZp+g=",0)</f>
        <v>0</v>
      </c>
      <c r="HZ9" t="e">
        <f>IF('Test1 Problem'!H:H,"AAAAAHaZp+k=",0)</f>
        <v>#VALUE!</v>
      </c>
      <c r="IA9" t="str">
        <f>IF('Test1 Problem'!I:I,"AAAAAHaZp+o=",0)</f>
        <v>AAAAAHaZp+o=</v>
      </c>
      <c r="IB9" t="str">
        <f>IF('Test1 Problem'!J:J,"AAAAAHaZp+s=",0)</f>
        <v>AAAAAHaZp+s=</v>
      </c>
      <c r="IC9">
        <f>IF('Test1 Problem'!K:K,"AAAAAHaZp+w=",0)</f>
        <v>0</v>
      </c>
      <c r="ID9">
        <f>IF('Test1 Problem'!L:L,"AAAAAHaZp+0=",0)</f>
        <v>0</v>
      </c>
      <c r="IE9">
        <f>IF('Test1 Problem'!M:M,"AAAAAHaZp+4=",0)</f>
        <v>0</v>
      </c>
      <c r="IF9">
        <f>IF('Test1 Problem'!N:N,"AAAAAHaZp+8=",0)</f>
        <v>0</v>
      </c>
      <c r="IG9">
        <f>IF('Test1 Problem'!O:O,"AAAAAHaZp/A=",0)</f>
        <v>0</v>
      </c>
      <c r="IH9">
        <f>IF('Test1 Problem'!P:P,"AAAAAHaZp/E=",0)</f>
        <v>0</v>
      </c>
      <c r="II9" t="e">
        <f>IF('Test1 Problem'!Q:Q,"AAAAAHaZp/I=",0)</f>
        <v>#VALUE!</v>
      </c>
      <c r="IJ9" t="str">
        <f>IF('Test1 Problem'!R:R,"AAAAAHaZp/M=",0)</f>
        <v>AAAAAHaZp/M=</v>
      </c>
      <c r="IK9">
        <f>IF('Test1 Problem'!S:S,"AAAAAHaZp/Q=",0)</f>
        <v>0</v>
      </c>
      <c r="IL9">
        <f>IF('Test1 Problem'!T:T,"AAAAAHaZp/U=",0)</f>
        <v>0</v>
      </c>
      <c r="IM9" t="e">
        <f>IF(#REF!,"AAAAAHaZp/Y=",0)</f>
        <v>#REF!</v>
      </c>
      <c r="IN9" t="e">
        <f>AND(#REF!,"AAAAAHaZp/c=")</f>
        <v>#REF!</v>
      </c>
      <c r="IO9" t="e">
        <f>IF(#REF!,"AAAAAHaZp/g=",0)</f>
        <v>#REF!</v>
      </c>
      <c r="IP9" t="e">
        <f>AND(#REF!,"AAAAAHaZp/k=")</f>
        <v>#REF!</v>
      </c>
      <c r="IQ9" t="e">
        <f>IF(#REF!,"AAAAAHaZp/o=",0)</f>
        <v>#REF!</v>
      </c>
      <c r="IR9" t="e">
        <f>AND(#REF!,"AAAAAHaZp/s=")</f>
        <v>#REF!</v>
      </c>
      <c r="IS9" t="e">
        <f>IF(#REF!,"AAAAAHaZp/w=",0)</f>
        <v>#REF!</v>
      </c>
      <c r="IT9" t="e">
        <f>AND(#REF!,"AAAAAHaZp/0=")</f>
        <v>#REF!</v>
      </c>
      <c r="IU9" t="e">
        <f>IF(#REF!,"AAAAAHaZp/4=",0)</f>
        <v>#REF!</v>
      </c>
      <c r="IV9" t="e">
        <f>AND(#REF!,"AAAAAHaZp/8=")</f>
        <v>#REF!</v>
      </c>
    </row>
    <row r="10" spans="1:256">
      <c r="A10" t="e">
        <f>IF(#REF!,"AAAAACvf/QA=",0)</f>
        <v>#REF!</v>
      </c>
      <c r="B10" t="e">
        <f>AND(#REF!,"AAAAACvf/QE=")</f>
        <v>#REF!</v>
      </c>
      <c r="C10" t="e">
        <f>IF(#REF!,"AAAAACvf/QI=",0)</f>
        <v>#REF!</v>
      </c>
      <c r="D10" t="e">
        <f>AND(#REF!,"AAAAACvf/QM=")</f>
        <v>#REF!</v>
      </c>
      <c r="E10" t="e">
        <f>IF(#REF!,"AAAAACvf/QQ=",0)</f>
        <v>#REF!</v>
      </c>
      <c r="F10" t="e">
        <f>AND(#REF!,"AAAAACvf/QU=")</f>
        <v>#REF!</v>
      </c>
      <c r="G10" t="e">
        <f>IF(#REF!,"AAAAACvf/QY=",0)</f>
        <v>#REF!</v>
      </c>
      <c r="H10" t="e">
        <f>AND(#REF!,"AAAAACvf/Qc=")</f>
        <v>#REF!</v>
      </c>
      <c r="I10" t="e">
        <f>IF(#REF!,"AAAAACvf/Qg=",0)</f>
        <v>#REF!</v>
      </c>
      <c r="J10" t="e">
        <f>AND(#REF!,"AAAAACvf/Qk=")</f>
        <v>#REF!</v>
      </c>
      <c r="K10" t="e">
        <f>IF(#REF!,"AAAAACvf/Qo=",0)</f>
        <v>#REF!</v>
      </c>
      <c r="L10" t="e">
        <f>AND(#REF!,"AAAAACvf/Qs=")</f>
        <v>#REF!</v>
      </c>
      <c r="M10" t="e">
        <f>IF(#REF!,"AAAAACvf/Qw=",0)</f>
        <v>#REF!</v>
      </c>
      <c r="N10" t="e">
        <f>AND(#REF!,"AAAAACvf/Q0=")</f>
        <v>#REF!</v>
      </c>
      <c r="O10" t="e">
        <f>IF(#REF!,"AAAAACvf/Q4=",0)</f>
        <v>#REF!</v>
      </c>
      <c r="P10" t="e">
        <f>AND(#REF!,"AAAAACvf/Q8=")</f>
        <v>#REF!</v>
      </c>
      <c r="Q10" t="e">
        <f>IF(#REF!,"AAAAACvf/RA=",0)</f>
        <v>#REF!</v>
      </c>
      <c r="R10" t="e">
        <f>AND(#REF!,"AAAAACvf/RE=")</f>
        <v>#REF!</v>
      </c>
      <c r="S10" t="e">
        <f>IF(#REF!,"AAAAACvf/RI=",0)</f>
        <v>#REF!</v>
      </c>
      <c r="T10" t="e">
        <f>AND(#REF!,"AAAAACvf/RM=")</f>
        <v>#REF!</v>
      </c>
      <c r="U10" t="e">
        <f>IF(#REF!,"AAAAACvf/RQ=",0)</f>
        <v>#REF!</v>
      </c>
      <c r="V10" t="e">
        <f>IF(#REF!,"AAAAACvf/RU=",0)</f>
        <v>#REF!</v>
      </c>
      <c r="W10" t="e">
        <f>IF(#REF!,"AAAAACvf/RY=",0)</f>
        <v>#REF!</v>
      </c>
      <c r="X10" t="e">
        <f>IF(#REF!,"AAAAACvf/Rc=",0)</f>
        <v>#REF!</v>
      </c>
      <c r="Y10" t="e">
        <f>IF(#REF!,"AAAAACvf/Rg=",0)</f>
        <v>#REF!</v>
      </c>
      <c r="Z10" t="e">
        <f>IF(#REF!,"AAAAACvf/Rk=",0)</f>
        <v>#REF!</v>
      </c>
      <c r="AA10" t="e">
        <f>IF(#REF!,"AAAAACvf/Ro=",0)</f>
        <v>#REF!</v>
      </c>
      <c r="AB10" t="e">
        <f>IF(#REF!,"AAAAACvf/Rs=",0)</f>
        <v>#REF!</v>
      </c>
      <c r="AC10" t="e">
        <f>IF(#REF!,"AAAAACvf/Rw=",0)</f>
        <v>#REF!</v>
      </c>
      <c r="AD10" t="e">
        <f>IF(#REF!,"AAAAACvf/R0=",0)</f>
        <v>#REF!</v>
      </c>
      <c r="AE10" s="9" t="s">
        <v>55</v>
      </c>
      <c r="AF10" t="s">
        <v>56</v>
      </c>
      <c r="AG10" t="e">
        <f>IF("N",abs_btm,"AAAAACvf/SA=")</f>
        <v>#VALUE!</v>
      </c>
      <c r="AH10" t="e">
        <f>IF("N",abs_ovhd,"AAAAACvf/SE=")</f>
        <v>#VALUE!</v>
      </c>
      <c r="AI10" t="e">
        <f>IF("N",acid_gas,"AAAAACvf/SI=")</f>
        <v>#VALUE!</v>
      </c>
      <c r="AJ10" t="e">
        <f>IF("N",bypass,"AAAAACvf/SM=")</f>
        <v>#VALUE!</v>
      </c>
      <c r="AK10" t="e">
        <f>IF("N",condensate,"AAAAACvf/SQ=")</f>
        <v>#VALUE!</v>
      </c>
      <c r="AL10" t="e">
        <f>IF("N",D_4_Feed,"AAAAACvf/SU=")</f>
        <v>#VALUE!</v>
      </c>
      <c r="AM10" t="e">
        <f>IF("N",D_4_Product,"AAAAACvf/SY=")</f>
        <v>#VALUE!</v>
      </c>
      <c r="AN10" t="e">
        <f>IF("N",D_7_Feed,"AAAAACvf/Sc=")</f>
        <v>#VALUE!</v>
      </c>
      <c r="AO10" t="e">
        <f>IF("N",D_7_Product,"AAAAACvf/Sg=")</f>
        <v>#VALUE!</v>
      </c>
      <c r="AP10" t="e">
        <f>IF("N",fat_oil,"AAAAACvf/Sk=")</f>
        <v>#VALUE!</v>
      </c>
      <c r="AQ10" t="e">
        <f>IF("N",fuel_gas,"AAAAACvf/So=")</f>
        <v>#VALUE!</v>
      </c>
      <c r="AR10" t="e">
        <f>IF("N",J_4_Feed,"AAAAACvf/Ss=")</f>
        <v>#VALUE!</v>
      </c>
      <c r="AS10" t="e">
        <f>IF("N",J_4_Product,"AAAAACvf/Sw=")</f>
        <v>#VALUE!</v>
      </c>
      <c r="AT10" t="e">
        <f>IF("N",J_6_Feed,"AAAAACvf/S0=")</f>
        <v>#VALUE!</v>
      </c>
      <c r="AU10" t="e">
        <f>IF("N",J_6_Product,"AAAAACvf/S4=")</f>
        <v>#VALUE!</v>
      </c>
      <c r="AV10" t="e">
        <f>IF("N",lean_oil,"AAAAACvf/S8=")</f>
        <v>#VALUE!</v>
      </c>
      <c r="AW10" t="e">
        <f>IF("N",ReactorEff,"AAAAACvf/TA=")</f>
        <v>#VALUE!</v>
      </c>
      <c r="AX10" t="e">
        <f>IF("N",recycle,"AAAAACvf/TE=")</f>
        <v>#VALUE!</v>
      </c>
      <c r="AY10" t="e">
        <f>IF("N",sep_ovhd,"AAAAACvf/TI=")</f>
        <v>#VALUE!</v>
      </c>
      <c r="AZ10" t="e">
        <f>IF("N",'Test1 Problem'!solver_adj,"AAAAACvf/TM=")</f>
        <v>#VALUE!</v>
      </c>
      <c r="BA10" t="e">
        <f>IF("N",'Test1 Problem'!solver_cvg,"AAAAACvf/TQ=")</f>
        <v>#VALUE!</v>
      </c>
      <c r="BB10" t="e">
        <f>IF("N",'Test1 Problem'!solver_drv,"AAAAACvf/TU=")</f>
        <v>#VALUE!</v>
      </c>
      <c r="BC10" t="e">
        <f>IF("N",'Test1 Problem'!solver_est,"AAAAACvf/TY=")</f>
        <v>#VALUE!</v>
      </c>
      <c r="BD10" t="e">
        <f>IF("N",'Test1 Problem'!solver_itr,"AAAAACvf/Tc=")</f>
        <v>#VALUE!</v>
      </c>
      <c r="BE10" t="e">
        <f>IF("N",'Test1 Problem'!solver_lhs1,"AAAAACvf/Tg=")</f>
        <v>#VALUE!</v>
      </c>
      <c r="BF10" t="e">
        <f>IF("N",'Test1 Problem'!solver_lhs2,"AAAAACvf/Tk=")</f>
        <v>#VALUE!</v>
      </c>
      <c r="BG10" t="e">
        <f>IF("N",'Test1 Problem'!solver_lin,"AAAAACvf/To=")</f>
        <v>#VALUE!</v>
      </c>
      <c r="BH10" t="e">
        <f>IF("N",'Test1 Problem'!solver_neg,"AAAAACvf/Ts=")</f>
        <v>#VALUE!</v>
      </c>
      <c r="BI10" t="e">
        <f>IF("N",'Test1 Problem'!solver_num,"AAAAACvf/Tw=")</f>
        <v>#VALUE!</v>
      </c>
      <c r="BJ10" t="e">
        <f>IF("N",'Test1 Problem'!solver_nwt,"AAAAACvf/T0=")</f>
        <v>#VALUE!</v>
      </c>
      <c r="BK10" t="e">
        <f>IF("N",'Test1 Problem'!solver_opt,"AAAAACvf/T4=")</f>
        <v>#VALUE!</v>
      </c>
      <c r="BL10" t="e">
        <f>IF("N",'Test1 Problem'!solver_pre,"AAAAACvf/T8=")</f>
        <v>#VALUE!</v>
      </c>
      <c r="BM10" t="e">
        <f>IF("N",'Test1 Problem'!solver_rel1,"AAAAACvf/UA=")</f>
        <v>#VALUE!</v>
      </c>
      <c r="BN10" t="e">
        <f>IF("N",'Test1 Problem'!solver_rel2,"AAAAACvf/UE=")</f>
        <v>#VALUE!</v>
      </c>
      <c r="BO10" t="e">
        <f>IF("N",'Test1 Problem'!solver_rhs1,"AAAAACvf/UI=")</f>
        <v>#VALUE!</v>
      </c>
      <c r="BP10" t="e">
        <f>IF("N",'Test1 Problem'!solver_rhs2,"AAAAACvf/UM=")</f>
        <v>#VALUE!</v>
      </c>
      <c r="BQ10" t="e">
        <f>IF("N",'Test1 Problem'!solver_scl,"AAAAACvf/UQ=")</f>
        <v>#VALUE!</v>
      </c>
      <c r="BR10" t="e">
        <f>IF("N",'Test1 Problem'!solver_sho,"AAAAACvf/UU=")</f>
        <v>#VALUE!</v>
      </c>
      <c r="BS10" t="e">
        <f>IF("N",'Test1 Problem'!solver_tim,"AAAAACvf/UY=")</f>
        <v>#VALUE!</v>
      </c>
      <c r="BT10" t="e">
        <f>IF("N",'Test1 Problem'!solver_tol,"AAAAACvf/Uc=")</f>
        <v>#VALUE!</v>
      </c>
      <c r="BU10" t="e">
        <f>IF("N",'Test1 Problem'!solver_typ,"AAAAACvf/Ug=")</f>
        <v>#VALUE!</v>
      </c>
      <c r="BV10" t="e">
        <f>IF("N",'Test1 Problem'!solver_val,"AAAAACvf/Uk=")</f>
        <v>#VALUE!</v>
      </c>
      <c r="BW10" t="e">
        <f>IF("N",sour_gas,"AAAAACvf/Uo=")</f>
        <v>#VALUE!</v>
      </c>
      <c r="BX10" t="e">
        <f>IF("N",SplitterEff,"AAAAACvf/Us=")</f>
        <v>#VALUE!</v>
      </c>
      <c r="BY10" t="e">
        <f>IF("N",Stream1_A,"AAAAACvf/Uw=")</f>
        <v>#VALUE!</v>
      </c>
      <c r="BZ10" t="e">
        <f>IF("N",Stream1_H,"AAAAACvf/U0=")</f>
        <v>#VALUE!</v>
      </c>
      <c r="CA10" t="e">
        <f>IF("N",Stream1_N,"AAAAACvf/U4=")</f>
        <v>#VALUE!</v>
      </c>
      <c r="CB10" t="e">
        <f>IF("N",Stream1_NH,"AAAAACvf/U8=")</f>
        <v>#VALUE!</v>
      </c>
      <c r="CC10" t="e">
        <f>IF("N",Stream2_A,"AAAAACvf/VA=")</f>
        <v>#VALUE!</v>
      </c>
      <c r="CD10" t="e">
        <f>IF("N",Stream2_H,"AAAAACvf/VE=")</f>
        <v>#VALUE!</v>
      </c>
      <c r="CE10" t="e">
        <f>IF("N",Stream2_N,"AAAAACvf/VI=")</f>
        <v>#VALUE!</v>
      </c>
      <c r="CF10" t="e">
        <f>IF("N",Stream2_NH,"AAAAACvf/VM=")</f>
        <v>#VALUE!</v>
      </c>
      <c r="CG10" t="e">
        <f>IF("N",Stream3_A,"AAAAACvf/VQ=")</f>
        <v>#VALUE!</v>
      </c>
      <c r="CH10" t="e">
        <f>IF("N",Stream3_H,"AAAAACvf/VU=")</f>
        <v>#VALUE!</v>
      </c>
      <c r="CI10" t="e">
        <f>IF("N",Stream3_N,"AAAAACvf/VY=")</f>
        <v>#VALUE!</v>
      </c>
      <c r="CJ10" t="e">
        <f>IF("N",Stream3_NH,"AAAAACvf/Vc=")</f>
        <v>#VALUE!</v>
      </c>
      <c r="CK10" t="e">
        <f>IF("N",Stream4_A,"AAAAACvf/Vg=")</f>
        <v>#VALUE!</v>
      </c>
      <c r="CL10" t="e">
        <f>IF("N",Stream4_H,"AAAAACvf/Vk=")</f>
        <v>#VALUE!</v>
      </c>
      <c r="CM10" t="e">
        <f>IF("N",Stream4_N,"AAAAACvf/Vo=")</f>
        <v>#VALUE!</v>
      </c>
      <c r="CN10" t="e">
        <f>IF("N",Stream4_NH,"AAAAACvf/Vs=")</f>
        <v>#VALUE!</v>
      </c>
      <c r="CO10" t="e">
        <f>IF("N",Stream5_A,"AAAAACvf/Vw=")</f>
        <v>#VALUE!</v>
      </c>
      <c r="CP10" t="e">
        <f>IF("N",Stream5_H,"AAAAACvf/V0=")</f>
        <v>#VALUE!</v>
      </c>
      <c r="CQ10" t="e">
        <f>IF("N",Stream5_N,"AAAAACvf/V4=")</f>
        <v>#VALUE!</v>
      </c>
      <c r="CR10" t="e">
        <f>IF("N",Stream5_NH,"AAAAACvf/V8=")</f>
        <v>#VALUE!</v>
      </c>
      <c r="CS10" t="e">
        <f>IF("N",Stream6_A,"AAAAACvf/WA=")</f>
        <v>#VALUE!</v>
      </c>
      <c r="CT10" t="e">
        <f>IF("N",Stream6_H,"AAAAACvf/WE=")</f>
        <v>#VALUE!</v>
      </c>
      <c r="CU10" t="e">
        <f>IF("N",Stream6_N,"AAAAACvf/WI=")</f>
        <v>#VALUE!</v>
      </c>
      <c r="CV10" t="e">
        <f>IF("N",Stream6_NH,"AAAAACvf/WM=")</f>
        <v>#VALUE!</v>
      </c>
      <c r="CW10" t="e">
        <f>IF("N",Stream7_A,"AAAAACvf/WQ=")</f>
        <v>#VALUE!</v>
      </c>
      <c r="CX10" t="e">
        <f>IF("N",Stream7_H,"AAAAACvf/WU=")</f>
        <v>#VALUE!</v>
      </c>
      <c r="CY10" t="e">
        <f>IF("N",Stream7_N,"AAAAACvf/WY=")</f>
        <v>#VALUE!</v>
      </c>
      <c r="CZ10" t="e">
        <f>IF("N",Stream7_NH,"AAAAACvf/Wc=")</f>
        <v>#VALUE!</v>
      </c>
      <c r="DA10" t="e">
        <f>IF("N",T_3_Feed,"AAAAACvf/Wg=")</f>
        <v>#VALUE!</v>
      </c>
      <c r="DB10" t="e">
        <f>IF("N",T_3_Product,"AAAAACvf/Wk=")</f>
        <v>#VALUE!</v>
      </c>
      <c r="DC10" t="e">
        <f>IF("N",T_5_Feed,"AAAAACvf/Wo=")</f>
        <v>#VALUE!</v>
      </c>
      <c r="DD10" t="e">
        <f>IF("N",T_5_Product,"AAAAACvf/Ws=")</f>
        <v>#VALUE!</v>
      </c>
      <c r="DE10" t="e">
        <f>IF("N",treat_gas,"AAAAACvf/Ww=")</f>
        <v>#VALUE!</v>
      </c>
    </row>
    <row r="11" spans="1:256">
      <c r="A11" t="e">
        <f>AND(ResolverReservedData!A1,"AAAAAH8/fgA=")</f>
        <v>#VALUE!</v>
      </c>
      <c r="B11" t="e">
        <f>AND(ResolverReservedData!B1,"AAAAAH8/fgE=")</f>
        <v>#VALUE!</v>
      </c>
      <c r="C11" t="e">
        <f>AND(ResolverReservedData!C1,"AAAAAH8/fgI=")</f>
        <v>#VALUE!</v>
      </c>
      <c r="D11" t="e">
        <f>AND(ResolverReservedData!D1,"AAAAAH8/fgM=")</f>
        <v>#VALUE!</v>
      </c>
      <c r="E11" t="e">
        <f>AND(ResolverReservedData!E1,"AAAAAH8/fgQ=")</f>
        <v>#VALUE!</v>
      </c>
      <c r="F11" t="e">
        <f>AND(ResolverReservedData!A2,"AAAAAH8/fgU=")</f>
        <v>#VALUE!</v>
      </c>
      <c r="G11" t="e">
        <f>AND(ResolverReservedData!B2,"AAAAAH8/fgY=")</f>
        <v>#VALUE!</v>
      </c>
      <c r="H11" t="e">
        <f>AND(ResolverReservedData!C2,"AAAAAH8/fgc=")</f>
        <v>#VALUE!</v>
      </c>
      <c r="I11" t="e">
        <f>AND(ResolverReservedData!D2,"AAAAAH8/fgg=")</f>
        <v>#VALUE!</v>
      </c>
      <c r="J11" t="e">
        <f>AND(ResolverReservedData!E2,"AAAAAH8/fgk=")</f>
        <v>#VALUE!</v>
      </c>
      <c r="K11" t="e">
        <f>AND(ResolverReservedData!A3,"AAAAAH8/fgo=")</f>
        <v>#VALUE!</v>
      </c>
      <c r="L11" t="e">
        <f>AND(ResolverReservedData!B3,"AAAAAH8/fgs=")</f>
        <v>#VALUE!</v>
      </c>
      <c r="M11" t="e">
        <f>AND(ResolverReservedData!C3,"AAAAAH8/fgw=")</f>
        <v>#VALUE!</v>
      </c>
      <c r="N11" t="e">
        <f>AND(ResolverReservedData!D3,"AAAAAH8/fg0=")</f>
        <v>#VALUE!</v>
      </c>
      <c r="O11" t="e">
        <f>AND(ResolverReservedData!E3,"AAAAAH8/fg4=")</f>
        <v>#VALUE!</v>
      </c>
      <c r="P11" t="e">
        <f>AND(ResolverReservedData!A4,"AAAAAH8/fg8=")</f>
        <v>#VALUE!</v>
      </c>
      <c r="Q11" t="e">
        <f>AND(ResolverReservedData!B4,"AAAAAH8/fhA=")</f>
        <v>#VALUE!</v>
      </c>
      <c r="R11" t="e">
        <f>AND(ResolverReservedData!C4,"AAAAAH8/fhE=")</f>
        <v>#VALUE!</v>
      </c>
      <c r="S11" t="e">
        <f>AND(ResolverReservedData!D4,"AAAAAH8/fhI=")</f>
        <v>#VALUE!</v>
      </c>
      <c r="T11" t="e">
        <f>AND(ResolverReservedData!E4,"AAAAAH8/fhM=")</f>
        <v>#VALUE!</v>
      </c>
      <c r="U11" t="e">
        <f>AND(ResolverReservedData!A5,"AAAAAH8/fhQ=")</f>
        <v>#VALUE!</v>
      </c>
      <c r="V11" t="e">
        <f>AND(ResolverReservedData!B5,"AAAAAH8/fhU=")</f>
        <v>#VALUE!</v>
      </c>
      <c r="W11" t="e">
        <f>AND(ResolverReservedData!C5,"AAAAAH8/fhY=")</f>
        <v>#VALUE!</v>
      </c>
      <c r="X11" t="e">
        <f>AND(ResolverReservedData!D5,"AAAAAH8/fhc=")</f>
        <v>#VALUE!</v>
      </c>
      <c r="Y11" t="e">
        <f>AND(ResolverReservedData!E5,"AAAAAH8/fhg=")</f>
        <v>#VALUE!</v>
      </c>
      <c r="Z11">
        <f>IF(ResolverReservedData!6:6,"AAAAAH8/fhk=",0)</f>
        <v>0</v>
      </c>
      <c r="AA11" t="e">
        <f>AND(ResolverReservedData!A6,"AAAAAH8/fho=")</f>
        <v>#VALUE!</v>
      </c>
      <c r="AB11" t="e">
        <f>AND(ResolverReservedData!B6,"AAAAAH8/fhs=")</f>
        <v>#VALUE!</v>
      </c>
      <c r="AC11" t="e">
        <f>AND(ResolverReservedData!C6,"AAAAAH8/fhw=")</f>
        <v>#VALUE!</v>
      </c>
      <c r="AD11" t="e">
        <f>AND(ResolverReservedData!D6,"AAAAAH8/fh0=")</f>
        <v>#VALUE!</v>
      </c>
      <c r="AE11" t="e">
        <f>AND(ResolverReservedData!E6,"AAAAAH8/fh4=")</f>
        <v>#VALUE!</v>
      </c>
      <c r="AF11">
        <f>IF(ResolverReservedData!7:7,"AAAAAH8/fh8=",0)</f>
        <v>0</v>
      </c>
      <c r="AG11" t="e">
        <f>AND(ResolverReservedData!A7,"AAAAAH8/fiA=")</f>
        <v>#VALUE!</v>
      </c>
      <c r="AH11" t="e">
        <f>AND(ResolverReservedData!B7,"AAAAAH8/fiE=")</f>
        <v>#VALUE!</v>
      </c>
      <c r="AI11" t="e">
        <f>AND(ResolverReservedData!C7,"AAAAAH8/fiI=")</f>
        <v>#VALUE!</v>
      </c>
      <c r="AJ11" t="e">
        <f>AND(ResolverReservedData!D7,"AAAAAH8/fiM=")</f>
        <v>#VALUE!</v>
      </c>
      <c r="AK11" t="e">
        <f>AND(ResolverReservedData!E7,"AAAAAH8/fiQ=")</f>
        <v>#VALUE!</v>
      </c>
      <c r="AL11">
        <f>IF(ResolverReservedData!8:8,"AAAAAH8/fiU=",0)</f>
        <v>0</v>
      </c>
      <c r="AM11" t="e">
        <f>AND(ResolverReservedData!A8,"AAAAAH8/fiY=")</f>
        <v>#VALUE!</v>
      </c>
      <c r="AN11" t="e">
        <f>AND(ResolverReservedData!B8,"AAAAAH8/fic=")</f>
        <v>#VALUE!</v>
      </c>
      <c r="AO11" t="e">
        <f>AND(ResolverReservedData!C8,"AAAAAH8/fig=")</f>
        <v>#VALUE!</v>
      </c>
      <c r="AP11" t="e">
        <f>AND(ResolverReservedData!D8,"AAAAAH8/fik=")</f>
        <v>#VALUE!</v>
      </c>
      <c r="AQ11" t="e">
        <f>AND(ResolverReservedData!E8,"AAAAAH8/fio=")</f>
        <v>#VALUE!</v>
      </c>
      <c r="AR11">
        <f>IF(ResolverReservedData!9:9,"AAAAAH8/fis=",0)</f>
        <v>0</v>
      </c>
      <c r="AS11" t="e">
        <f>AND(ResolverReservedData!A9,"AAAAAH8/fiw=")</f>
        <v>#VALUE!</v>
      </c>
      <c r="AT11" t="e">
        <f>AND(ResolverReservedData!B9,"AAAAAH8/fi0=")</f>
        <v>#VALUE!</v>
      </c>
      <c r="AU11" t="e">
        <f>AND(ResolverReservedData!C9,"AAAAAH8/fi4=")</f>
        <v>#VALUE!</v>
      </c>
      <c r="AV11" t="e">
        <f>AND(ResolverReservedData!D9,"AAAAAH8/fi8=")</f>
        <v>#VALUE!</v>
      </c>
      <c r="AW11" t="e">
        <f>AND(ResolverReservedData!E9,"AAAAAH8/fjA=")</f>
        <v>#VALUE!</v>
      </c>
      <c r="AX11">
        <f>IF(ResolverReservedData!10:10,"AAAAAH8/fjE=",0)</f>
        <v>0</v>
      </c>
      <c r="AY11" t="e">
        <f>AND(ResolverReservedData!A10,"AAAAAH8/fjI=")</f>
        <v>#VALUE!</v>
      </c>
      <c r="AZ11">
        <f>IF(ResolverReservedData!B:B,"AAAAAH8/fjM=",0)</f>
        <v>0</v>
      </c>
      <c r="BA11">
        <f>IF(ResolverReservedData!C:C,"AAAAAH8/fjQ=",0)</f>
        <v>0</v>
      </c>
      <c r="BB11">
        <f>IF(ResolverReservedData!D:D,"AAAAAH8/fjU=",0)</f>
        <v>0</v>
      </c>
      <c r="BC11">
        <f>IF(ResolverReservedData!E:E,"AAAAAH8/fjY=",0)</f>
        <v>0</v>
      </c>
      <c r="BD11">
        <f>IF('Ammonia Reconciliation Problem'!1:1,"AAAAAH8/fjc=",0)</f>
        <v>0</v>
      </c>
      <c r="BE11" t="e">
        <f>AND('Ammonia Reconciliation Problem'!A1,"AAAAAH8/fjg=")</f>
        <v>#VALUE!</v>
      </c>
      <c r="BF11" t="e">
        <f>AND('Ammonia Reconciliation Problem'!B1,"AAAAAH8/fjk=")</f>
        <v>#VALUE!</v>
      </c>
      <c r="BG11" t="e">
        <f>AND('Ammonia Reconciliation Problem'!C1,"AAAAAH8/fjo=")</f>
        <v>#VALUE!</v>
      </c>
      <c r="BH11" t="e">
        <f>AND('Ammonia Reconciliation Problem'!D1,"AAAAAH8/fjs=")</f>
        <v>#VALUE!</v>
      </c>
      <c r="BI11" t="e">
        <f>AND('Ammonia Reconciliation Problem'!E1,"AAAAAH8/fjw=")</f>
        <v>#VALUE!</v>
      </c>
      <c r="BJ11" t="e">
        <f>AND('Ammonia Reconciliation Problem'!F1,"AAAAAH8/fj0=")</f>
        <v>#VALUE!</v>
      </c>
      <c r="BK11" t="e">
        <f>AND('Ammonia Reconciliation Problem'!G1,"AAAAAH8/fj4=")</f>
        <v>#VALUE!</v>
      </c>
      <c r="BL11" t="e">
        <f>AND('Ammonia Reconciliation Problem'!H1,"AAAAAH8/fj8=")</f>
        <v>#VALUE!</v>
      </c>
      <c r="BM11" t="e">
        <f>AND('Ammonia Reconciliation Problem'!I1,"AAAAAH8/fkA=")</f>
        <v>#VALUE!</v>
      </c>
      <c r="BN11" t="e">
        <f>AND('Ammonia Reconciliation Problem'!J1,"AAAAAH8/fkE=")</f>
        <v>#VALUE!</v>
      </c>
      <c r="BO11" t="e">
        <f>AND('Ammonia Reconciliation Problem'!K1,"AAAAAH8/fkI=")</f>
        <v>#VALUE!</v>
      </c>
      <c r="BP11" t="e">
        <f>AND('Ammonia Reconciliation Problem'!L1,"AAAAAH8/fkM=")</f>
        <v>#VALUE!</v>
      </c>
      <c r="BQ11" t="e">
        <f>AND('Ammonia Reconciliation Problem'!M1,"AAAAAH8/fkQ=")</f>
        <v>#VALUE!</v>
      </c>
      <c r="BR11" t="e">
        <f>AND('Ammonia Reconciliation Problem'!N1,"AAAAAH8/fkU=")</f>
        <v>#VALUE!</v>
      </c>
      <c r="BS11" t="e">
        <f>AND('Ammonia Reconciliation Problem'!O1,"AAAAAH8/fkY=")</f>
        <v>#VALUE!</v>
      </c>
      <c r="BT11" t="e">
        <f>AND('Ammonia Reconciliation Problem'!P1,"AAAAAH8/fkc=")</f>
        <v>#VALUE!</v>
      </c>
      <c r="BU11" t="e">
        <f>AND('Ammonia Reconciliation Problem'!Q1,"AAAAAH8/fkg=")</f>
        <v>#VALUE!</v>
      </c>
      <c r="BV11" t="e">
        <f>AND('Ammonia Reconciliation Problem'!R1,"AAAAAH8/fkk=")</f>
        <v>#VALUE!</v>
      </c>
      <c r="BW11" t="e">
        <f>AND('Ammonia Reconciliation Problem'!P18,"AAAAAH8/fko=")</f>
        <v>#VALUE!</v>
      </c>
      <c r="BX11" t="e">
        <f>AND('Ammonia Reconciliation Problem'!Q18,"AAAAAH8/fks=")</f>
        <v>#VALUE!</v>
      </c>
      <c r="BY11" t="e">
        <f>AND('Ammonia Reconciliation Problem'!R18,"AAAAAH8/fkw=")</f>
        <v>#VALUE!</v>
      </c>
      <c r="BZ11" t="e">
        <f>AND('Ammonia Reconciliation Problem'!O19,"AAAAAH8/fk0=")</f>
        <v>#VALUE!</v>
      </c>
      <c r="CA11" t="e">
        <f>AND('Ammonia Reconciliation Problem'!P19,"AAAAAH8/fk4=")</f>
        <v>#VALUE!</v>
      </c>
      <c r="CB11" t="e">
        <f>AND('Ammonia Reconciliation Problem'!Q19,"AAAAAH8/fk8=")</f>
        <v>#VALUE!</v>
      </c>
      <c r="CC11" t="e">
        <f>AND('Ammonia Reconciliation Problem'!R19,"AAAAAH8/flA=")</f>
        <v>#VALUE!</v>
      </c>
      <c r="CD11">
        <f>IF('Ammonia Reconciliation Problem'!20:20,"AAAAAH8/flE=",0)</f>
        <v>0</v>
      </c>
      <c r="CE11" t="e">
        <f>AND('Ammonia Reconciliation Problem'!A20,"AAAAAH8/flI=")</f>
        <v>#VALUE!</v>
      </c>
      <c r="CF11" t="e">
        <f>AND('Ammonia Reconciliation Problem'!B20,"AAAAAH8/flM=")</f>
        <v>#VALUE!</v>
      </c>
      <c r="CG11" t="e">
        <f>AND('Ammonia Reconciliation Problem'!C20,"AAAAAH8/flQ=")</f>
        <v>#VALUE!</v>
      </c>
      <c r="CH11" t="e">
        <f>AND('Ammonia Reconciliation Problem'!D20,"AAAAAH8/flU=")</f>
        <v>#VALUE!</v>
      </c>
      <c r="CI11" t="e">
        <f>AND('Ammonia Reconciliation Problem'!E20,"AAAAAH8/flY=")</f>
        <v>#VALUE!</v>
      </c>
      <c r="CJ11" t="e">
        <f>AND('Ammonia Reconciliation Problem'!F20,"AAAAAH8/flc=")</f>
        <v>#VALUE!</v>
      </c>
      <c r="CK11" t="e">
        <f>AND('Ammonia Reconciliation Problem'!G20,"AAAAAH8/flg=")</f>
        <v>#VALUE!</v>
      </c>
      <c r="CL11" t="e">
        <f>AND('Ammonia Reconciliation Problem'!H20,"AAAAAH8/flk=")</f>
        <v>#VALUE!</v>
      </c>
      <c r="CM11" t="e">
        <f>AND('Ammonia Reconciliation Problem'!I20,"AAAAAH8/flo=")</f>
        <v>#VALUE!</v>
      </c>
      <c r="CN11" t="e">
        <f>AND('Ammonia Reconciliation Problem'!J20,"AAAAAH8/fls=")</f>
        <v>#VALUE!</v>
      </c>
      <c r="CO11" t="e">
        <f>AND('Ammonia Reconciliation Problem'!K20,"AAAAAH8/flw=")</f>
        <v>#VALUE!</v>
      </c>
      <c r="CP11" t="e">
        <f>AND('Ammonia Reconciliation Problem'!L20,"AAAAAH8/fl0=")</f>
        <v>#VALUE!</v>
      </c>
      <c r="CQ11" t="e">
        <f>AND('Ammonia Reconciliation Problem'!M20,"AAAAAH8/fl4=")</f>
        <v>#VALUE!</v>
      </c>
      <c r="CR11" t="e">
        <f>AND('Ammonia Reconciliation Problem'!N20,"AAAAAH8/fl8=")</f>
        <v>#VALUE!</v>
      </c>
      <c r="CS11" t="e">
        <f>AND('Ammonia Reconciliation Problem'!O20,"AAAAAH8/fmA=")</f>
        <v>#VALUE!</v>
      </c>
      <c r="CT11" t="e">
        <f>AND('Ammonia Reconciliation Problem'!P20,"AAAAAH8/fmE=")</f>
        <v>#VALUE!</v>
      </c>
      <c r="CU11" t="e">
        <f>AND('Ammonia Reconciliation Problem'!Q20,"AAAAAH8/fmI=")</f>
        <v>#VALUE!</v>
      </c>
      <c r="CV11" t="e">
        <f>AND('Ammonia Reconciliation Problem'!R20,"AAAAAH8/fmM=")</f>
        <v>#VALUE!</v>
      </c>
      <c r="CW11">
        <f>IF('Ammonia Reconciliation Problem'!21:21,"AAAAAH8/fmQ=",0)</f>
        <v>0</v>
      </c>
      <c r="CX11" t="e">
        <f>AND('Ammonia Reconciliation Problem'!A21,"AAAAAH8/fmU=")</f>
        <v>#VALUE!</v>
      </c>
      <c r="CY11" t="e">
        <f>AND('Ammonia Reconciliation Problem'!B21,"AAAAAH8/fmY=")</f>
        <v>#VALUE!</v>
      </c>
      <c r="CZ11" t="e">
        <f>AND('Ammonia Reconciliation Problem'!C21,"AAAAAH8/fmc=")</f>
        <v>#VALUE!</v>
      </c>
      <c r="DA11" t="e">
        <f>AND('Ammonia Reconciliation Problem'!D21,"AAAAAH8/fmg=")</f>
        <v>#VALUE!</v>
      </c>
      <c r="DB11" t="e">
        <f>AND('Ammonia Reconciliation Problem'!E21,"AAAAAH8/fmk=")</f>
        <v>#VALUE!</v>
      </c>
      <c r="DC11" t="e">
        <f>AND('Ammonia Reconciliation Problem'!F21,"AAAAAH8/fmo=")</f>
        <v>#VALUE!</v>
      </c>
      <c r="DD11" t="e">
        <f>AND('Ammonia Reconciliation Problem'!G21,"AAAAAH8/fms=")</f>
        <v>#VALUE!</v>
      </c>
      <c r="DE11" t="e">
        <f>AND('Ammonia Reconciliation Problem'!H21,"AAAAAH8/fmw=")</f>
        <v>#VALUE!</v>
      </c>
      <c r="DF11" t="e">
        <f>AND('Ammonia Reconciliation Problem'!I21,"AAAAAH8/fm0=")</f>
        <v>#VALUE!</v>
      </c>
      <c r="DG11" t="e">
        <f>AND('Ammonia Reconciliation Problem'!J21,"AAAAAH8/fm4=")</f>
        <v>#VALUE!</v>
      </c>
      <c r="DH11" t="e">
        <f>AND('Ammonia Reconciliation Problem'!K21,"AAAAAH8/fm8=")</f>
        <v>#VALUE!</v>
      </c>
      <c r="DI11" t="e">
        <f>AND('Ammonia Reconciliation Problem'!L21,"AAAAAH8/fnA=")</f>
        <v>#VALUE!</v>
      </c>
      <c r="DJ11" t="e">
        <f>AND('Ammonia Reconciliation Problem'!M21,"AAAAAH8/fnE=")</f>
        <v>#VALUE!</v>
      </c>
      <c r="DK11" t="e">
        <f>AND('Ammonia Reconciliation Problem'!N21,"AAAAAH8/fnI=")</f>
        <v>#VALUE!</v>
      </c>
      <c r="DL11" t="e">
        <f>AND('Ammonia Reconciliation Problem'!O21,"AAAAAH8/fnM=")</f>
        <v>#VALUE!</v>
      </c>
      <c r="DM11" t="e">
        <f>AND('Ammonia Reconciliation Problem'!P21,"AAAAAH8/fnQ=")</f>
        <v>#VALUE!</v>
      </c>
      <c r="DN11" t="e">
        <f>AND('Ammonia Reconciliation Problem'!Q21,"AAAAAH8/fnU=")</f>
        <v>#VALUE!</v>
      </c>
      <c r="DO11" t="e">
        <f>AND('Ammonia Reconciliation Problem'!R21,"AAAAAH8/fnY=")</f>
        <v>#VALUE!</v>
      </c>
      <c r="DP11">
        <f>IF('Ammonia Reconciliation Problem'!22:22,"AAAAAH8/fnc=",0)</f>
        <v>0</v>
      </c>
      <c r="DQ11" t="e">
        <f>AND('Ammonia Reconciliation Problem'!A22,"AAAAAH8/fng=")</f>
        <v>#VALUE!</v>
      </c>
      <c r="DR11" t="e">
        <f>AND('Ammonia Reconciliation Problem'!B22,"AAAAAH8/fnk=")</f>
        <v>#VALUE!</v>
      </c>
      <c r="DS11" t="e">
        <f>AND('Ammonia Reconciliation Problem'!C22,"AAAAAH8/fno=")</f>
        <v>#VALUE!</v>
      </c>
      <c r="DT11" t="e">
        <f>AND('Ammonia Reconciliation Problem'!D22,"AAAAAH8/fns=")</f>
        <v>#VALUE!</v>
      </c>
      <c r="DU11" t="e">
        <f>AND('Ammonia Reconciliation Problem'!E22,"AAAAAH8/fnw=")</f>
        <v>#VALUE!</v>
      </c>
      <c r="DV11" t="e">
        <f>AND('Ammonia Reconciliation Problem'!F22,"AAAAAH8/fn0=")</f>
        <v>#VALUE!</v>
      </c>
      <c r="DW11" t="e">
        <f>AND('Ammonia Reconciliation Problem'!G22,"AAAAAH8/fn4=")</f>
        <v>#VALUE!</v>
      </c>
      <c r="DX11" t="e">
        <f>AND('Ammonia Reconciliation Problem'!H22,"AAAAAH8/fn8=")</f>
        <v>#VALUE!</v>
      </c>
      <c r="DY11" t="e">
        <f>AND('Ammonia Reconciliation Problem'!I22,"AAAAAH8/foA=")</f>
        <v>#VALUE!</v>
      </c>
      <c r="DZ11" t="e">
        <f>AND('Ammonia Reconciliation Problem'!J22,"AAAAAH8/foE=")</f>
        <v>#VALUE!</v>
      </c>
      <c r="EA11" t="e">
        <f>AND('Ammonia Reconciliation Problem'!K22,"AAAAAH8/foI=")</f>
        <v>#VALUE!</v>
      </c>
      <c r="EB11" t="e">
        <f>AND('Ammonia Reconciliation Problem'!L22,"AAAAAH8/foM=")</f>
        <v>#VALUE!</v>
      </c>
      <c r="EC11" t="e">
        <f>AND('Ammonia Reconciliation Problem'!M22,"AAAAAH8/foQ=")</f>
        <v>#VALUE!</v>
      </c>
      <c r="ED11" t="e">
        <f>AND('Ammonia Reconciliation Problem'!N22,"AAAAAH8/foU=")</f>
        <v>#VALUE!</v>
      </c>
      <c r="EE11" t="e">
        <f>AND('Ammonia Reconciliation Problem'!O22,"AAAAAH8/foY=")</f>
        <v>#VALUE!</v>
      </c>
      <c r="EF11" t="e">
        <f>AND('Ammonia Reconciliation Problem'!P22,"AAAAAH8/foc=")</f>
        <v>#VALUE!</v>
      </c>
      <c r="EG11" t="e">
        <f>AND('Ammonia Reconciliation Problem'!Q22,"AAAAAH8/fog=")</f>
        <v>#VALUE!</v>
      </c>
      <c r="EH11" t="e">
        <f>AND('Ammonia Reconciliation Problem'!R22,"AAAAAH8/fok=")</f>
        <v>#VALUE!</v>
      </c>
      <c r="EI11">
        <f>IF('Ammonia Reconciliation Problem'!23:23,"AAAAAH8/foo=",0)</f>
        <v>0</v>
      </c>
      <c r="EJ11" t="e">
        <f>AND('Ammonia Reconciliation Problem'!A23,"AAAAAH8/fos=")</f>
        <v>#VALUE!</v>
      </c>
      <c r="EK11" t="e">
        <f>AND('Ammonia Reconciliation Problem'!B23,"AAAAAH8/fow=")</f>
        <v>#VALUE!</v>
      </c>
      <c r="EL11" t="e">
        <f>AND('Ammonia Reconciliation Problem'!C23,"AAAAAH8/fo0=")</f>
        <v>#VALUE!</v>
      </c>
      <c r="EM11" t="e">
        <f>AND('Ammonia Reconciliation Problem'!D23,"AAAAAH8/fo4=")</f>
        <v>#VALUE!</v>
      </c>
      <c r="EN11" t="e">
        <f>AND('Ammonia Reconciliation Problem'!E23,"AAAAAH8/fo8=")</f>
        <v>#VALUE!</v>
      </c>
      <c r="EO11" t="e">
        <f>AND('Ammonia Reconciliation Problem'!F23,"AAAAAH8/fpA=")</f>
        <v>#VALUE!</v>
      </c>
      <c r="EP11" t="e">
        <f>AND('Ammonia Reconciliation Problem'!G23,"AAAAAH8/fpE=")</f>
        <v>#VALUE!</v>
      </c>
      <c r="EQ11" t="e">
        <f>AND('Ammonia Reconciliation Problem'!H23,"AAAAAH8/fpI=")</f>
        <v>#VALUE!</v>
      </c>
      <c r="ER11" t="e">
        <f>AND('Ammonia Reconciliation Problem'!I23,"AAAAAH8/fpM=")</f>
        <v>#VALUE!</v>
      </c>
      <c r="ES11" t="e">
        <f>AND('Ammonia Reconciliation Problem'!J23,"AAAAAH8/fpQ=")</f>
        <v>#VALUE!</v>
      </c>
      <c r="ET11" t="e">
        <f>AND('Ammonia Reconciliation Problem'!K23,"AAAAAH8/fpU=")</f>
        <v>#VALUE!</v>
      </c>
      <c r="EU11" t="e">
        <f>AND('Ammonia Reconciliation Problem'!L23,"AAAAAH8/fpY=")</f>
        <v>#VALUE!</v>
      </c>
      <c r="EV11" t="e">
        <f>AND('Ammonia Reconciliation Problem'!M23,"AAAAAH8/fpc=")</f>
        <v>#VALUE!</v>
      </c>
      <c r="EW11" t="e">
        <f>AND('Ammonia Reconciliation Problem'!N23,"AAAAAH8/fpg=")</f>
        <v>#VALUE!</v>
      </c>
      <c r="EX11" t="e">
        <f>AND('Ammonia Reconciliation Problem'!O23,"AAAAAH8/fpk=")</f>
        <v>#VALUE!</v>
      </c>
      <c r="EY11" t="e">
        <f>AND('Ammonia Reconciliation Problem'!P23,"AAAAAH8/fpo=")</f>
        <v>#VALUE!</v>
      </c>
      <c r="EZ11" t="e">
        <f>AND('Ammonia Reconciliation Problem'!Q23,"AAAAAH8/fps=")</f>
        <v>#VALUE!</v>
      </c>
      <c r="FA11" t="e">
        <f>AND('Ammonia Reconciliation Problem'!R23,"AAAAAH8/fpw=")</f>
        <v>#VALUE!</v>
      </c>
      <c r="FB11">
        <f>IF('Ammonia Reconciliation Problem'!24:24,"AAAAAH8/fp0=",0)</f>
        <v>0</v>
      </c>
      <c r="FC11" t="e">
        <f>AND('Ammonia Reconciliation Problem'!A24,"AAAAAH8/fp4=")</f>
        <v>#VALUE!</v>
      </c>
      <c r="FD11" t="e">
        <f>AND('Ammonia Reconciliation Problem'!B24,"AAAAAH8/fp8=")</f>
        <v>#VALUE!</v>
      </c>
      <c r="FE11" t="e">
        <f>AND('Ammonia Reconciliation Problem'!C24,"AAAAAH8/fqA=")</f>
        <v>#VALUE!</v>
      </c>
      <c r="FF11" t="e">
        <f>AND('Ammonia Reconciliation Problem'!D24,"AAAAAH8/fqE=")</f>
        <v>#VALUE!</v>
      </c>
      <c r="FG11" t="e">
        <f>AND('Ammonia Reconciliation Problem'!E24,"AAAAAH8/fqI=")</f>
        <v>#VALUE!</v>
      </c>
      <c r="FH11" t="e">
        <f>AND('Ammonia Reconciliation Problem'!F24,"AAAAAH8/fqM=")</f>
        <v>#VALUE!</v>
      </c>
      <c r="FI11" t="e">
        <f>AND('Ammonia Reconciliation Problem'!G24,"AAAAAH8/fqQ=")</f>
        <v>#VALUE!</v>
      </c>
      <c r="FJ11" t="e">
        <f>AND('Ammonia Reconciliation Problem'!H24,"AAAAAH8/fqU=")</f>
        <v>#VALUE!</v>
      </c>
      <c r="FK11" t="e">
        <f>AND('Ammonia Reconciliation Problem'!I24,"AAAAAH8/fqY=")</f>
        <v>#VALUE!</v>
      </c>
      <c r="FL11" t="e">
        <f>AND('Ammonia Reconciliation Problem'!J24,"AAAAAH8/fqc=")</f>
        <v>#VALUE!</v>
      </c>
      <c r="FM11" t="e">
        <f>AND('Ammonia Reconciliation Problem'!K24,"AAAAAH8/fqg=")</f>
        <v>#VALUE!</v>
      </c>
      <c r="FN11" t="e">
        <f>AND('Ammonia Reconciliation Problem'!L24,"AAAAAH8/fqk=")</f>
        <v>#VALUE!</v>
      </c>
      <c r="FO11" t="e">
        <f>AND('Ammonia Reconciliation Problem'!M24,"AAAAAH8/fqo=")</f>
        <v>#VALUE!</v>
      </c>
      <c r="FP11" t="e">
        <f>AND('Ammonia Reconciliation Problem'!N24,"AAAAAH8/fqs=")</f>
        <v>#VALUE!</v>
      </c>
      <c r="FQ11" t="e">
        <f>AND('Ammonia Reconciliation Problem'!O24,"AAAAAH8/fqw=")</f>
        <v>#VALUE!</v>
      </c>
      <c r="FR11" t="e">
        <f>AND('Ammonia Reconciliation Problem'!P24,"AAAAAH8/fq0=")</f>
        <v>#VALUE!</v>
      </c>
      <c r="FS11" t="e">
        <f>AND('Ammonia Reconciliation Problem'!Q24,"AAAAAH8/fq4=")</f>
        <v>#VALUE!</v>
      </c>
      <c r="FT11" t="e">
        <f>AND('Ammonia Reconciliation Problem'!R24,"AAAAAH8/fq8=")</f>
        <v>#VALUE!</v>
      </c>
      <c r="FU11">
        <f>IF('Ammonia Reconciliation Problem'!25:25,"AAAAAH8/frA=",0)</f>
        <v>0</v>
      </c>
      <c r="FV11" t="e">
        <f>AND('Ammonia Reconciliation Problem'!A25,"AAAAAH8/frE=")</f>
        <v>#VALUE!</v>
      </c>
      <c r="FW11" t="e">
        <f>AND('Ammonia Reconciliation Problem'!B25,"AAAAAH8/frI=")</f>
        <v>#VALUE!</v>
      </c>
      <c r="FX11" t="e">
        <f>AND('Ammonia Reconciliation Problem'!C25,"AAAAAH8/frM=")</f>
        <v>#VALUE!</v>
      </c>
      <c r="FY11" t="e">
        <f>AND('Ammonia Reconciliation Problem'!D25,"AAAAAH8/frQ=")</f>
        <v>#VALUE!</v>
      </c>
      <c r="FZ11" t="e">
        <f>AND('Ammonia Reconciliation Problem'!E25,"AAAAAH8/frU=")</f>
        <v>#VALUE!</v>
      </c>
      <c r="GA11" t="e">
        <f>AND('Ammonia Reconciliation Problem'!F25,"AAAAAH8/frY=")</f>
        <v>#VALUE!</v>
      </c>
      <c r="GB11" t="e">
        <f>AND('Ammonia Reconciliation Problem'!G25,"AAAAAH8/frc=")</f>
        <v>#VALUE!</v>
      </c>
      <c r="GC11" t="e">
        <f>AND('Ammonia Reconciliation Problem'!H25,"AAAAAH8/frg=")</f>
        <v>#VALUE!</v>
      </c>
      <c r="GD11" t="e">
        <f>AND('Ammonia Reconciliation Problem'!I25,"AAAAAH8/frk=")</f>
        <v>#VALUE!</v>
      </c>
      <c r="GE11" t="e">
        <f>AND('Ammonia Reconciliation Problem'!J25,"AAAAAH8/fro=")</f>
        <v>#VALUE!</v>
      </c>
      <c r="GF11" t="e">
        <f>AND('Ammonia Reconciliation Problem'!K25,"AAAAAH8/frs=")</f>
        <v>#VALUE!</v>
      </c>
      <c r="GG11" t="e">
        <f>AND('Ammonia Reconciliation Problem'!L25,"AAAAAH8/frw=")</f>
        <v>#VALUE!</v>
      </c>
      <c r="GH11" t="e">
        <f>AND('Ammonia Reconciliation Problem'!M25,"AAAAAH8/fr0=")</f>
        <v>#VALUE!</v>
      </c>
      <c r="GI11" t="e">
        <f>AND('Ammonia Reconciliation Problem'!N25,"AAAAAH8/fr4=")</f>
        <v>#VALUE!</v>
      </c>
      <c r="GJ11" t="e">
        <f>AND('Ammonia Reconciliation Problem'!O25,"AAAAAH8/fr8=")</f>
        <v>#VALUE!</v>
      </c>
      <c r="GK11" t="e">
        <f>AND('Ammonia Reconciliation Problem'!P25,"AAAAAH8/fsA=")</f>
        <v>#VALUE!</v>
      </c>
      <c r="GL11" t="e">
        <f>AND('Ammonia Reconciliation Problem'!Q25,"AAAAAH8/fsE=")</f>
        <v>#VALUE!</v>
      </c>
      <c r="GM11" t="e">
        <f>AND('Ammonia Reconciliation Problem'!R25,"AAAAAH8/fsI=")</f>
        <v>#VALUE!</v>
      </c>
      <c r="GN11">
        <f>IF('Ammonia Reconciliation Problem'!26:26,"AAAAAH8/fsM=",0)</f>
        <v>0</v>
      </c>
      <c r="GO11" t="e">
        <f>AND('Ammonia Reconciliation Problem'!A26,"AAAAAH8/fsQ=")</f>
        <v>#VALUE!</v>
      </c>
      <c r="GP11" t="e">
        <f>AND('Ammonia Reconciliation Problem'!B26,"AAAAAH8/fsU=")</f>
        <v>#VALUE!</v>
      </c>
      <c r="GQ11" t="e">
        <f>AND('Ammonia Reconciliation Problem'!C26,"AAAAAH8/fsY=")</f>
        <v>#VALUE!</v>
      </c>
      <c r="GR11" t="e">
        <f>AND('Ammonia Reconciliation Problem'!D26,"AAAAAH8/fsc=")</f>
        <v>#VALUE!</v>
      </c>
      <c r="GS11" t="e">
        <f>AND('Ammonia Reconciliation Problem'!E26,"AAAAAH8/fsg=")</f>
        <v>#VALUE!</v>
      </c>
      <c r="GT11" t="e">
        <f>AND('Ammonia Reconciliation Problem'!F26,"AAAAAH8/fsk=")</f>
        <v>#VALUE!</v>
      </c>
      <c r="GU11" t="e">
        <f>AND('Ammonia Reconciliation Problem'!G26,"AAAAAH8/fso=")</f>
        <v>#VALUE!</v>
      </c>
      <c r="GV11" t="e">
        <f>AND('Ammonia Reconciliation Problem'!H26,"AAAAAH8/fss=")</f>
        <v>#VALUE!</v>
      </c>
      <c r="GW11" t="e">
        <f>AND('Ammonia Reconciliation Problem'!I26,"AAAAAH8/fsw=")</f>
        <v>#VALUE!</v>
      </c>
      <c r="GX11" t="e">
        <f>AND('Ammonia Reconciliation Problem'!J26,"AAAAAH8/fs0=")</f>
        <v>#VALUE!</v>
      </c>
      <c r="GY11" t="e">
        <f>AND('Ammonia Reconciliation Problem'!K26,"AAAAAH8/fs4=")</f>
        <v>#VALUE!</v>
      </c>
      <c r="GZ11" t="e">
        <f>AND('Ammonia Reconciliation Problem'!L26,"AAAAAH8/fs8=")</f>
        <v>#VALUE!</v>
      </c>
      <c r="HA11" t="e">
        <f>AND('Ammonia Reconciliation Problem'!M26,"AAAAAH8/ftA=")</f>
        <v>#VALUE!</v>
      </c>
      <c r="HB11" t="e">
        <f>AND('Ammonia Reconciliation Problem'!N26,"AAAAAH8/ftE=")</f>
        <v>#VALUE!</v>
      </c>
      <c r="HC11" t="e">
        <f>AND('Ammonia Reconciliation Problem'!O26,"AAAAAH8/ftI=")</f>
        <v>#VALUE!</v>
      </c>
      <c r="HD11" t="e">
        <f>AND('Ammonia Reconciliation Problem'!P26,"AAAAAH8/ftM=")</f>
        <v>#VALUE!</v>
      </c>
      <c r="HE11" t="e">
        <f>AND('Ammonia Reconciliation Problem'!Q26,"AAAAAH8/ftQ=")</f>
        <v>#VALUE!</v>
      </c>
      <c r="HF11" t="e">
        <f>AND('Ammonia Reconciliation Problem'!R26,"AAAAAH8/ftU=")</f>
        <v>#VALUE!</v>
      </c>
      <c r="HG11">
        <f>IF('Ammonia Reconciliation Problem'!27:27,"AAAAAH8/ftY=",0)</f>
        <v>0</v>
      </c>
      <c r="HH11" t="e">
        <f>AND('Ammonia Reconciliation Problem'!A27,"AAAAAH8/ftc=")</f>
        <v>#VALUE!</v>
      </c>
      <c r="HI11" t="e">
        <f>AND('Ammonia Reconciliation Problem'!B27,"AAAAAH8/ftg=")</f>
        <v>#VALUE!</v>
      </c>
      <c r="HJ11" t="e">
        <f>AND('Ammonia Reconciliation Problem'!C27,"AAAAAH8/ftk=")</f>
        <v>#VALUE!</v>
      </c>
      <c r="HK11" t="e">
        <f>AND('Ammonia Reconciliation Problem'!D27,"AAAAAH8/fto=")</f>
        <v>#VALUE!</v>
      </c>
      <c r="HL11" t="e">
        <f>AND('Ammonia Reconciliation Problem'!E27,"AAAAAH8/fts=")</f>
        <v>#VALUE!</v>
      </c>
      <c r="HM11" t="e">
        <f>AND('Ammonia Reconciliation Problem'!F27,"AAAAAH8/ftw=")</f>
        <v>#VALUE!</v>
      </c>
      <c r="HN11" t="e">
        <f>AND('Ammonia Reconciliation Problem'!G27,"AAAAAH8/ft0=")</f>
        <v>#VALUE!</v>
      </c>
      <c r="HO11" t="e">
        <f>AND('Ammonia Reconciliation Problem'!H27,"AAAAAH8/ft4=")</f>
        <v>#VALUE!</v>
      </c>
      <c r="HP11" t="e">
        <f>AND('Ammonia Reconciliation Problem'!I27,"AAAAAH8/ft8=")</f>
        <v>#VALUE!</v>
      </c>
      <c r="HQ11" t="e">
        <f>AND('Ammonia Reconciliation Problem'!J27,"AAAAAH8/fuA=")</f>
        <v>#VALUE!</v>
      </c>
      <c r="HR11" t="e">
        <f>AND('Ammonia Reconciliation Problem'!K27,"AAAAAH8/fuE=")</f>
        <v>#VALUE!</v>
      </c>
      <c r="HS11" t="e">
        <f>AND('Ammonia Reconciliation Problem'!L27,"AAAAAH8/fuI=")</f>
        <v>#VALUE!</v>
      </c>
      <c r="HT11" t="e">
        <f>AND('Ammonia Reconciliation Problem'!M27,"AAAAAH8/fuM=")</f>
        <v>#VALUE!</v>
      </c>
      <c r="HU11" t="e">
        <f>AND('Ammonia Reconciliation Problem'!N27,"AAAAAH8/fuQ=")</f>
        <v>#VALUE!</v>
      </c>
      <c r="HV11" t="e">
        <f>AND('Ammonia Reconciliation Problem'!O27,"AAAAAH8/fuU=")</f>
        <v>#VALUE!</v>
      </c>
      <c r="HW11" t="e">
        <f>AND('Ammonia Reconciliation Problem'!P27,"AAAAAH8/fuY=")</f>
        <v>#VALUE!</v>
      </c>
      <c r="HX11" t="e">
        <f>AND('Ammonia Reconciliation Problem'!Q27,"AAAAAH8/fuc=")</f>
        <v>#VALUE!</v>
      </c>
      <c r="HY11" t="e">
        <f>AND('Ammonia Reconciliation Problem'!R27,"AAAAAH8/fug=")</f>
        <v>#VALUE!</v>
      </c>
      <c r="HZ11">
        <f>IF('Ammonia Reconciliation Problem'!28:28,"AAAAAH8/fuk=",0)</f>
        <v>0</v>
      </c>
      <c r="IA11" t="e">
        <f>AND('Ammonia Reconciliation Problem'!A28,"AAAAAH8/fuo=")</f>
        <v>#VALUE!</v>
      </c>
      <c r="IB11" t="e">
        <f>AND('Ammonia Reconciliation Problem'!B28,"AAAAAH8/fus=")</f>
        <v>#VALUE!</v>
      </c>
      <c r="IC11">
        <f>IF('Test1 Problem'!1:1,"AAAAAH8/fuw=",0)</f>
        <v>0</v>
      </c>
      <c r="ID11" t="e">
        <f>AND('Test1 Problem'!A1,"AAAAAH8/fu0=")</f>
        <v>#VALUE!</v>
      </c>
      <c r="IE11" t="e">
        <f>AND('Test1 Problem'!B1,"AAAAAH8/fu4=")</f>
        <v>#VALUE!</v>
      </c>
      <c r="IF11" t="e">
        <f>AND('Test1 Problem'!C1,"AAAAAH8/fu8=")</f>
        <v>#VALUE!</v>
      </c>
      <c r="IG11" t="e">
        <f>AND('Test1 Problem'!D1,"AAAAAH8/fvA=")</f>
        <v>#VALUE!</v>
      </c>
      <c r="IH11" t="e">
        <f>AND('Test1 Problem'!E1,"AAAAAH8/fvE=")</f>
        <v>#VALUE!</v>
      </c>
      <c r="II11" t="e">
        <f>AND('Test1 Problem'!F1,"AAAAAH8/fvI=")</f>
        <v>#VALUE!</v>
      </c>
      <c r="IJ11" t="e">
        <f>AND('Test1 Problem'!G1,"AAAAAH8/fvM=")</f>
        <v>#VALUE!</v>
      </c>
      <c r="IK11" t="e">
        <f>AND('Test1 Problem'!H1,"AAAAAH8/fvQ=")</f>
        <v>#VALUE!</v>
      </c>
      <c r="IL11" t="e">
        <f>AND('Test1 Problem'!I1,"AAAAAH8/fvU=")</f>
        <v>#VALUE!</v>
      </c>
      <c r="IM11" t="e">
        <f>AND('Test1 Problem'!J1,"AAAAAH8/fvY=")</f>
        <v>#VALUE!</v>
      </c>
      <c r="IN11" t="e">
        <f>AND('Test1 Problem'!K1,"AAAAAH8/fvc=")</f>
        <v>#VALUE!</v>
      </c>
      <c r="IO11" t="e">
        <f>AND('Test1 Problem'!L1,"AAAAAH8/fvg=")</f>
        <v>#VALUE!</v>
      </c>
      <c r="IP11" t="e">
        <f>AND('Test1 Problem'!M1,"AAAAAH8/fvk=")</f>
        <v>#VALUE!</v>
      </c>
      <c r="IQ11" t="e">
        <f>AND('Test1 Problem'!N1,"AAAAAH8/fvo=")</f>
        <v>#VALUE!</v>
      </c>
      <c r="IR11" t="e">
        <f>AND('Test1 Problem'!O1,"AAAAAH8/fvs=")</f>
        <v>#VALUE!</v>
      </c>
      <c r="IS11" t="e">
        <f>AND('Test1 Problem'!P1,"AAAAAH8/fvw=")</f>
        <v>#VALUE!</v>
      </c>
      <c r="IT11" t="e">
        <f>AND('Test1 Problem'!Q1,"AAAAAH8/fv0=")</f>
        <v>#VALUE!</v>
      </c>
      <c r="IU11" t="e">
        <f>AND('Test1 Problem'!R1,"AAAAAH8/fv4=")</f>
        <v>#VALUE!</v>
      </c>
      <c r="IV11" t="e">
        <f>AND('Test1 Problem'!S1,"AAAAAH8/fv8=")</f>
        <v>#VALUE!</v>
      </c>
    </row>
    <row r="12" spans="1:256">
      <c r="A12" t="e">
        <f>AND('Test1 Problem'!T1,"AAAAAE/8/AA=")</f>
        <v>#VALUE!</v>
      </c>
      <c r="B12" t="e">
        <f>IF('Test1 Problem'!2:2,"AAAAAE/8/AE=",0)</f>
        <v>#VALUE!</v>
      </c>
      <c r="C12" t="e">
        <f>AND('Test1 Problem'!B2,"AAAAAE/8/AI=")</f>
        <v>#VALUE!</v>
      </c>
      <c r="D12" t="e">
        <f>AND('Test1 Problem'!#REF!,"AAAAAE/8/AM=")</f>
        <v>#REF!</v>
      </c>
      <c r="E12" t="e">
        <f>AND('Test1 Problem'!C2,"AAAAAE/8/AQ=")</f>
        <v>#VALUE!</v>
      </c>
      <c r="F12" t="e">
        <f>AND('Test1 Problem'!D2,"AAAAAE/8/AU=")</f>
        <v>#VALUE!</v>
      </c>
      <c r="G12" t="e">
        <f>AND('Test1 Problem'!E2,"AAAAAE/8/AY=")</f>
        <v>#VALUE!</v>
      </c>
      <c r="H12" t="e">
        <f>AND('Test1 Problem'!F2,"AAAAAE/8/Ac=")</f>
        <v>#VALUE!</v>
      </c>
      <c r="I12" t="e">
        <f>AND('Test1 Problem'!H2,"AAAAAE/8/Ag=")</f>
        <v>#VALUE!</v>
      </c>
      <c r="J12" t="e">
        <f>AND('Test1 Problem'!#REF!,"AAAAAE/8/Ak=")</f>
        <v>#REF!</v>
      </c>
      <c r="K12" t="e">
        <f>AND('Test1 Problem'!I2,"AAAAAE/8/Ao=")</f>
        <v>#VALUE!</v>
      </c>
      <c r="L12" t="e">
        <f>AND('Test1 Problem'!J2,"AAAAAE/8/As=")</f>
        <v>#VALUE!</v>
      </c>
      <c r="M12" t="e">
        <f>AND('Test1 Problem'!K2,"AAAAAE/8/Aw=")</f>
        <v>#VALUE!</v>
      </c>
      <c r="N12" t="e">
        <f>AND('Test1 Problem'!L2,"AAAAAE/8/A0=")</f>
        <v>#VALUE!</v>
      </c>
      <c r="O12" t="e">
        <f>AND('Test1 Problem'!M2,"AAAAAE/8/A4=")</f>
        <v>#VALUE!</v>
      </c>
      <c r="P12" t="e">
        <f>AND('Test1 Problem'!N2,"AAAAAE/8/A8=")</f>
        <v>#VALUE!</v>
      </c>
      <c r="Q12" t="e">
        <f>AND('Test1 Problem'!O2,"AAAAAE/8/BA=")</f>
        <v>#VALUE!</v>
      </c>
      <c r="R12" t="e">
        <f>AND('Test1 Problem'!P2,"AAAAAE/8/BE=")</f>
        <v>#VALUE!</v>
      </c>
      <c r="S12" t="e">
        <f>AND('Test1 Problem'!Q2,"AAAAAE/8/BI=")</f>
        <v>#VALUE!</v>
      </c>
      <c r="T12" t="e">
        <f>AND('Test1 Problem'!R2,"AAAAAE/8/BM=")</f>
        <v>#VALUE!</v>
      </c>
      <c r="U12" t="e">
        <f>AND('Test1 Problem'!S2,"AAAAAE/8/BQ=")</f>
        <v>#VALUE!</v>
      </c>
      <c r="V12" t="e">
        <f>AND('Test1 Problem'!T2,"AAAAAE/8/BU=")</f>
        <v>#VALUE!</v>
      </c>
      <c r="W12" t="e">
        <f>AND('Test1 Problem'!B12,"AAAAAE/8/BY=")</f>
        <v>#VALUE!</v>
      </c>
      <c r="X12" t="e">
        <f>AND('Test1 Problem'!#REF!,"AAAAAE/8/Bc=")</f>
        <v>#REF!</v>
      </c>
      <c r="Y12" t="e">
        <f>AND('Test1 Problem'!C12,"AAAAAE/8/Bg=")</f>
        <v>#VALUE!</v>
      </c>
      <c r="Z12" t="e">
        <f>AND('Test1 Problem'!D12,"AAAAAE/8/Bk=")</f>
        <v>#VALUE!</v>
      </c>
      <c r="AA12" t="e">
        <f>AND('Test1 Problem'!#REF!,"AAAAAE/8/Bo=")</f>
        <v>#REF!</v>
      </c>
      <c r="AB12" t="e">
        <f>AND('Test1 Problem'!M18,"AAAAAE/8/Bs=")</f>
        <v>#VALUE!</v>
      </c>
      <c r="AC12" t="e">
        <f>AND('Test1 Problem'!M19,"AAAAAE/8/Bw=")</f>
        <v>#VALUE!</v>
      </c>
      <c r="AD12" t="e">
        <f>AND('Test1 Problem'!M20,"AAAAAE/8/B0=")</f>
        <v>#VALUE!</v>
      </c>
      <c r="AE12" t="e">
        <f>AND('Test1 Problem'!M21,"AAAAAE/8/B4=")</f>
        <v>#VALUE!</v>
      </c>
      <c r="AF12" t="e">
        <f>AND('Test1 Problem'!A22,"AAAAAE/8/B8=")</f>
        <v>#VALUE!</v>
      </c>
      <c r="AG12" t="e">
        <f>AND('Test1 Problem'!B22,"AAAAAE/8/CA=")</f>
        <v>#VALUE!</v>
      </c>
      <c r="AH12" t="e">
        <f>AND('Test1 Problem'!C22,"AAAAAE/8/CE=")</f>
        <v>#VALUE!</v>
      </c>
      <c r="AI12" t="e">
        <f>AND('Test1 Problem'!D22,"AAAAAE/8/CI=")</f>
        <v>#VALUE!</v>
      </c>
      <c r="AJ12" t="e">
        <f>AND('Test1 Problem'!E22,"AAAAAE/8/CM=")</f>
        <v>#VALUE!</v>
      </c>
      <c r="AK12" t="e">
        <f>AND('Test1 Problem'!F22,"AAAAAE/8/CQ=")</f>
        <v>#VALUE!</v>
      </c>
      <c r="AL12" t="e">
        <f>AND('Test1 Problem'!G22,"AAAAAE/8/CU=")</f>
        <v>#VALUE!</v>
      </c>
      <c r="AM12" t="e">
        <f>AND('Test1 Problem'!H22,"AAAAAE/8/CY=")</f>
        <v>#VALUE!</v>
      </c>
      <c r="AN12" t="e">
        <f>AND('Test1 Problem'!I22,"AAAAAE/8/Cc=")</f>
        <v>#VALUE!</v>
      </c>
      <c r="AO12" t="e">
        <f>AND('Test1 Problem'!M22,"AAAAAE/8/Cg=")</f>
        <v>#VALUE!</v>
      </c>
      <c r="AP12" t="e">
        <f>AND('Test1 Problem'!L22,"AAAAAE/8/Ck=")</f>
        <v>#VALUE!</v>
      </c>
      <c r="AQ12" t="e">
        <f>AND('Test1 Problem'!#REF!,"AAAAAE/8/Co=")</f>
        <v>#REF!</v>
      </c>
      <c r="AR12" t="e">
        <f>AND('Test1 Problem'!#REF!,"AAAAAE/8/Cs=")</f>
        <v>#REF!</v>
      </c>
      <c r="AS12" t="e">
        <f>AND('Test1 Problem'!O22,"AAAAAE/8/Cw=")</f>
        <v>#VALUE!</v>
      </c>
      <c r="AT12" t="e">
        <f>AND('Test1 Problem'!P22,"AAAAAE/8/C0=")</f>
        <v>#VALUE!</v>
      </c>
      <c r="AU12" t="e">
        <f>AND('Test1 Problem'!Q22,"AAAAAE/8/C4=")</f>
        <v>#VALUE!</v>
      </c>
      <c r="AV12" t="e">
        <f>AND('Test1 Problem'!R22,"AAAAAE/8/C8=")</f>
        <v>#VALUE!</v>
      </c>
      <c r="AW12" t="e">
        <f>AND('Test1 Problem'!S22,"AAAAAE/8/DA=")</f>
        <v>#VALUE!</v>
      </c>
      <c r="AX12" t="e">
        <f>AND('Test1 Problem'!T22,"AAAAAE/8/DE=")</f>
        <v>#VALUE!</v>
      </c>
      <c r="AY12" t="e">
        <f>AND('Test1 Problem'!A23,"AAAAAE/8/DI=")</f>
        <v>#VALUE!</v>
      </c>
      <c r="AZ12" t="e">
        <f>AND('Test1 Problem'!B23,"AAAAAE/8/DM=")</f>
        <v>#VALUE!</v>
      </c>
      <c r="BA12" t="e">
        <f>AND('Test1 Problem'!C23,"AAAAAE/8/DQ=")</f>
        <v>#VALUE!</v>
      </c>
      <c r="BB12" t="e">
        <f>AND('Test1 Problem'!D23,"AAAAAE/8/DU=")</f>
        <v>#VALUE!</v>
      </c>
      <c r="BC12" t="e">
        <f>AND('Test1 Problem'!E23,"AAAAAE/8/DY=")</f>
        <v>#VALUE!</v>
      </c>
      <c r="BD12" t="e">
        <f>AND('Test1 Problem'!F23,"AAAAAE/8/Dc=")</f>
        <v>#VALUE!</v>
      </c>
      <c r="BE12" t="e">
        <f>AND('Test1 Problem'!G23,"AAAAAE/8/Dg=")</f>
        <v>#VALUE!</v>
      </c>
      <c r="BF12" t="e">
        <f>AND('Test1 Problem'!H23,"AAAAAE/8/Dk=")</f>
        <v>#VALUE!</v>
      </c>
      <c r="BG12" t="e">
        <f>AND('Test1 Problem'!I23,"AAAAAE/8/Do=")</f>
        <v>#VALUE!</v>
      </c>
      <c r="BH12" t="e">
        <f>AND('Test1 Problem'!J23,"AAAAAE/8/Ds=")</f>
        <v>#VALUE!</v>
      </c>
      <c r="BI12" t="e">
        <f>AND('Test1 Problem'!K23,"AAAAAE/8/Dw=")</f>
        <v>#VALUE!</v>
      </c>
      <c r="BJ12" t="e">
        <f>AND('Test1 Problem'!A24,"AAAAAE/8/D0=")</f>
        <v>#VALUE!</v>
      </c>
      <c r="BK12" t="e">
        <f>AND('Test1 Problem'!B24,"AAAAAE/8/D4=")</f>
        <v>#VALUE!</v>
      </c>
      <c r="BL12" t="e">
        <f>AND('Test1 Problem'!C24,"AAAAAE/8/D8=")</f>
        <v>#VALUE!</v>
      </c>
      <c r="BM12" t="e">
        <f>AND('Test1 Problem'!D24,"AAAAAE/8/EA=")</f>
        <v>#VALUE!</v>
      </c>
      <c r="BN12" t="e">
        <f>AND('Test1 Problem'!E24,"AAAAAE/8/EE=")</f>
        <v>#VALUE!</v>
      </c>
      <c r="BO12" t="e">
        <f>AND('Test1 Problem'!F24,"AAAAAE/8/EI=")</f>
        <v>#VALUE!</v>
      </c>
      <c r="BP12" t="e">
        <f>AND('Test1 Problem'!G24,"AAAAAE/8/EM=")</f>
        <v>#VALUE!</v>
      </c>
      <c r="BQ12" t="e">
        <f>AND('Test1 Problem'!H24,"AAAAAE/8/EQ=")</f>
        <v>#VALUE!</v>
      </c>
      <c r="BR12" t="e">
        <f>AND('Test1 Problem'!I24,"AAAAAE/8/EU=")</f>
        <v>#VALUE!</v>
      </c>
      <c r="BS12" t="e">
        <f>AND('Test1 Problem'!J24,"AAAAAE/8/EY=")</f>
        <v>#VALUE!</v>
      </c>
      <c r="BT12" t="e">
        <f>AND('Test1 Problem'!K24,"AAAAAE/8/Ec=")</f>
        <v>#VALUE!</v>
      </c>
      <c r="BU12" t="e">
        <f>AND('Test1 Problem'!A25,"AAAAAE/8/Eg=")</f>
        <v>#VALUE!</v>
      </c>
      <c r="BV12" t="e">
        <f>AND('Test1 Problem'!B25,"AAAAAE/8/Ek=")</f>
        <v>#VALUE!</v>
      </c>
      <c r="BW12" t="e">
        <f>AND('Test1 Problem'!C25,"AAAAAE/8/Eo=")</f>
        <v>#VALUE!</v>
      </c>
      <c r="BX12" t="e">
        <f>AND('Test1 Problem'!D25,"AAAAAE/8/Es=")</f>
        <v>#VALUE!</v>
      </c>
      <c r="BY12" t="e">
        <f>AND('Test1 Problem'!E25,"AAAAAE/8/Ew=")</f>
        <v>#VALUE!</v>
      </c>
      <c r="BZ12" t="e">
        <f>AND('Test1 Problem'!F25,"AAAAAE/8/E0=")</f>
        <v>#VALUE!</v>
      </c>
      <c r="CA12" t="e">
        <f>AND('Test1 Problem'!G25,"AAAAAE/8/E4=")</f>
        <v>#VALUE!</v>
      </c>
      <c r="CB12" t="e">
        <f>AND('Test1 Problem'!H25,"AAAAAE/8/E8=")</f>
        <v>#VALUE!</v>
      </c>
      <c r="CC12" t="e">
        <f>AND('Test1 Problem'!I25,"AAAAAE/8/FA=")</f>
        <v>#VALUE!</v>
      </c>
      <c r="CD12" t="e">
        <f>AND('Test1 Problem'!J25,"AAAAAE/8/FE=")</f>
        <v>#VALUE!</v>
      </c>
      <c r="CE12" t="e">
        <f>AND('Test1 Problem'!K25,"AAAAAE/8/FI=")</f>
        <v>#VALUE!</v>
      </c>
      <c r="CF12" t="e">
        <f>AND('Test1 Problem'!A26,"AAAAAE/8/FM=")</f>
        <v>#VALUE!</v>
      </c>
      <c r="CG12" t="e">
        <f>AND('Test1 Problem'!B26,"AAAAAE/8/FQ=")</f>
        <v>#VALUE!</v>
      </c>
      <c r="CH12" t="e">
        <f>AND('Test1 Problem'!C26,"AAAAAE/8/FU=")</f>
        <v>#VALUE!</v>
      </c>
      <c r="CI12" t="e">
        <f>AND('Test1 Problem'!D26,"AAAAAE/8/FY=")</f>
        <v>#VALUE!</v>
      </c>
      <c r="CJ12" t="e">
        <f>AND('Test1 Problem'!E26,"AAAAAE/8/Fc=")</f>
        <v>#VALUE!</v>
      </c>
      <c r="CK12" t="e">
        <f>AND('Test1 Problem'!F26,"AAAAAE/8/Fg=")</f>
        <v>#VALUE!</v>
      </c>
      <c r="CL12" t="e">
        <f>AND('Test1 Problem'!G26,"AAAAAE/8/Fk=")</f>
        <v>#VALUE!</v>
      </c>
      <c r="CM12" t="e">
        <f>AND('Test1 Problem'!H26,"AAAAAE/8/Fo=")</f>
        <v>#VALUE!</v>
      </c>
      <c r="CN12" t="e">
        <f>AND('Test1 Problem'!I26,"AAAAAE/8/Fs=")</f>
        <v>#VALUE!</v>
      </c>
      <c r="CO12" t="e">
        <f>AND('Test1 Problem'!J26,"AAAAAE/8/Fw=")</f>
        <v>#VALUE!</v>
      </c>
      <c r="CP12" t="e">
        <f>AND('Test1 Problem'!K26,"AAAAAE/8/F0=")</f>
        <v>#VALUE!</v>
      </c>
      <c r="CQ12" t="e">
        <f>AND('Test1 Problem'!A27,"AAAAAE/8/F4=")</f>
        <v>#VALUE!</v>
      </c>
      <c r="CR12" t="e">
        <f>AND('Test1 Problem'!B27,"AAAAAE/8/F8=")</f>
        <v>#VALUE!</v>
      </c>
      <c r="CS12" t="e">
        <f>AND('Test1 Problem'!C27,"AAAAAE/8/GA=")</f>
        <v>#VALUE!</v>
      </c>
      <c r="CT12" t="e">
        <f>AND('Test1 Problem'!D27,"AAAAAE/8/GE=")</f>
        <v>#VALUE!</v>
      </c>
      <c r="CU12" t="e">
        <f>AND('Test1 Problem'!E27,"AAAAAE/8/GI=")</f>
        <v>#VALUE!</v>
      </c>
      <c r="CV12" t="e">
        <f>AND('Test1 Problem'!F27,"AAAAAE/8/GM=")</f>
        <v>#VALUE!</v>
      </c>
      <c r="CW12" t="e">
        <f>AND('Test1 Problem'!G27,"AAAAAE/8/GQ=")</f>
        <v>#VALUE!</v>
      </c>
      <c r="CX12" t="e">
        <f>AND('Test1 Problem'!H27,"AAAAAE/8/GU=")</f>
        <v>#VALUE!</v>
      </c>
      <c r="CY12" t="e">
        <f>AND('Test1 Problem'!I27,"AAAAAE/8/GY=")</f>
        <v>#VALUE!</v>
      </c>
      <c r="CZ12" t="e">
        <f>AND('Test1 Problem'!J27,"AAAAAE/8/Gc=")</f>
        <v>#VALUE!</v>
      </c>
      <c r="DA12" t="e">
        <f>AND('Test1 Problem'!K27,"AAAAAE/8/Gg=")</f>
        <v>#VALUE!</v>
      </c>
      <c r="DB12" t="e">
        <f>AND('Test1 Problem'!A28,"AAAAAE/8/Gk=")</f>
        <v>#VALUE!</v>
      </c>
      <c r="DC12" t="e">
        <f>AND('Test1 Problem'!B28,"AAAAAE/8/Go=")</f>
        <v>#VALUE!</v>
      </c>
      <c r="DD12" t="e">
        <f>AND('Test1 Problem'!C28,"AAAAAE/8/Gs=")</f>
        <v>#VALUE!</v>
      </c>
      <c r="DE12" t="e">
        <f>AND('Test1 Problem'!D28,"AAAAAE/8/Gw=")</f>
        <v>#VALUE!</v>
      </c>
      <c r="DF12" t="e">
        <f>AND('Test1 Problem'!E28,"AAAAAE/8/G0=")</f>
        <v>#VALUE!</v>
      </c>
      <c r="DG12" t="e">
        <f>AND('Test1 Problem'!F28,"AAAAAE/8/G4=")</f>
        <v>#VALUE!</v>
      </c>
      <c r="DH12" t="e">
        <f>AND('Test1 Problem'!G28,"AAAAAE/8/G8=")</f>
        <v>#VALUE!</v>
      </c>
      <c r="DI12" t="e">
        <f>AND('Test1 Problem'!H28,"AAAAAE/8/HA=")</f>
        <v>#VALUE!</v>
      </c>
      <c r="DJ12" t="e">
        <f>AND('Test1 Problem'!I28,"AAAAAE/8/HE=")</f>
        <v>#VALUE!</v>
      </c>
      <c r="DK12" t="e">
        <f>AND('Test1 Problem'!J28,"AAAAAE/8/HI=")</f>
        <v>#VALUE!</v>
      </c>
      <c r="DL12" t="e">
        <f>AND('Test1 Problem'!K28,"AAAAAE/8/HM=")</f>
        <v>#VALUE!</v>
      </c>
      <c r="DM12">
        <f>IF('Test1 Problem'!29:29,"AAAAAE/8/HQ=",0)</f>
        <v>0</v>
      </c>
      <c r="DN12" t="e">
        <f>AND('Test1 Problem'!A29,"AAAAAE/8/HU=")</f>
        <v>#VALUE!</v>
      </c>
      <c r="DO12" t="e">
        <f>AND('Test1 Problem'!B29,"AAAAAE/8/HY=")</f>
        <v>#VALUE!</v>
      </c>
      <c r="DP12" t="e">
        <f>AND('Test1 Problem'!C29,"AAAAAE/8/Hc=")</f>
        <v>#VALUE!</v>
      </c>
      <c r="DQ12" t="e">
        <f>AND('Test1 Problem'!D29,"AAAAAE/8/Hg=")</f>
        <v>#VALUE!</v>
      </c>
      <c r="DR12" t="e">
        <f>AND('Test1 Problem'!E29,"AAAAAE/8/Hk=")</f>
        <v>#VALUE!</v>
      </c>
      <c r="DS12" t="e">
        <f>AND('Test1 Problem'!F29,"AAAAAE/8/Ho=")</f>
        <v>#VALUE!</v>
      </c>
      <c r="DT12" t="e">
        <f>AND('Test1 Problem'!G29,"AAAAAE/8/Hs=")</f>
        <v>#VALUE!</v>
      </c>
      <c r="DU12" t="e">
        <f>AND('Test1 Problem'!H29,"AAAAAE/8/Hw=")</f>
        <v>#VALUE!</v>
      </c>
      <c r="DV12" t="e">
        <f>AND('Test1 Problem'!I29,"AAAAAE/8/H0=")</f>
        <v>#VALUE!</v>
      </c>
      <c r="DW12" t="e">
        <f>AND('Test1 Problem'!J29,"AAAAAE/8/H4=")</f>
        <v>#VALUE!</v>
      </c>
      <c r="DX12" t="e">
        <f>AND('Test1 Problem'!K29,"AAAAAE/8/H8=")</f>
        <v>#VALUE!</v>
      </c>
      <c r="DY12">
        <f>IF('Test1 Problem'!30:30,"AAAAAE/8/IA=",0)</f>
        <v>0</v>
      </c>
      <c r="DZ12" t="e">
        <f>AND('Test1 Problem'!A30,"AAAAAE/8/IE=")</f>
        <v>#VALUE!</v>
      </c>
      <c r="EA12" t="e">
        <f>AND('Test1 Problem'!B30,"AAAAAE/8/II=")</f>
        <v>#VALUE!</v>
      </c>
      <c r="EB12" t="e">
        <f>AND('Test1 Problem'!C30,"AAAAAE/8/IM=")</f>
        <v>#VALUE!</v>
      </c>
      <c r="EC12" t="e">
        <f>AND('Test1 Problem'!D30,"AAAAAE/8/IQ=")</f>
        <v>#VALUE!</v>
      </c>
      <c r="ED12" t="e">
        <f>AND('Test1 Problem'!E30,"AAAAAE/8/IU=")</f>
        <v>#VALUE!</v>
      </c>
      <c r="EE12" t="e">
        <f>AND('Test1 Problem'!F30,"AAAAAE/8/IY=")</f>
        <v>#VALUE!</v>
      </c>
      <c r="EF12" t="e">
        <f>AND('Test1 Problem'!G30,"AAAAAE/8/Ic=")</f>
        <v>#VALUE!</v>
      </c>
      <c r="EG12" t="e">
        <f>AND('Test1 Problem'!H30,"AAAAAE/8/Ig=")</f>
        <v>#VALUE!</v>
      </c>
      <c r="EH12" t="e">
        <f>AND('Test1 Problem'!I30,"AAAAAE/8/Ik=")</f>
        <v>#VALUE!</v>
      </c>
      <c r="EI12" t="e">
        <f>AND('Test1 Problem'!J30,"AAAAAE/8/Io=")</f>
        <v>#VALUE!</v>
      </c>
      <c r="EJ12" t="e">
        <f>AND('Test1 Problem'!K30,"AAAAAE/8/Is=")</f>
        <v>#VALUE!</v>
      </c>
      <c r="EK12">
        <f>IF('Test1 Problem'!31:31,"AAAAAE/8/Iw=",0)</f>
        <v>0</v>
      </c>
      <c r="EL12" t="e">
        <f>AND('Test1 Problem'!A31,"AAAAAE/8/I0=")</f>
        <v>#VALUE!</v>
      </c>
      <c r="EM12" t="e">
        <f>AND('Test1 Problem'!B31,"AAAAAE/8/I4=")</f>
        <v>#VALUE!</v>
      </c>
      <c r="EN12" t="e">
        <f>AND('Test1 Problem'!C31,"AAAAAE/8/I8=")</f>
        <v>#VALUE!</v>
      </c>
      <c r="EO12" t="e">
        <f>AND('Test1 Problem'!D31,"AAAAAE/8/JA=")</f>
        <v>#VALUE!</v>
      </c>
      <c r="EP12" t="e">
        <f>AND('Test1 Problem'!E31,"AAAAAE/8/JE=")</f>
        <v>#VALUE!</v>
      </c>
      <c r="EQ12" t="e">
        <f>AND('Test1 Problem'!F31,"AAAAAE/8/JI=")</f>
        <v>#VALUE!</v>
      </c>
      <c r="ER12" t="e">
        <f>AND('Test1 Problem'!G31,"AAAAAE/8/JM=")</f>
        <v>#VALUE!</v>
      </c>
      <c r="ES12" t="e">
        <f>AND('Test1 Problem'!H31,"AAAAAE/8/JQ=")</f>
        <v>#VALUE!</v>
      </c>
      <c r="ET12" t="e">
        <f>AND('Test1 Problem'!I31,"AAAAAE/8/JU=")</f>
        <v>#VALUE!</v>
      </c>
      <c r="EU12" t="e">
        <f>AND('Test1 Problem'!J31,"AAAAAE/8/JY=")</f>
        <v>#VALUE!</v>
      </c>
      <c r="EV12" t="e">
        <f>AND('Test1 Problem'!K31,"AAAAAE/8/Jc=")</f>
        <v>#VALUE!</v>
      </c>
      <c r="EW12">
        <f>IF('Test1 Problem'!32:32,"AAAAAE/8/Jg=",0)</f>
        <v>0</v>
      </c>
      <c r="EX12" t="e">
        <f>AND('Test1 Problem'!A32,"AAAAAE/8/Jk=")</f>
        <v>#VALUE!</v>
      </c>
      <c r="EY12" t="e">
        <f>AND('Test1 Problem'!B32,"AAAAAE/8/Jo=")</f>
        <v>#VALUE!</v>
      </c>
      <c r="EZ12" t="e">
        <f>AND('Test1 Problem'!C32,"AAAAAE/8/Js=")</f>
        <v>#VALUE!</v>
      </c>
      <c r="FA12" t="e">
        <f>AND('Test1 Problem'!D32,"AAAAAE/8/Jw=")</f>
        <v>#VALUE!</v>
      </c>
      <c r="FB12" t="e">
        <f>AND('Test1 Problem'!E32,"AAAAAE/8/J0=")</f>
        <v>#VALUE!</v>
      </c>
      <c r="FC12" t="e">
        <f>AND('Test1 Problem'!F32,"AAAAAE/8/J4=")</f>
        <v>#VALUE!</v>
      </c>
      <c r="FD12" t="e">
        <f>AND('Test1 Problem'!G32,"AAAAAE/8/J8=")</f>
        <v>#VALUE!</v>
      </c>
      <c r="FE12" t="e">
        <f>AND('Test1 Problem'!H32,"AAAAAE/8/KA=")</f>
        <v>#VALUE!</v>
      </c>
      <c r="FF12" t="e">
        <f>AND('Test1 Problem'!I32,"AAAAAE/8/KE=")</f>
        <v>#VALUE!</v>
      </c>
      <c r="FG12" t="e">
        <f>AND('Test1 Problem'!J32,"AAAAAE/8/KI=")</f>
        <v>#VALUE!</v>
      </c>
      <c r="FH12" t="e">
        <f>AND('Test1 Problem'!K32,"AAAAAE/8/KM=")</f>
        <v>#VALUE!</v>
      </c>
      <c r="FI12">
        <f>IF('Test1 Problem'!33:33,"AAAAAE/8/KQ=",0)</f>
        <v>0</v>
      </c>
      <c r="FJ12" t="e">
        <f>AND('Test1 Problem'!A33,"AAAAAE/8/KU=")</f>
        <v>#VALUE!</v>
      </c>
      <c r="FK12" t="e">
        <f>AND('Test1 Problem'!B33,"AAAAAE/8/KY=")</f>
        <v>#VALUE!</v>
      </c>
      <c r="FL12" t="e">
        <f>AND('Test1 Problem'!C33,"AAAAAE/8/Kc=")</f>
        <v>#VALUE!</v>
      </c>
      <c r="FM12" t="e">
        <f>AND('Test1 Problem'!D33,"AAAAAE/8/Kg=")</f>
        <v>#VALUE!</v>
      </c>
      <c r="FN12" t="e">
        <f>AND('Test1 Problem'!E33,"AAAAAE/8/Kk=")</f>
        <v>#VALUE!</v>
      </c>
      <c r="FO12" t="e">
        <f>AND('Test1 Problem'!F33,"AAAAAE/8/Ko=")</f>
        <v>#VALUE!</v>
      </c>
      <c r="FP12" t="e">
        <f>AND('Test1 Problem'!G33,"AAAAAE/8/Ks=")</f>
        <v>#VALUE!</v>
      </c>
      <c r="FQ12" t="e">
        <f>AND('Test1 Problem'!H33,"AAAAAE/8/Kw=")</f>
        <v>#VALUE!</v>
      </c>
      <c r="FR12" t="e">
        <f>AND('Test1 Problem'!I33,"AAAAAE/8/K0=")</f>
        <v>#VALUE!</v>
      </c>
      <c r="FS12" t="e">
        <f>AND('Test1 Problem'!J33,"AAAAAE/8/K4=")</f>
        <v>#VALUE!</v>
      </c>
      <c r="FT12" t="e">
        <f>AND('Test1 Problem'!K33,"AAAAAE/8/K8=")</f>
        <v>#VALUE!</v>
      </c>
      <c r="FU12">
        <f>IF('Test1 Problem'!34:34,"AAAAAE/8/LA=",0)</f>
        <v>0</v>
      </c>
      <c r="FV12" t="e">
        <f>AND('Test1 Problem'!A34,"AAAAAE/8/LE=")</f>
        <v>#VALUE!</v>
      </c>
      <c r="FW12" t="e">
        <f>AND('Test1 Problem'!B34,"AAAAAE/8/LI=")</f>
        <v>#VALUE!</v>
      </c>
      <c r="FX12" t="e">
        <f>AND('Test1 Problem'!C34,"AAAAAE/8/LM=")</f>
        <v>#VALUE!</v>
      </c>
      <c r="FY12" t="e">
        <f>AND('Test1 Problem'!D34,"AAAAAE/8/LQ=")</f>
        <v>#VALUE!</v>
      </c>
      <c r="FZ12" t="e">
        <f>AND('Test1 Problem'!E34,"AAAAAE/8/LU=")</f>
        <v>#VALUE!</v>
      </c>
      <c r="GA12" t="e">
        <f>AND('Test1 Problem'!F34,"AAAAAE/8/LY=")</f>
        <v>#VALUE!</v>
      </c>
      <c r="GB12" t="e">
        <f>AND('Test1 Problem'!G34,"AAAAAE/8/Lc=")</f>
        <v>#VALUE!</v>
      </c>
      <c r="GC12" t="e">
        <f>AND('Test1 Problem'!H34,"AAAAAE/8/Lg=")</f>
        <v>#VALUE!</v>
      </c>
      <c r="GD12" t="e">
        <f>AND('Test1 Problem'!I34,"AAAAAE/8/Lk=")</f>
        <v>#VALUE!</v>
      </c>
      <c r="GE12" t="e">
        <f>AND('Test1 Problem'!J34,"AAAAAE/8/Lo=")</f>
        <v>#VALUE!</v>
      </c>
      <c r="GF12" t="e">
        <f>AND('Test1 Problem'!K34,"AAAAAE/8/Ls=")</f>
        <v>#VALUE!</v>
      </c>
      <c r="GG12">
        <f>IF('Test1 Problem'!35:35,"AAAAAE/8/Lw=",0)</f>
        <v>0</v>
      </c>
      <c r="GH12" t="e">
        <f>AND('Test1 Problem'!A35,"AAAAAE/8/L0=")</f>
        <v>#VALUE!</v>
      </c>
      <c r="GI12" t="e">
        <f>AND('Test1 Problem'!B35,"AAAAAE/8/L4=")</f>
        <v>#VALUE!</v>
      </c>
      <c r="GJ12" t="e">
        <f>AND('Test1 Problem'!C35,"AAAAAE/8/L8=")</f>
        <v>#VALUE!</v>
      </c>
      <c r="GK12" t="e">
        <f>AND('Test1 Problem'!D35,"AAAAAE/8/MA=")</f>
        <v>#VALUE!</v>
      </c>
      <c r="GL12" t="e">
        <f>AND('Test1 Problem'!E35,"AAAAAE/8/ME=")</f>
        <v>#VALUE!</v>
      </c>
      <c r="GM12" t="e">
        <f>AND('Test1 Problem'!F35,"AAAAAE/8/MI=")</f>
        <v>#VALUE!</v>
      </c>
      <c r="GN12" t="e">
        <f>AND('Test1 Problem'!G35,"AAAAAE/8/MM=")</f>
        <v>#VALUE!</v>
      </c>
      <c r="GO12" t="e">
        <f>AND('Test1 Problem'!H35,"AAAAAE/8/MQ=")</f>
        <v>#VALUE!</v>
      </c>
      <c r="GP12" t="e">
        <f>AND('Test1 Problem'!I35,"AAAAAE/8/MU=")</f>
        <v>#VALUE!</v>
      </c>
      <c r="GQ12" t="e">
        <f>AND('Test1 Problem'!J35,"AAAAAE/8/MY=")</f>
        <v>#VALUE!</v>
      </c>
      <c r="GR12" t="e">
        <f>AND('Test1 Problem'!K35,"AAAAAE/8/Mc=")</f>
        <v>#VALUE!</v>
      </c>
      <c r="GS12">
        <f>IF('Test1 Problem'!36:36,"AAAAAE/8/Mg=",0)</f>
        <v>0</v>
      </c>
      <c r="GT12" t="e">
        <f>AND('Test1 Problem'!A36,"AAAAAE/8/Mk=")</f>
        <v>#VALUE!</v>
      </c>
      <c r="GU12" t="e">
        <f>AND('Test1 Problem'!B36,"AAAAAE/8/Mo=")</f>
        <v>#VALUE!</v>
      </c>
      <c r="GV12" t="e">
        <f>AND('Test1 Problem'!C36,"AAAAAE/8/Ms=")</f>
        <v>#VALUE!</v>
      </c>
      <c r="GW12" t="e">
        <f>AND('Test1 Problem'!D36,"AAAAAE/8/Mw=")</f>
        <v>#VALUE!</v>
      </c>
      <c r="GX12" t="e">
        <f>AND('Test1 Problem'!E36,"AAAAAE/8/M0=")</f>
        <v>#VALUE!</v>
      </c>
      <c r="GY12" t="e">
        <f>AND('Test1 Problem'!F36,"AAAAAE/8/M4=")</f>
        <v>#VALUE!</v>
      </c>
      <c r="GZ12" t="e">
        <f>AND('Test1 Problem'!G36,"AAAAAE/8/M8=")</f>
        <v>#VALUE!</v>
      </c>
      <c r="HA12" t="e">
        <f>AND('Test1 Problem'!H36,"AAAAAE/8/NA=")</f>
        <v>#VALUE!</v>
      </c>
      <c r="HB12" t="e">
        <f>AND('Test1 Problem'!I36,"AAAAAE/8/NE=")</f>
        <v>#VALUE!</v>
      </c>
      <c r="HC12" t="e">
        <f>AND('Test1 Problem'!J36,"AAAAAE/8/NI=")</f>
        <v>#VALUE!</v>
      </c>
      <c r="HD12" t="e">
        <f>AND('Test1 Problem'!K36,"AAAAAE/8/NM=")</f>
        <v>#VALUE!</v>
      </c>
      <c r="HE12">
        <f>IF('Test1 Problem'!37:37,"AAAAAE/8/NQ=",0)</f>
        <v>0</v>
      </c>
      <c r="HF12" t="e">
        <f>AND('Test1 Problem'!A37,"AAAAAE/8/NU=")</f>
        <v>#VALUE!</v>
      </c>
      <c r="HG12" t="e">
        <f>AND('Test1 Problem'!B37,"AAAAAE/8/NY=")</f>
        <v>#VALUE!</v>
      </c>
      <c r="HH12" t="e">
        <f>AND('Test1 Problem'!C37,"AAAAAE/8/Nc=")</f>
        <v>#VALUE!</v>
      </c>
      <c r="HI12" t="e">
        <f>AND('Test1 Problem'!D37,"AAAAAE/8/Ng=")</f>
        <v>#VALUE!</v>
      </c>
      <c r="HJ12" t="e">
        <f>AND('Test1 Problem'!E37,"AAAAAE/8/Nk=")</f>
        <v>#VALUE!</v>
      </c>
      <c r="HK12" t="e">
        <f>AND('Test1 Problem'!F37,"AAAAAE/8/No=")</f>
        <v>#VALUE!</v>
      </c>
      <c r="HL12" t="e">
        <f>AND('Test1 Problem'!G37,"AAAAAE/8/Ns=")</f>
        <v>#VALUE!</v>
      </c>
      <c r="HM12" t="e">
        <f>AND('Test1 Problem'!H37,"AAAAAE/8/Nw=")</f>
        <v>#VALUE!</v>
      </c>
      <c r="HN12" t="e">
        <f>AND('Test1 Problem'!I37,"AAAAAE/8/N0=")</f>
        <v>#VALUE!</v>
      </c>
      <c r="HO12" t="e">
        <f>AND('Test1 Problem'!J37,"AAAAAE/8/N4=")</f>
        <v>#VALUE!</v>
      </c>
      <c r="HP12" t="e">
        <f>AND('Test1 Problem'!K37,"AAAAAE/8/N8=")</f>
        <v>#VALUE!</v>
      </c>
      <c r="HQ12">
        <f>IF('Test1 Problem'!38:38,"AAAAAE/8/OA=",0)</f>
        <v>0</v>
      </c>
      <c r="HR12" t="e">
        <f>AND('Test1 Problem'!A38,"AAAAAE/8/OE=")</f>
        <v>#VALUE!</v>
      </c>
      <c r="HS12" t="e">
        <f>AND('Test1 Problem'!B38,"AAAAAE/8/OI=")</f>
        <v>#VALUE!</v>
      </c>
      <c r="HT12" t="e">
        <f>AND('Test1 Problem'!C38,"AAAAAE/8/OM=")</f>
        <v>#VALUE!</v>
      </c>
      <c r="HU12" t="e">
        <f>AND('Test1 Problem'!D38,"AAAAAE/8/OQ=")</f>
        <v>#VALUE!</v>
      </c>
      <c r="HV12" t="e">
        <f>AND('Test1 Problem'!E38,"AAAAAE/8/OU=")</f>
        <v>#VALUE!</v>
      </c>
      <c r="HW12" t="e">
        <f>AND('Test1 Problem'!F38,"AAAAAE/8/OY=")</f>
        <v>#VALUE!</v>
      </c>
      <c r="HX12" t="e">
        <f>AND('Test1 Problem'!G38,"AAAAAE/8/Oc=")</f>
        <v>#VALUE!</v>
      </c>
      <c r="HY12" t="e">
        <f>AND('Test1 Problem'!H38,"AAAAAE/8/Og=")</f>
        <v>#VALUE!</v>
      </c>
      <c r="HZ12" t="e">
        <f>AND('Test1 Problem'!I38,"AAAAAE/8/Ok=")</f>
        <v>#VALUE!</v>
      </c>
      <c r="IA12" t="e">
        <f>AND('Test1 Problem'!J38,"AAAAAE/8/Oo=")</f>
        <v>#VALUE!</v>
      </c>
      <c r="IB12" t="e">
        <f>AND('Test1 Problem'!K38,"AAAAAE/8/Os=")</f>
        <v>#VALUE!</v>
      </c>
      <c r="IC12">
        <f>IF('Test1 Problem'!39:39,"AAAAAE/8/Ow=",0)</f>
        <v>0</v>
      </c>
      <c r="ID12" t="e">
        <f>AND('Test1 Problem'!A39,"AAAAAE/8/O0=")</f>
        <v>#VALUE!</v>
      </c>
      <c r="IE12" t="e">
        <f>AND('Test1 Problem'!B39,"AAAAAE/8/O4=")</f>
        <v>#VALUE!</v>
      </c>
      <c r="IF12" t="e">
        <f>AND('Test1 Problem'!C39,"AAAAAE/8/O8=")</f>
        <v>#VALUE!</v>
      </c>
      <c r="IG12" t="e">
        <f>AND('Test1 Problem'!D39,"AAAAAE/8/PA=")</f>
        <v>#VALUE!</v>
      </c>
      <c r="IH12" t="e">
        <f>AND('Test1 Problem'!E39,"AAAAAE/8/PE=")</f>
        <v>#VALUE!</v>
      </c>
      <c r="II12" t="e">
        <f>AND('Test1 Problem'!F39,"AAAAAE/8/PI=")</f>
        <v>#VALUE!</v>
      </c>
      <c r="IJ12" t="e">
        <f>AND('Test1 Problem'!G39,"AAAAAE/8/PM=")</f>
        <v>#VALUE!</v>
      </c>
      <c r="IK12" t="e">
        <f>AND('Test1 Problem'!H39,"AAAAAE/8/PQ=")</f>
        <v>#VALUE!</v>
      </c>
      <c r="IL12" t="e">
        <f>AND('Test1 Problem'!I39,"AAAAAE/8/PU=")</f>
        <v>#VALUE!</v>
      </c>
      <c r="IM12" t="e">
        <f>AND('Test1 Problem'!J39,"AAAAAE/8/PY=")</f>
        <v>#VALUE!</v>
      </c>
      <c r="IN12" t="e">
        <f>AND('Test1 Problem'!K39,"AAAAAE/8/Pc=")</f>
        <v>#VALUE!</v>
      </c>
      <c r="IO12" t="e">
        <f>IF(#REF!,"AAAAAE/8/Pg=",0)</f>
        <v>#REF!</v>
      </c>
      <c r="IP12" t="e">
        <f>AND(#REF!,"AAAAAE/8/Pk=")</f>
        <v>#REF!</v>
      </c>
      <c r="IQ12" t="e">
        <f>AND(#REF!,"AAAAAE/8/Po=")</f>
        <v>#REF!</v>
      </c>
      <c r="IR12" t="e">
        <f>AND(#REF!,"AAAAAE/8/Ps=")</f>
        <v>#REF!</v>
      </c>
      <c r="IS12" t="e">
        <f>AND(#REF!,"AAAAAE/8/Pw=")</f>
        <v>#REF!</v>
      </c>
      <c r="IT12" t="e">
        <f>AND(#REF!,"AAAAAE/8/P0=")</f>
        <v>#REF!</v>
      </c>
      <c r="IU12" t="e">
        <f>AND(#REF!,"AAAAAE/8/P4=")</f>
        <v>#REF!</v>
      </c>
      <c r="IV12" t="e">
        <f>AND(#REF!,"AAAAAE/8/P8=")</f>
        <v>#REF!</v>
      </c>
    </row>
    <row r="13" spans="1:256">
      <c r="A13" t="e">
        <f>AND(#REF!,"AAAAAH3v+wA=")</f>
        <v>#REF!</v>
      </c>
      <c r="B13" t="e">
        <f>AND(#REF!,"AAAAAH3v+wE=")</f>
        <v>#REF!</v>
      </c>
      <c r="C13" t="e">
        <f>IF(#REF!,"AAAAAH3v+wI=",0)</f>
        <v>#REF!</v>
      </c>
      <c r="D13" t="e">
        <f>AND(#REF!,"AAAAAH3v+wM=")</f>
        <v>#REF!</v>
      </c>
      <c r="E13" t="e">
        <f>AND(#REF!,"AAAAAH3v+wQ=")</f>
        <v>#REF!</v>
      </c>
      <c r="F13" t="e">
        <f>AND(#REF!,"AAAAAH3v+wU=")</f>
        <v>#REF!</v>
      </c>
      <c r="G13" t="e">
        <f>AND(#REF!,"AAAAAH3v+wY=")</f>
        <v>#REF!</v>
      </c>
      <c r="H13" t="e">
        <f>AND(#REF!,"AAAAAH3v+wc=")</f>
        <v>#REF!</v>
      </c>
      <c r="I13" t="e">
        <f>AND(#REF!,"AAAAAH3v+wg=")</f>
        <v>#REF!</v>
      </c>
      <c r="J13" t="e">
        <f>AND(#REF!,"AAAAAH3v+wk=")</f>
        <v>#REF!</v>
      </c>
      <c r="K13" t="e">
        <f>AND(#REF!,"AAAAAH3v+wo=")</f>
        <v>#REF!</v>
      </c>
      <c r="L13" t="e">
        <f>AND(#REF!,"AAAAAH3v+ws=")</f>
        <v>#REF!</v>
      </c>
      <c r="M13" t="e">
        <f>IF(#REF!,"AAAAAH3v+ww=",0)</f>
        <v>#REF!</v>
      </c>
      <c r="N13" t="e">
        <f>AND(#REF!,"AAAAAH3v+w0=")</f>
        <v>#REF!</v>
      </c>
      <c r="O13" t="e">
        <f>AND(#REF!,"AAAAAH3v+w4=")</f>
        <v>#REF!</v>
      </c>
      <c r="P13" t="e">
        <f>AND(#REF!,"AAAAAH3v+w8=")</f>
        <v>#REF!</v>
      </c>
      <c r="Q13" t="e">
        <f>AND(#REF!,"AAAAAH3v+xA=")</f>
        <v>#REF!</v>
      </c>
      <c r="R13" t="e">
        <f>AND(#REF!,"AAAAAH3v+xE=")</f>
        <v>#REF!</v>
      </c>
      <c r="S13" t="e">
        <f>AND(#REF!,"AAAAAH3v+xI=")</f>
        <v>#REF!</v>
      </c>
      <c r="T13" t="e">
        <f>AND(#REF!,"AAAAAH3v+xM=")</f>
        <v>#REF!</v>
      </c>
      <c r="U13" t="e">
        <f>AND(#REF!,"AAAAAH3v+xQ=")</f>
        <v>#REF!</v>
      </c>
      <c r="V13" t="e">
        <f>AND(#REF!,"AAAAAH3v+xU=")</f>
        <v>#REF!</v>
      </c>
      <c r="W13" t="e">
        <f>IF(#REF!,"AAAAAH3v+xY=",0)</f>
        <v>#REF!</v>
      </c>
      <c r="X13" t="e">
        <f>AND(#REF!,"AAAAAH3v+xc=")</f>
        <v>#REF!</v>
      </c>
      <c r="Y13" t="e">
        <f>AND(#REF!,"AAAAAH3v+xg=")</f>
        <v>#REF!</v>
      </c>
      <c r="Z13" t="e">
        <f>AND(#REF!,"AAAAAH3v+xk=")</f>
        <v>#REF!</v>
      </c>
      <c r="AA13" t="e">
        <f>AND(#REF!,"AAAAAH3v+xo=")</f>
        <v>#REF!</v>
      </c>
      <c r="AB13" t="e">
        <f>AND(#REF!,"AAAAAH3v+xs=")</f>
        <v>#REF!</v>
      </c>
      <c r="AC13" t="e">
        <f>AND(#REF!,"AAAAAH3v+xw=")</f>
        <v>#REF!</v>
      </c>
      <c r="AD13" t="e">
        <f>AND(#REF!,"AAAAAH3v+x0=")</f>
        <v>#REF!</v>
      </c>
      <c r="AE13" t="e">
        <f>AND(#REF!,"AAAAAH3v+x4=")</f>
        <v>#REF!</v>
      </c>
      <c r="AF13" t="e">
        <f>AND(#REF!,"AAAAAH3v+x8=")</f>
        <v>#REF!</v>
      </c>
      <c r="AG13" t="e">
        <f>IF(#REF!,"AAAAAH3v+yA=",0)</f>
        <v>#REF!</v>
      </c>
      <c r="AH13" t="e">
        <f>AND(#REF!,"AAAAAH3v+yE=")</f>
        <v>#REF!</v>
      </c>
      <c r="AI13" t="e">
        <f>AND(#REF!,"AAAAAH3v+yI=")</f>
        <v>#REF!</v>
      </c>
      <c r="AJ13" t="e">
        <f>AND(#REF!,"AAAAAH3v+yM=")</f>
        <v>#REF!</v>
      </c>
      <c r="AK13" t="e">
        <f>AND(#REF!,"AAAAAH3v+yQ=")</f>
        <v>#REF!</v>
      </c>
      <c r="AL13" t="e">
        <f>AND(#REF!,"AAAAAH3v+yU=")</f>
        <v>#REF!</v>
      </c>
      <c r="AM13" t="e">
        <f>AND(#REF!,"AAAAAH3v+yY=")</f>
        <v>#REF!</v>
      </c>
      <c r="AN13" t="e">
        <f>AND(#REF!,"AAAAAH3v+yc=")</f>
        <v>#REF!</v>
      </c>
      <c r="AO13" t="e">
        <f>AND(#REF!,"AAAAAH3v+yg=")</f>
        <v>#REF!</v>
      </c>
      <c r="AP13" t="e">
        <f>AND(#REF!,"AAAAAH3v+yk=")</f>
        <v>#REF!</v>
      </c>
      <c r="AQ13" t="e">
        <f>IF(#REF!,"AAAAAH3v+yo=",0)</f>
        <v>#REF!</v>
      </c>
      <c r="AR13" t="e">
        <f>AND(#REF!,"AAAAAH3v+ys=")</f>
        <v>#REF!</v>
      </c>
      <c r="AS13" t="e">
        <f>AND(#REF!,"AAAAAH3v+yw=")</f>
        <v>#REF!</v>
      </c>
      <c r="AT13" t="e">
        <f>AND(#REF!,"AAAAAH3v+y0=")</f>
        <v>#REF!</v>
      </c>
      <c r="AU13" t="e">
        <f>AND(#REF!,"AAAAAH3v+y4=")</f>
        <v>#REF!</v>
      </c>
      <c r="AV13" t="e">
        <f>AND(#REF!,"AAAAAH3v+y8=")</f>
        <v>#REF!</v>
      </c>
      <c r="AW13" t="e">
        <f>AND(#REF!,"AAAAAH3v+zA=")</f>
        <v>#REF!</v>
      </c>
      <c r="AX13" t="e">
        <f>AND(#REF!,"AAAAAH3v+zE=")</f>
        <v>#REF!</v>
      </c>
      <c r="AY13" t="e">
        <f>AND(#REF!,"AAAAAH3v+zI=")</f>
        <v>#REF!</v>
      </c>
      <c r="AZ13" t="e">
        <f>AND(#REF!,"AAAAAH3v+zM=")</f>
        <v>#REF!</v>
      </c>
      <c r="BA13" t="e">
        <f>IF(#REF!,"AAAAAH3v+zQ=",0)</f>
        <v>#REF!</v>
      </c>
      <c r="BB13" t="e">
        <f>AND(#REF!,"AAAAAH3v+zU=")</f>
        <v>#REF!</v>
      </c>
      <c r="BC13" t="e">
        <f>AND(#REF!,"AAAAAH3v+zY=")</f>
        <v>#REF!</v>
      </c>
      <c r="BD13" t="e">
        <f>AND(#REF!,"AAAAAH3v+zc=")</f>
        <v>#REF!</v>
      </c>
      <c r="BE13" t="e">
        <f>AND(#REF!,"AAAAAH3v+zg=")</f>
        <v>#REF!</v>
      </c>
      <c r="BF13" t="e">
        <f>AND(#REF!,"AAAAAH3v+zk=")</f>
        <v>#REF!</v>
      </c>
      <c r="BG13" t="e">
        <f>AND(#REF!,"AAAAAH3v+zo=")</f>
        <v>#REF!</v>
      </c>
      <c r="BH13" t="e">
        <f>AND(#REF!,"AAAAAH3v+zs=")</f>
        <v>#REF!</v>
      </c>
      <c r="BI13" t="e">
        <f>AND(#REF!,"AAAAAH3v+zw=")</f>
        <v>#REF!</v>
      </c>
      <c r="BJ13" t="e">
        <f>AND(#REF!,"AAAAAH3v+z0=")</f>
        <v>#REF!</v>
      </c>
      <c r="BK13" t="e">
        <f>IF(#REF!,"AAAAAH3v+z4=",0)</f>
        <v>#REF!</v>
      </c>
      <c r="BL13" t="e">
        <f>AND(#REF!,"AAAAAH3v+z8=")</f>
        <v>#REF!</v>
      </c>
      <c r="BM13" t="e">
        <f>AND(#REF!,"AAAAAH3v+0A=")</f>
        <v>#REF!</v>
      </c>
      <c r="BN13" t="e">
        <f>AND(#REF!,"AAAAAH3v+0E=")</f>
        <v>#REF!</v>
      </c>
      <c r="BO13" t="e">
        <f>AND(#REF!,"AAAAAH3v+0I=")</f>
        <v>#REF!</v>
      </c>
      <c r="BP13" t="e">
        <f>AND(#REF!,"AAAAAH3v+0M=")</f>
        <v>#REF!</v>
      </c>
      <c r="BQ13" t="e">
        <f>AND(#REF!,"AAAAAH3v+0Q=")</f>
        <v>#REF!</v>
      </c>
      <c r="BR13" t="e">
        <f>AND(#REF!,"AAAAAH3v+0U=")</f>
        <v>#REF!</v>
      </c>
      <c r="BS13" t="e">
        <f>AND(#REF!,"AAAAAH3v+0Y=")</f>
        <v>#REF!</v>
      </c>
      <c r="BT13" t="e">
        <f>AND(#REF!,"AAAAAH3v+0c=")</f>
        <v>#REF!</v>
      </c>
      <c r="BU13" t="e">
        <f>IF(#REF!,"AAAAAH3v+0g=",0)</f>
        <v>#REF!</v>
      </c>
      <c r="BV13" t="e">
        <f>AND(#REF!,"AAAAAH3v+0k=")</f>
        <v>#REF!</v>
      </c>
      <c r="BW13" t="e">
        <f>AND(#REF!,"AAAAAH3v+0o=")</f>
        <v>#REF!</v>
      </c>
      <c r="BX13" t="e">
        <f>AND(#REF!,"AAAAAH3v+0s=")</f>
        <v>#REF!</v>
      </c>
      <c r="BY13" t="e">
        <f>AND(#REF!,"AAAAAH3v+0w=")</f>
        <v>#REF!</v>
      </c>
      <c r="BZ13" t="e">
        <f>AND(#REF!,"AAAAAH3v+00=")</f>
        <v>#REF!</v>
      </c>
      <c r="CA13" t="e">
        <f>AND(#REF!,"AAAAAH3v+04=")</f>
        <v>#REF!</v>
      </c>
      <c r="CB13" t="e">
        <f>AND(#REF!,"AAAAAH3v+08=")</f>
        <v>#REF!</v>
      </c>
      <c r="CC13" t="e">
        <f>AND(#REF!,"AAAAAH3v+1A=")</f>
        <v>#REF!</v>
      </c>
      <c r="CD13" t="e">
        <f>AND(#REF!,"AAAAAH3v+1E=")</f>
        <v>#REF!</v>
      </c>
      <c r="CE13" t="e">
        <f>IF(#REF!,"AAAAAH3v+1I=",0)</f>
        <v>#REF!</v>
      </c>
      <c r="CF13" t="e">
        <f>AND(#REF!,"AAAAAH3v+1M=")</f>
        <v>#REF!</v>
      </c>
      <c r="CG13" t="e">
        <f>AND(#REF!,"AAAAAH3v+1Q=")</f>
        <v>#REF!</v>
      </c>
      <c r="CH13" t="e">
        <f>AND(#REF!,"AAAAAH3v+1U=")</f>
        <v>#REF!</v>
      </c>
      <c r="CI13" t="e">
        <f>AND(#REF!,"AAAAAH3v+1Y=")</f>
        <v>#REF!</v>
      </c>
      <c r="CJ13" t="e">
        <f>AND(#REF!,"AAAAAH3v+1c=")</f>
        <v>#REF!</v>
      </c>
      <c r="CK13" t="e">
        <f>AND(#REF!,"AAAAAH3v+1g=")</f>
        <v>#REF!</v>
      </c>
      <c r="CL13" t="e">
        <f>AND(#REF!,"AAAAAH3v+1k=")</f>
        <v>#REF!</v>
      </c>
      <c r="CM13" t="e">
        <f>AND(#REF!,"AAAAAH3v+1o=")</f>
        <v>#REF!</v>
      </c>
      <c r="CN13" t="e">
        <f>AND(#REF!,"AAAAAH3v+1s=")</f>
        <v>#REF!</v>
      </c>
      <c r="CO13" t="e">
        <f>IF(#REF!,"AAAAAH3v+1w=",0)</f>
        <v>#REF!</v>
      </c>
      <c r="CP13" t="e">
        <f>AND(#REF!,"AAAAAH3v+10=")</f>
        <v>#REF!</v>
      </c>
      <c r="CQ13" t="e">
        <f>AND(#REF!,"AAAAAH3v+14=")</f>
        <v>#REF!</v>
      </c>
      <c r="CR13" t="e">
        <f>AND(#REF!,"AAAAAH3v+18=")</f>
        <v>#REF!</v>
      </c>
      <c r="CS13" t="e">
        <f>AND(#REF!,"AAAAAH3v+2A=")</f>
        <v>#REF!</v>
      </c>
      <c r="CT13" t="e">
        <f>AND(#REF!,"AAAAAH3v+2E=")</f>
        <v>#REF!</v>
      </c>
      <c r="CU13" t="e">
        <f>AND(#REF!,"AAAAAH3v+2I=")</f>
        <v>#REF!</v>
      </c>
      <c r="CV13" t="e">
        <f>AND(#REF!,"AAAAAH3v+2M=")</f>
        <v>#REF!</v>
      </c>
      <c r="CW13" t="e">
        <f>AND(#REF!,"AAAAAH3v+2Q=")</f>
        <v>#REF!</v>
      </c>
      <c r="CX13" t="e">
        <f>AND(#REF!,"AAAAAH3v+2U=")</f>
        <v>#REF!</v>
      </c>
      <c r="CY13" t="e">
        <f>IF(#REF!,"AAAAAH3v+2Y=",0)</f>
        <v>#REF!</v>
      </c>
      <c r="CZ13" t="e">
        <f>AND(#REF!,"AAAAAH3v+2c=")</f>
        <v>#REF!</v>
      </c>
      <c r="DA13" t="e">
        <f>AND(#REF!,"AAAAAH3v+2g=")</f>
        <v>#REF!</v>
      </c>
      <c r="DB13" t="e">
        <f>AND(#REF!,"AAAAAH3v+2k=")</f>
        <v>#REF!</v>
      </c>
      <c r="DC13" t="e">
        <f>AND(#REF!,"AAAAAH3v+2o=")</f>
        <v>#REF!</v>
      </c>
      <c r="DD13" t="e">
        <f>AND(#REF!,"AAAAAH3v+2s=")</f>
        <v>#REF!</v>
      </c>
      <c r="DE13" t="e">
        <f>AND(#REF!,"AAAAAH3v+2w=")</f>
        <v>#REF!</v>
      </c>
      <c r="DF13" t="e">
        <f>AND(#REF!,"AAAAAH3v+20=")</f>
        <v>#REF!</v>
      </c>
      <c r="DG13" t="e">
        <f>AND(#REF!,"AAAAAH3v+24=")</f>
        <v>#REF!</v>
      </c>
      <c r="DH13" t="e">
        <f>AND(#REF!,"AAAAAH3v+28=")</f>
        <v>#REF!</v>
      </c>
      <c r="DI13" t="e">
        <f>IF(#REF!,"AAAAAH3v+3A=",0)</f>
        <v>#REF!</v>
      </c>
      <c r="DJ13" t="e">
        <f>AND(#REF!,"AAAAAH3v+3E=")</f>
        <v>#REF!</v>
      </c>
      <c r="DK13" t="e">
        <f>AND(#REF!,"AAAAAH3v+3I=")</f>
        <v>#REF!</v>
      </c>
      <c r="DL13" t="e">
        <f>AND(#REF!,"AAAAAH3v+3M=")</f>
        <v>#REF!</v>
      </c>
      <c r="DM13" t="e">
        <f>AND(#REF!,"AAAAAH3v+3Q=")</f>
        <v>#REF!</v>
      </c>
      <c r="DN13" t="e">
        <f>AND(#REF!,"AAAAAH3v+3U=")</f>
        <v>#REF!</v>
      </c>
      <c r="DO13" t="e">
        <f>AND(#REF!,"AAAAAH3v+3Y=")</f>
        <v>#REF!</v>
      </c>
      <c r="DP13" t="e">
        <f>AND(#REF!,"AAAAAH3v+3c=")</f>
        <v>#REF!</v>
      </c>
      <c r="DQ13" t="e">
        <f>AND(#REF!,"AAAAAH3v+3g=")</f>
        <v>#REF!</v>
      </c>
      <c r="DR13" t="e">
        <f>AND(#REF!,"AAAAAH3v+3k=")</f>
        <v>#REF!</v>
      </c>
      <c r="DS13" t="e">
        <f>IF(#REF!,"AAAAAH3v+3o=",0)</f>
        <v>#REF!</v>
      </c>
      <c r="DT13" t="e">
        <f>AND(#REF!,"AAAAAH3v+3s=")</f>
        <v>#REF!</v>
      </c>
      <c r="DU13" t="e">
        <f>AND(#REF!,"AAAAAH3v+3w=")</f>
        <v>#REF!</v>
      </c>
      <c r="DV13" t="e">
        <f>AND(#REF!,"AAAAAH3v+30=")</f>
        <v>#REF!</v>
      </c>
      <c r="DW13" t="e">
        <f>AND(#REF!,"AAAAAH3v+34=")</f>
        <v>#REF!</v>
      </c>
      <c r="DX13" t="e">
        <f>AND(#REF!,"AAAAAH3v+38=")</f>
        <v>#REF!</v>
      </c>
      <c r="DY13" t="e">
        <f>AND(#REF!,"AAAAAH3v+4A=")</f>
        <v>#REF!</v>
      </c>
      <c r="DZ13" t="e">
        <f>AND(#REF!,"AAAAAH3v+4E=")</f>
        <v>#REF!</v>
      </c>
      <c r="EA13" t="e">
        <f>AND(#REF!,"AAAAAH3v+4I=")</f>
        <v>#REF!</v>
      </c>
      <c r="EB13" t="e">
        <f>AND(#REF!,"AAAAAH3v+4M=")</f>
        <v>#REF!</v>
      </c>
      <c r="EC13" t="e">
        <f>IF(#REF!,"AAAAAH3v+4Q=",0)</f>
        <v>#REF!</v>
      </c>
      <c r="ED13" t="e">
        <f>AND(#REF!,"AAAAAH3v+4U=")</f>
        <v>#REF!</v>
      </c>
      <c r="EE13" t="e">
        <f>AND(#REF!,"AAAAAH3v+4Y=")</f>
        <v>#REF!</v>
      </c>
      <c r="EF13" t="e">
        <f>AND(#REF!,"AAAAAH3v+4c=")</f>
        <v>#REF!</v>
      </c>
      <c r="EG13" t="e">
        <f>AND(#REF!,"AAAAAH3v+4g=")</f>
        <v>#REF!</v>
      </c>
      <c r="EH13" t="e">
        <f>AND(#REF!,"AAAAAH3v+4k=")</f>
        <v>#REF!</v>
      </c>
      <c r="EI13" t="e">
        <f>AND(#REF!,"AAAAAH3v+4o=")</f>
        <v>#REF!</v>
      </c>
      <c r="EJ13" t="e">
        <f>AND(#REF!,"AAAAAH3v+4s=")</f>
        <v>#REF!</v>
      </c>
      <c r="EK13" t="e">
        <f>AND(#REF!,"AAAAAH3v+4w=")</f>
        <v>#REF!</v>
      </c>
      <c r="EL13" t="e">
        <f>AND(#REF!,"AAAAAH3v+40=")</f>
        <v>#REF!</v>
      </c>
      <c r="EM13" t="e">
        <f>IF(#REF!,"AAAAAH3v+44=",0)</f>
        <v>#REF!</v>
      </c>
      <c r="EN13" t="e">
        <f>AND(#REF!,"AAAAAH3v+48=")</f>
        <v>#REF!</v>
      </c>
      <c r="EO13" t="e">
        <f>AND(#REF!,"AAAAAH3v+5A=")</f>
        <v>#REF!</v>
      </c>
      <c r="EP13" t="e">
        <f>AND(#REF!,"AAAAAH3v+5E=")</f>
        <v>#REF!</v>
      </c>
      <c r="EQ13" t="e">
        <f>AND(#REF!,"AAAAAH3v+5I=")</f>
        <v>#REF!</v>
      </c>
      <c r="ER13" t="e">
        <f>AND(#REF!,"AAAAAH3v+5M=")</f>
        <v>#REF!</v>
      </c>
      <c r="ES13" t="e">
        <f>AND(#REF!,"AAAAAH3v+5Q=")</f>
        <v>#REF!</v>
      </c>
      <c r="ET13" t="e">
        <f>AND(#REF!,"AAAAAH3v+5U=")</f>
        <v>#REF!</v>
      </c>
      <c r="EU13" t="e">
        <f>AND(#REF!,"AAAAAH3v+5Y=")</f>
        <v>#REF!</v>
      </c>
      <c r="EV13" t="e">
        <f>AND(#REF!,"AAAAAH3v+5c=")</f>
        <v>#REF!</v>
      </c>
      <c r="EW13" t="e">
        <f>IF(#REF!,"AAAAAH3v+5g=",0)</f>
        <v>#REF!</v>
      </c>
      <c r="EX13" t="e">
        <f>AND(#REF!,"AAAAAH3v+5k=")</f>
        <v>#REF!</v>
      </c>
      <c r="EY13" t="e">
        <f>AND(#REF!,"AAAAAH3v+5o=")</f>
        <v>#REF!</v>
      </c>
      <c r="EZ13" t="e">
        <f>AND(#REF!,"AAAAAH3v+5s=")</f>
        <v>#REF!</v>
      </c>
      <c r="FA13" t="e">
        <f>AND(#REF!,"AAAAAH3v+5w=")</f>
        <v>#REF!</v>
      </c>
      <c r="FB13" t="e">
        <f>AND(#REF!,"AAAAAH3v+50=")</f>
        <v>#REF!</v>
      </c>
      <c r="FC13" t="e">
        <f>AND(#REF!,"AAAAAH3v+54=")</f>
        <v>#REF!</v>
      </c>
      <c r="FD13" t="e">
        <f>AND(#REF!,"AAAAAH3v+58=")</f>
        <v>#REF!</v>
      </c>
      <c r="FE13" t="e">
        <f>AND(#REF!,"AAAAAH3v+6A=")</f>
        <v>#REF!</v>
      </c>
      <c r="FF13" t="e">
        <f>AND(#REF!,"AAAAAH3v+6E=")</f>
        <v>#REF!</v>
      </c>
      <c r="FG13" t="e">
        <f>IF(#REF!,"AAAAAH3v+6I=",0)</f>
        <v>#REF!</v>
      </c>
      <c r="FH13" t="e">
        <f>AND(#REF!,"AAAAAH3v+6M=")</f>
        <v>#REF!</v>
      </c>
      <c r="FI13" t="e">
        <f>AND(#REF!,"AAAAAH3v+6Q=")</f>
        <v>#REF!</v>
      </c>
      <c r="FJ13" t="e">
        <f>AND(#REF!,"AAAAAH3v+6U=")</f>
        <v>#REF!</v>
      </c>
      <c r="FK13" t="e">
        <f>AND(#REF!,"AAAAAH3v+6Y=")</f>
        <v>#REF!</v>
      </c>
      <c r="FL13" t="e">
        <f>AND(#REF!,"AAAAAH3v+6c=")</f>
        <v>#REF!</v>
      </c>
      <c r="FM13" t="e">
        <f>AND(#REF!,"AAAAAH3v+6g=")</f>
        <v>#REF!</v>
      </c>
      <c r="FN13" t="e">
        <f>AND(#REF!,"AAAAAH3v+6k=")</f>
        <v>#REF!</v>
      </c>
      <c r="FO13" t="e">
        <f>AND(#REF!,"AAAAAH3v+6o=")</f>
        <v>#REF!</v>
      </c>
      <c r="FP13" t="e">
        <f>AND(#REF!,"AAAAAH3v+6s=")</f>
        <v>#REF!</v>
      </c>
      <c r="FQ13" t="e">
        <f>IF(#REF!,"AAAAAH3v+6w=",0)</f>
        <v>#REF!</v>
      </c>
      <c r="FR13" t="e">
        <f>AND(#REF!,"AAAAAH3v+60=")</f>
        <v>#REF!</v>
      </c>
      <c r="FS13" t="e">
        <f>AND(#REF!,"AAAAAH3v+64=")</f>
        <v>#REF!</v>
      </c>
      <c r="FT13" t="e">
        <f>AND(#REF!,"AAAAAH3v+68=")</f>
        <v>#REF!</v>
      </c>
      <c r="FU13" t="e">
        <f>AND(#REF!,"AAAAAH3v+7A=")</f>
        <v>#REF!</v>
      </c>
      <c r="FV13" t="e">
        <f>AND(#REF!,"AAAAAH3v+7E=")</f>
        <v>#REF!</v>
      </c>
      <c r="FW13" t="e">
        <f>AND(#REF!,"AAAAAH3v+7I=")</f>
        <v>#REF!</v>
      </c>
      <c r="FX13" t="e">
        <f>AND(#REF!,"AAAAAH3v+7M=")</f>
        <v>#REF!</v>
      </c>
      <c r="FY13" t="e">
        <f>AND(#REF!,"AAAAAH3v+7Q=")</f>
        <v>#REF!</v>
      </c>
      <c r="FZ13" t="e">
        <f>AND(#REF!,"AAAAAH3v+7U=")</f>
        <v>#REF!</v>
      </c>
      <c r="GA13" t="e">
        <f>IF(#REF!,"AAAAAH3v+7Y=",0)</f>
        <v>#REF!</v>
      </c>
      <c r="GB13" t="e">
        <f>AND(#REF!,"AAAAAH3v+7c=")</f>
        <v>#REF!</v>
      </c>
      <c r="GC13" t="e">
        <f>AND(#REF!,"AAAAAH3v+7g=")</f>
        <v>#REF!</v>
      </c>
      <c r="GD13" t="e">
        <f>AND(#REF!,"AAAAAH3v+7k=")</f>
        <v>#REF!</v>
      </c>
      <c r="GE13" t="e">
        <f>AND(#REF!,"AAAAAH3v+7o=")</f>
        <v>#REF!</v>
      </c>
      <c r="GF13" t="e">
        <f>AND(#REF!,"AAAAAH3v+7s=")</f>
        <v>#REF!</v>
      </c>
      <c r="GG13" t="e">
        <f>AND(#REF!,"AAAAAH3v+7w=")</f>
        <v>#REF!</v>
      </c>
      <c r="GH13" t="e">
        <f>AND(#REF!,"AAAAAH3v+70=")</f>
        <v>#REF!</v>
      </c>
      <c r="GI13" t="e">
        <f>AND(#REF!,"AAAAAH3v+74=")</f>
        <v>#REF!</v>
      </c>
      <c r="GJ13" t="e">
        <f>AND(#REF!,"AAAAAH3v+78=")</f>
        <v>#REF!</v>
      </c>
      <c r="GK13" t="e">
        <f>IF(#REF!,"AAAAAH3v+8A=",0)</f>
        <v>#REF!</v>
      </c>
      <c r="GL13" t="e">
        <f>AND(#REF!,"AAAAAH3v+8E=")</f>
        <v>#REF!</v>
      </c>
      <c r="GM13" t="e">
        <f>AND(#REF!,"AAAAAH3v+8I=")</f>
        <v>#REF!</v>
      </c>
      <c r="GN13" t="e">
        <f>AND(#REF!,"AAAAAH3v+8M=")</f>
        <v>#REF!</v>
      </c>
      <c r="GO13" t="e">
        <f>AND(#REF!,"AAAAAH3v+8Q=")</f>
        <v>#REF!</v>
      </c>
      <c r="GP13" t="e">
        <f>AND(#REF!,"AAAAAH3v+8U=")</f>
        <v>#REF!</v>
      </c>
      <c r="GQ13" t="e">
        <f>AND(#REF!,"AAAAAH3v+8Y=")</f>
        <v>#REF!</v>
      </c>
      <c r="GR13" t="e">
        <f>AND(#REF!,"AAAAAH3v+8c=")</f>
        <v>#REF!</v>
      </c>
      <c r="GS13" t="e">
        <f>AND(#REF!,"AAAAAH3v+8g=")</f>
        <v>#REF!</v>
      </c>
      <c r="GT13" t="e">
        <f>AND(#REF!,"AAAAAH3v+8k=")</f>
        <v>#REF!</v>
      </c>
      <c r="GU13" t="e">
        <f>IF(#REF!,"AAAAAH3v+8o=",0)</f>
        <v>#REF!</v>
      </c>
      <c r="GV13" t="e">
        <f>AND(#REF!,"AAAAAH3v+8s=")</f>
        <v>#REF!</v>
      </c>
      <c r="GW13" t="e">
        <f>AND(#REF!,"AAAAAH3v+8w=")</f>
        <v>#REF!</v>
      </c>
      <c r="GX13" t="e">
        <f>AND(#REF!,"AAAAAH3v+80=")</f>
        <v>#REF!</v>
      </c>
      <c r="GY13" t="e">
        <f>AND(#REF!,"AAAAAH3v+84=")</f>
        <v>#REF!</v>
      </c>
      <c r="GZ13" t="e">
        <f>AND(#REF!,"AAAAAH3v+88=")</f>
        <v>#REF!</v>
      </c>
      <c r="HA13" t="e">
        <f>AND(#REF!,"AAAAAH3v+9A=")</f>
        <v>#REF!</v>
      </c>
      <c r="HB13" t="e">
        <f>AND(#REF!,"AAAAAH3v+9E=")</f>
        <v>#REF!</v>
      </c>
      <c r="HC13" t="e">
        <f>AND(#REF!,"AAAAAH3v+9I=")</f>
        <v>#REF!</v>
      </c>
      <c r="HD13" t="e">
        <f>AND(#REF!,"AAAAAH3v+9M=")</f>
        <v>#REF!</v>
      </c>
      <c r="HE13" t="e">
        <f>IF(#REF!,"AAAAAH3v+9Q=",0)</f>
        <v>#REF!</v>
      </c>
      <c r="HF13" t="e">
        <f>AND(#REF!,"AAAAAH3v+9U=")</f>
        <v>#REF!</v>
      </c>
      <c r="HG13" t="e">
        <f>AND(#REF!,"AAAAAH3v+9Y=")</f>
        <v>#REF!</v>
      </c>
      <c r="HH13" t="e">
        <f>AND(#REF!,"AAAAAH3v+9c=")</f>
        <v>#REF!</v>
      </c>
      <c r="HI13" t="e">
        <f>AND(#REF!,"AAAAAH3v+9g=")</f>
        <v>#REF!</v>
      </c>
      <c r="HJ13" t="e">
        <f>AND(#REF!,"AAAAAH3v+9k=")</f>
        <v>#REF!</v>
      </c>
      <c r="HK13" t="e">
        <f>AND(#REF!,"AAAAAH3v+9o=")</f>
        <v>#REF!</v>
      </c>
      <c r="HL13" t="e">
        <f>AND(#REF!,"AAAAAH3v+9s=")</f>
        <v>#REF!</v>
      </c>
      <c r="HM13" t="e">
        <f>AND(#REF!,"AAAAAH3v+9w=")</f>
        <v>#REF!</v>
      </c>
      <c r="HN13" t="e">
        <f>AND(#REF!,"AAAAAH3v+90=")</f>
        <v>#REF!</v>
      </c>
      <c r="HO13" t="e">
        <f>IF(#REF!,"AAAAAH3v+94=",0)</f>
        <v>#REF!</v>
      </c>
      <c r="HP13" t="e">
        <f>AND(#REF!,"AAAAAH3v+98=")</f>
        <v>#REF!</v>
      </c>
      <c r="HQ13" t="e">
        <f>AND(#REF!,"AAAAAH3v++A=")</f>
        <v>#REF!</v>
      </c>
      <c r="HR13" t="e">
        <f>AND(#REF!,"AAAAAH3v++E=")</f>
        <v>#REF!</v>
      </c>
      <c r="HS13" t="e">
        <f>AND(#REF!,"AAAAAH3v++I=")</f>
        <v>#REF!</v>
      </c>
      <c r="HT13" t="e">
        <f>AND(#REF!,"AAAAAH3v++M=")</f>
        <v>#REF!</v>
      </c>
      <c r="HU13" t="e">
        <f>AND(#REF!,"AAAAAH3v++Q=")</f>
        <v>#REF!</v>
      </c>
      <c r="HV13" t="e">
        <f>AND(#REF!,"AAAAAH3v++U=")</f>
        <v>#REF!</v>
      </c>
      <c r="HW13" t="e">
        <f>AND(#REF!,"AAAAAH3v++Y=")</f>
        <v>#REF!</v>
      </c>
      <c r="HX13" t="e">
        <f>AND(#REF!,"AAAAAH3v++c=")</f>
        <v>#REF!</v>
      </c>
      <c r="HY13" t="e">
        <f>IF(#REF!,"AAAAAH3v++g=",0)</f>
        <v>#REF!</v>
      </c>
      <c r="HZ13" t="e">
        <f>AND(#REF!,"AAAAAH3v++k=")</f>
        <v>#REF!</v>
      </c>
      <c r="IA13" t="e">
        <f>AND(#REF!,"AAAAAH3v++o=")</f>
        <v>#REF!</v>
      </c>
      <c r="IB13" t="e">
        <f>AND(#REF!,"AAAAAH3v++s=")</f>
        <v>#REF!</v>
      </c>
      <c r="IC13" t="e">
        <f>AND(#REF!,"AAAAAH3v++w=")</f>
        <v>#REF!</v>
      </c>
      <c r="ID13" t="e">
        <f>AND(#REF!,"AAAAAH3v++0=")</f>
        <v>#REF!</v>
      </c>
      <c r="IE13" t="e">
        <f>AND(#REF!,"AAAAAH3v++4=")</f>
        <v>#REF!</v>
      </c>
      <c r="IF13" t="e">
        <f>AND(#REF!,"AAAAAH3v++8=")</f>
        <v>#REF!</v>
      </c>
      <c r="IG13" t="e">
        <f>AND(#REF!,"AAAAAH3v+/A=")</f>
        <v>#REF!</v>
      </c>
      <c r="IH13" t="e">
        <f>AND(#REF!,"AAAAAH3v+/E=")</f>
        <v>#REF!</v>
      </c>
      <c r="II13" t="e">
        <f>IF(#REF!,"AAAAAH3v+/I=",0)</f>
        <v>#REF!</v>
      </c>
      <c r="IJ13" t="e">
        <f>AND(#REF!,"AAAAAH3v+/M=")</f>
        <v>#REF!</v>
      </c>
      <c r="IK13" t="e">
        <f>AND(#REF!,"AAAAAH3v+/Q=")</f>
        <v>#REF!</v>
      </c>
      <c r="IL13" t="e">
        <f>AND(#REF!,"AAAAAH3v+/U=")</f>
        <v>#REF!</v>
      </c>
      <c r="IM13" t="e">
        <f>AND(#REF!,"AAAAAH3v+/Y=")</f>
        <v>#REF!</v>
      </c>
      <c r="IN13" t="e">
        <f>AND(#REF!,"AAAAAH3v+/c=")</f>
        <v>#REF!</v>
      </c>
      <c r="IO13" t="e">
        <f>AND(#REF!,"AAAAAH3v+/g=")</f>
        <v>#REF!</v>
      </c>
      <c r="IP13" t="e">
        <f>AND(#REF!,"AAAAAH3v+/k=")</f>
        <v>#REF!</v>
      </c>
      <c r="IQ13" t="e">
        <f>AND(#REF!,"AAAAAH3v+/o=")</f>
        <v>#REF!</v>
      </c>
      <c r="IR13" t="e">
        <f>AND(#REF!,"AAAAAH3v+/s=")</f>
        <v>#REF!</v>
      </c>
      <c r="IS13" t="e">
        <f>IF(#REF!,"AAAAAH3v+/w=",0)</f>
        <v>#REF!</v>
      </c>
      <c r="IT13" t="e">
        <f>AND(#REF!,"AAAAAH3v+/0=")</f>
        <v>#REF!</v>
      </c>
      <c r="IU13" t="e">
        <f>AND(#REF!,"AAAAAH3v+/4=")</f>
        <v>#REF!</v>
      </c>
      <c r="IV13" t="e">
        <f>AND(#REF!,"AAAAAH3v+/8=")</f>
        <v>#REF!</v>
      </c>
    </row>
    <row r="14" spans="1:256">
      <c r="A14" t="e">
        <f>AND(#REF!,"AAAAAH/57wA=")</f>
        <v>#REF!</v>
      </c>
      <c r="B14" t="e">
        <f>AND(#REF!,"AAAAAH/57wE=")</f>
        <v>#REF!</v>
      </c>
      <c r="C14" t="e">
        <f>AND(#REF!,"AAAAAH/57wI=")</f>
        <v>#REF!</v>
      </c>
      <c r="D14" t="e">
        <f>AND(#REF!,"AAAAAH/57wM=")</f>
        <v>#REF!</v>
      </c>
      <c r="E14" t="e">
        <f>AND(#REF!,"AAAAAH/57wQ=")</f>
        <v>#REF!</v>
      </c>
      <c r="F14" t="e">
        <f>AND(#REF!,"AAAAAH/57wU=")</f>
        <v>#REF!</v>
      </c>
      <c r="G14" t="e">
        <f>IF(#REF!,"AAAAAH/57wY=",0)</f>
        <v>#REF!</v>
      </c>
      <c r="H14" t="e">
        <f>AND(#REF!,"AAAAAH/57wc=")</f>
        <v>#REF!</v>
      </c>
      <c r="I14" t="e">
        <f>AND(#REF!,"AAAAAH/57wg=")</f>
        <v>#REF!</v>
      </c>
      <c r="J14" t="e">
        <f>AND(#REF!,"AAAAAH/57wk=")</f>
        <v>#REF!</v>
      </c>
      <c r="K14" t="e">
        <f>AND(#REF!,"AAAAAH/57wo=")</f>
        <v>#REF!</v>
      </c>
      <c r="L14" t="e">
        <f>AND(#REF!,"AAAAAH/57ws=")</f>
        <v>#REF!</v>
      </c>
      <c r="M14" t="e">
        <f>AND(#REF!,"AAAAAH/57ww=")</f>
        <v>#REF!</v>
      </c>
      <c r="N14" t="e">
        <f>AND(#REF!,"AAAAAH/57w0=")</f>
        <v>#REF!</v>
      </c>
      <c r="O14" t="e">
        <f>AND(#REF!,"AAAAAH/57w4=")</f>
        <v>#REF!</v>
      </c>
      <c r="P14" t="e">
        <f>AND(#REF!,"AAAAAH/57w8=")</f>
        <v>#REF!</v>
      </c>
      <c r="Q14" t="e">
        <f>IF(#REF!,"AAAAAH/57xA=",0)</f>
        <v>#REF!</v>
      </c>
      <c r="R14" t="e">
        <f>AND(#REF!,"AAAAAH/57xE=")</f>
        <v>#REF!</v>
      </c>
      <c r="S14" t="e">
        <f>AND(#REF!,"AAAAAH/57xI=")</f>
        <v>#REF!</v>
      </c>
      <c r="T14" t="e">
        <f>AND(#REF!,"AAAAAH/57xM=")</f>
        <v>#REF!</v>
      </c>
      <c r="U14" t="e">
        <f>AND(#REF!,"AAAAAH/57xQ=")</f>
        <v>#REF!</v>
      </c>
      <c r="V14" t="e">
        <f>AND(#REF!,"AAAAAH/57xU=")</f>
        <v>#REF!</v>
      </c>
      <c r="W14" t="e">
        <f>AND(#REF!,"AAAAAH/57xY=")</f>
        <v>#REF!</v>
      </c>
      <c r="X14" t="e">
        <f>AND(#REF!,"AAAAAH/57xc=")</f>
        <v>#REF!</v>
      </c>
      <c r="Y14" t="e">
        <f>AND(#REF!,"AAAAAH/57xg=")</f>
        <v>#REF!</v>
      </c>
      <c r="Z14" t="e">
        <f>AND(#REF!,"AAAAAH/57xk=")</f>
        <v>#REF!</v>
      </c>
      <c r="AA14" t="e">
        <f>IF(#REF!,"AAAAAH/57xo=",0)</f>
        <v>#REF!</v>
      </c>
      <c r="AB14" t="e">
        <f>AND(#REF!,"AAAAAH/57xs=")</f>
        <v>#REF!</v>
      </c>
      <c r="AC14" t="e">
        <f>AND(#REF!,"AAAAAH/57xw=")</f>
        <v>#REF!</v>
      </c>
      <c r="AD14" t="e">
        <f>AND(#REF!,"AAAAAH/57x0=")</f>
        <v>#REF!</v>
      </c>
      <c r="AE14" t="e">
        <f>AND(#REF!,"AAAAAH/57x4=")</f>
        <v>#REF!</v>
      </c>
      <c r="AF14" t="e">
        <f>AND(#REF!,"AAAAAH/57x8=")</f>
        <v>#REF!</v>
      </c>
      <c r="AG14" t="e">
        <f>AND(#REF!,"AAAAAH/57yA=")</f>
        <v>#REF!</v>
      </c>
      <c r="AH14" t="e">
        <f>AND(#REF!,"AAAAAH/57yE=")</f>
        <v>#REF!</v>
      </c>
      <c r="AI14" t="e">
        <f>AND(#REF!,"AAAAAH/57yI=")</f>
        <v>#REF!</v>
      </c>
      <c r="AJ14" t="e">
        <f>AND(#REF!,"AAAAAH/57yM=")</f>
        <v>#REF!</v>
      </c>
      <c r="AK14" t="e">
        <f>IF(#REF!,"AAAAAH/57yQ=",0)</f>
        <v>#REF!</v>
      </c>
      <c r="AL14" t="e">
        <f>AND(#REF!,"AAAAAH/57yU=")</f>
        <v>#REF!</v>
      </c>
      <c r="AM14" t="e">
        <f>AND(#REF!,"AAAAAH/57yY=")</f>
        <v>#REF!</v>
      </c>
      <c r="AN14" t="e">
        <f>AND(#REF!,"AAAAAH/57yc=")</f>
        <v>#REF!</v>
      </c>
      <c r="AO14" t="e">
        <f>AND(#REF!,"AAAAAH/57yg=")</f>
        <v>#REF!</v>
      </c>
      <c r="AP14" t="e">
        <f>AND(#REF!,"AAAAAH/57yk=")</f>
        <v>#REF!</v>
      </c>
      <c r="AQ14" t="e">
        <f>AND(#REF!,"AAAAAH/57yo=")</f>
        <v>#REF!</v>
      </c>
      <c r="AR14" t="e">
        <f>AND(#REF!,"AAAAAH/57ys=")</f>
        <v>#REF!</v>
      </c>
      <c r="AS14" t="e">
        <f>AND(#REF!,"AAAAAH/57yw=")</f>
        <v>#REF!</v>
      </c>
      <c r="AT14" t="e">
        <f>AND(#REF!,"AAAAAH/57y0=")</f>
        <v>#REF!</v>
      </c>
      <c r="AU14" t="e">
        <f>IF(#REF!,"AAAAAH/57y4=",0)</f>
        <v>#REF!</v>
      </c>
      <c r="AV14" t="e">
        <f>AND(#REF!,"AAAAAH/57y8=")</f>
        <v>#REF!</v>
      </c>
      <c r="AW14" t="e">
        <f>AND(#REF!,"AAAAAH/57zA=")</f>
        <v>#REF!</v>
      </c>
      <c r="AX14" t="e">
        <f>AND(#REF!,"AAAAAH/57zE=")</f>
        <v>#REF!</v>
      </c>
      <c r="AY14" t="e">
        <f>AND(#REF!,"AAAAAH/57zI=")</f>
        <v>#REF!</v>
      </c>
      <c r="AZ14" t="e">
        <f>AND(#REF!,"AAAAAH/57zM=")</f>
        <v>#REF!</v>
      </c>
      <c r="BA14" t="e">
        <f>AND(#REF!,"AAAAAH/57zQ=")</f>
        <v>#REF!</v>
      </c>
      <c r="BB14" t="e">
        <f>AND(#REF!,"AAAAAH/57zU=")</f>
        <v>#REF!</v>
      </c>
      <c r="BC14" t="e">
        <f>AND(#REF!,"AAAAAH/57zY=")</f>
        <v>#REF!</v>
      </c>
      <c r="BD14" t="e">
        <f>AND(#REF!,"AAAAAH/57zc=")</f>
        <v>#REF!</v>
      </c>
      <c r="BE14" t="e">
        <f>IF(#REF!,"AAAAAH/57zg=",0)</f>
        <v>#REF!</v>
      </c>
      <c r="BF14" t="e">
        <f>AND(#REF!,"AAAAAH/57zk=")</f>
        <v>#REF!</v>
      </c>
      <c r="BG14" t="e">
        <f>AND(#REF!,"AAAAAH/57zo=")</f>
        <v>#REF!</v>
      </c>
      <c r="BH14" t="e">
        <f>AND(#REF!,"AAAAAH/57zs=")</f>
        <v>#REF!</v>
      </c>
      <c r="BI14" t="e">
        <f>AND(#REF!,"AAAAAH/57zw=")</f>
        <v>#REF!</v>
      </c>
      <c r="BJ14" t="e">
        <f>AND(#REF!,"AAAAAH/57z0=")</f>
        <v>#REF!</v>
      </c>
      <c r="BK14" t="e">
        <f>AND(#REF!,"AAAAAH/57z4=")</f>
        <v>#REF!</v>
      </c>
      <c r="BL14" t="e">
        <f>AND(#REF!,"AAAAAH/57z8=")</f>
        <v>#REF!</v>
      </c>
      <c r="BM14" t="e">
        <f>AND(#REF!,"AAAAAH/570A=")</f>
        <v>#REF!</v>
      </c>
      <c r="BN14" t="e">
        <f>AND(#REF!,"AAAAAH/570E=")</f>
        <v>#REF!</v>
      </c>
      <c r="BO14" t="e">
        <f>IF(#REF!,"AAAAAH/570I=",0)</f>
        <v>#REF!</v>
      </c>
      <c r="BP14" t="e">
        <f>AND(#REF!,"AAAAAH/570M=")</f>
        <v>#REF!</v>
      </c>
      <c r="BQ14" t="e">
        <f>AND(#REF!,"AAAAAH/570Q=")</f>
        <v>#REF!</v>
      </c>
      <c r="BR14" t="e">
        <f>AND(#REF!,"AAAAAH/570U=")</f>
        <v>#REF!</v>
      </c>
      <c r="BS14" t="e">
        <f>AND(#REF!,"AAAAAH/570Y=")</f>
        <v>#REF!</v>
      </c>
      <c r="BT14" t="e">
        <f>AND(#REF!,"AAAAAH/570c=")</f>
        <v>#REF!</v>
      </c>
      <c r="BU14" t="e">
        <f>AND(#REF!,"AAAAAH/570g=")</f>
        <v>#REF!</v>
      </c>
      <c r="BV14" t="e">
        <f>AND(#REF!,"AAAAAH/570k=")</f>
        <v>#REF!</v>
      </c>
      <c r="BW14" t="e">
        <f>AND(#REF!,"AAAAAH/570o=")</f>
        <v>#REF!</v>
      </c>
      <c r="BX14" t="e">
        <f>AND(#REF!,"AAAAAH/570s=")</f>
        <v>#REF!</v>
      </c>
      <c r="BY14" t="e">
        <f>IF(#REF!,"AAAAAH/570w=",0)</f>
        <v>#REF!</v>
      </c>
      <c r="BZ14" t="e">
        <f>AND(#REF!,"AAAAAH/5700=")</f>
        <v>#REF!</v>
      </c>
      <c r="CA14" t="e">
        <f>AND(#REF!,"AAAAAH/5704=")</f>
        <v>#REF!</v>
      </c>
      <c r="CB14" t="e">
        <f>AND(#REF!,"AAAAAH/5708=")</f>
        <v>#REF!</v>
      </c>
      <c r="CC14" t="e">
        <f>AND(#REF!,"AAAAAH/571A=")</f>
        <v>#REF!</v>
      </c>
      <c r="CD14" t="e">
        <f>AND(#REF!,"AAAAAH/571E=")</f>
        <v>#REF!</v>
      </c>
      <c r="CE14" t="e">
        <f>AND(#REF!,"AAAAAH/571I=")</f>
        <v>#REF!</v>
      </c>
      <c r="CF14" t="e">
        <f>AND(#REF!,"AAAAAH/571M=")</f>
        <v>#REF!</v>
      </c>
      <c r="CG14" t="e">
        <f>AND(#REF!,"AAAAAH/571Q=")</f>
        <v>#REF!</v>
      </c>
      <c r="CH14" t="e">
        <f>AND(#REF!,"AAAAAH/571U=")</f>
        <v>#REF!</v>
      </c>
      <c r="CI14" t="e">
        <f>IF(#REF!,"AAAAAH/571Y=",0)</f>
        <v>#REF!</v>
      </c>
      <c r="CJ14" t="e">
        <f>AND(#REF!,"AAAAAH/571c=")</f>
        <v>#REF!</v>
      </c>
      <c r="CK14" t="e">
        <f>AND(#REF!,"AAAAAH/571g=")</f>
        <v>#REF!</v>
      </c>
      <c r="CL14" t="e">
        <f>AND(#REF!,"AAAAAH/571k=")</f>
        <v>#REF!</v>
      </c>
      <c r="CM14" t="e">
        <f>AND(#REF!,"AAAAAH/571o=")</f>
        <v>#REF!</v>
      </c>
      <c r="CN14" t="e">
        <f>AND(#REF!,"AAAAAH/571s=")</f>
        <v>#REF!</v>
      </c>
      <c r="CO14" t="e">
        <f>AND(#REF!,"AAAAAH/571w=")</f>
        <v>#REF!</v>
      </c>
      <c r="CP14" t="e">
        <f>AND(#REF!,"AAAAAH/5710=")</f>
        <v>#REF!</v>
      </c>
      <c r="CQ14" t="e">
        <f>AND(#REF!,"AAAAAH/5714=")</f>
        <v>#REF!</v>
      </c>
      <c r="CR14" t="e">
        <f>AND(#REF!,"AAAAAH/5718=")</f>
        <v>#REF!</v>
      </c>
      <c r="CS14" t="e">
        <f>IF(#REF!,"AAAAAH/572A=",0)</f>
        <v>#REF!</v>
      </c>
      <c r="CT14" t="e">
        <f>AND(#REF!,"AAAAAH/572E=")</f>
        <v>#REF!</v>
      </c>
      <c r="CU14" t="e">
        <f>AND(#REF!,"AAAAAH/572I=")</f>
        <v>#REF!</v>
      </c>
      <c r="CV14" t="e">
        <f>AND(#REF!,"AAAAAH/572M=")</f>
        <v>#REF!</v>
      </c>
      <c r="CW14" t="e">
        <f>AND(#REF!,"AAAAAH/572Q=")</f>
        <v>#REF!</v>
      </c>
      <c r="CX14" t="e">
        <f>AND(#REF!,"AAAAAH/572U=")</f>
        <v>#REF!</v>
      </c>
      <c r="CY14" t="e">
        <f>AND(#REF!,"AAAAAH/572Y=")</f>
        <v>#REF!</v>
      </c>
      <c r="CZ14" t="e">
        <f>AND(#REF!,"AAAAAH/572c=")</f>
        <v>#REF!</v>
      </c>
      <c r="DA14" t="e">
        <f>AND(#REF!,"AAAAAH/572g=")</f>
        <v>#REF!</v>
      </c>
      <c r="DB14" t="e">
        <f>AND(#REF!,"AAAAAH/572k=")</f>
        <v>#REF!</v>
      </c>
      <c r="DC14" t="e">
        <f>IF(#REF!,"AAAAAH/572o=",0)</f>
        <v>#REF!</v>
      </c>
      <c r="DD14" t="e">
        <f>AND(#REF!,"AAAAAH/572s=")</f>
        <v>#REF!</v>
      </c>
      <c r="DE14" t="e">
        <f>AND(#REF!,"AAAAAH/572w=")</f>
        <v>#REF!</v>
      </c>
      <c r="DF14" t="e">
        <f>AND(#REF!,"AAAAAH/5720=")</f>
        <v>#REF!</v>
      </c>
      <c r="DG14" t="e">
        <f>AND(#REF!,"AAAAAH/5724=")</f>
        <v>#REF!</v>
      </c>
      <c r="DH14" t="e">
        <f>AND(#REF!,"AAAAAH/5728=")</f>
        <v>#REF!</v>
      </c>
      <c r="DI14" t="e">
        <f>AND(#REF!,"AAAAAH/573A=")</f>
        <v>#REF!</v>
      </c>
      <c r="DJ14" t="e">
        <f>AND(#REF!,"AAAAAH/573E=")</f>
        <v>#REF!</v>
      </c>
      <c r="DK14" t="e">
        <f>AND(#REF!,"AAAAAH/573I=")</f>
        <v>#REF!</v>
      </c>
      <c r="DL14" t="e">
        <f>AND(#REF!,"AAAAAH/573M=")</f>
        <v>#REF!</v>
      </c>
      <c r="DM14" t="e">
        <f>IF(#REF!,"AAAAAH/573Q=",0)</f>
        <v>#REF!</v>
      </c>
      <c r="DN14" t="e">
        <f>AND(#REF!,"AAAAAH/573U=")</f>
        <v>#REF!</v>
      </c>
      <c r="DO14" t="e">
        <f>AND(#REF!,"AAAAAH/573Y=")</f>
        <v>#REF!</v>
      </c>
      <c r="DP14" t="e">
        <f>AND(#REF!,"AAAAAH/573c=")</f>
        <v>#REF!</v>
      </c>
      <c r="DQ14" t="e">
        <f>AND(#REF!,"AAAAAH/573g=")</f>
        <v>#REF!</v>
      </c>
      <c r="DR14" t="e">
        <f>AND(#REF!,"AAAAAH/573k=")</f>
        <v>#REF!</v>
      </c>
      <c r="DS14" t="e">
        <f>AND(#REF!,"AAAAAH/573o=")</f>
        <v>#REF!</v>
      </c>
      <c r="DT14" t="e">
        <f>AND(#REF!,"AAAAAH/573s=")</f>
        <v>#REF!</v>
      </c>
      <c r="DU14" t="e">
        <f>AND(#REF!,"AAAAAH/573w=")</f>
        <v>#REF!</v>
      </c>
      <c r="DV14" t="e">
        <f>AND(#REF!,"AAAAAH/5730=")</f>
        <v>#REF!</v>
      </c>
      <c r="DW14" t="e">
        <f>IF(#REF!,"AAAAAH/5734=",0)</f>
        <v>#REF!</v>
      </c>
      <c r="DX14" t="e">
        <f>AND(#REF!,"AAAAAH/5738=")</f>
        <v>#REF!</v>
      </c>
      <c r="DY14" t="e">
        <f>AND(#REF!,"AAAAAH/574A=")</f>
        <v>#REF!</v>
      </c>
      <c r="DZ14" t="e">
        <f>AND(#REF!,"AAAAAH/574E=")</f>
        <v>#REF!</v>
      </c>
      <c r="EA14" t="e">
        <f>AND(#REF!,"AAAAAH/574I=")</f>
        <v>#REF!</v>
      </c>
      <c r="EB14" t="e">
        <f>AND(#REF!,"AAAAAH/574M=")</f>
        <v>#REF!</v>
      </c>
      <c r="EC14" t="e">
        <f>AND(#REF!,"AAAAAH/574Q=")</f>
        <v>#REF!</v>
      </c>
      <c r="ED14" t="e">
        <f>AND(#REF!,"AAAAAH/574U=")</f>
        <v>#REF!</v>
      </c>
      <c r="EE14" t="e">
        <f>AND(#REF!,"AAAAAH/574Y=")</f>
        <v>#REF!</v>
      </c>
      <c r="EF14" t="e">
        <f>AND(#REF!,"AAAAAH/574c=")</f>
        <v>#REF!</v>
      </c>
      <c r="EG14" t="e">
        <f>IF(#REF!,"AAAAAH/574g=",0)</f>
        <v>#REF!</v>
      </c>
      <c r="EH14" t="e">
        <f>AND(#REF!,"AAAAAH/574k=")</f>
        <v>#REF!</v>
      </c>
      <c r="EI14" t="e">
        <f>AND(#REF!,"AAAAAH/574o=")</f>
        <v>#REF!</v>
      </c>
      <c r="EJ14" t="e">
        <f>AND(#REF!,"AAAAAH/574s=")</f>
        <v>#REF!</v>
      </c>
      <c r="EK14" t="e">
        <f>AND(#REF!,"AAAAAH/574w=")</f>
        <v>#REF!</v>
      </c>
      <c r="EL14" t="e">
        <f>AND(#REF!,"AAAAAH/5740=")</f>
        <v>#REF!</v>
      </c>
      <c r="EM14" t="e">
        <f>AND(#REF!,"AAAAAH/5744=")</f>
        <v>#REF!</v>
      </c>
      <c r="EN14" t="e">
        <f>AND(#REF!,"AAAAAH/5748=")</f>
        <v>#REF!</v>
      </c>
      <c r="EO14" t="e">
        <f>AND(#REF!,"AAAAAH/575A=")</f>
        <v>#REF!</v>
      </c>
      <c r="EP14" t="e">
        <f>AND(#REF!,"AAAAAH/575E=")</f>
        <v>#REF!</v>
      </c>
      <c r="EQ14" t="e">
        <f>IF(#REF!,"AAAAAH/575I=",0)</f>
        <v>#REF!</v>
      </c>
      <c r="ER14" t="e">
        <f>AND(#REF!,"AAAAAH/575M=")</f>
        <v>#REF!</v>
      </c>
      <c r="ES14" t="e">
        <f>AND(#REF!,"AAAAAH/575Q=")</f>
        <v>#REF!</v>
      </c>
      <c r="ET14" t="e">
        <f>AND(#REF!,"AAAAAH/575U=")</f>
        <v>#REF!</v>
      </c>
      <c r="EU14" t="e">
        <f>AND(#REF!,"AAAAAH/575Y=")</f>
        <v>#REF!</v>
      </c>
      <c r="EV14" t="e">
        <f>AND(#REF!,"AAAAAH/575c=")</f>
        <v>#REF!</v>
      </c>
      <c r="EW14" t="e">
        <f>AND(#REF!,"AAAAAH/575g=")</f>
        <v>#REF!</v>
      </c>
      <c r="EX14" t="e">
        <f>AND(#REF!,"AAAAAH/575k=")</f>
        <v>#REF!</v>
      </c>
      <c r="EY14" t="e">
        <f>AND(#REF!,"AAAAAH/575o=")</f>
        <v>#REF!</v>
      </c>
      <c r="EZ14" t="e">
        <f>AND(#REF!,"AAAAAH/575s=")</f>
        <v>#REF!</v>
      </c>
      <c r="FA14" t="e">
        <f>IF(#REF!,"AAAAAH/575w=",0)</f>
        <v>#REF!</v>
      </c>
      <c r="FB14" t="e">
        <f>AND(#REF!,"AAAAAH/5750=")</f>
        <v>#REF!</v>
      </c>
      <c r="FC14" t="e">
        <f>AND(#REF!,"AAAAAH/5754=")</f>
        <v>#REF!</v>
      </c>
      <c r="FD14" t="e">
        <f>AND(#REF!,"AAAAAH/5758=")</f>
        <v>#REF!</v>
      </c>
      <c r="FE14" t="e">
        <f>AND(#REF!,"AAAAAH/576A=")</f>
        <v>#REF!</v>
      </c>
      <c r="FF14" t="e">
        <f>AND(#REF!,"AAAAAH/576E=")</f>
        <v>#REF!</v>
      </c>
      <c r="FG14" t="e">
        <f>AND(#REF!,"AAAAAH/576I=")</f>
        <v>#REF!</v>
      </c>
      <c r="FH14" t="e">
        <f>AND(#REF!,"AAAAAH/576M=")</f>
        <v>#REF!</v>
      </c>
      <c r="FI14" t="e">
        <f>AND(#REF!,"AAAAAH/576Q=")</f>
        <v>#REF!</v>
      </c>
      <c r="FJ14" t="e">
        <f>AND(#REF!,"AAAAAH/576U=")</f>
        <v>#REF!</v>
      </c>
      <c r="FK14" t="e">
        <f>IF(#REF!,"AAAAAH/576Y=",0)</f>
        <v>#REF!</v>
      </c>
      <c r="FL14" t="e">
        <f>AND(#REF!,"AAAAAH/576c=")</f>
        <v>#REF!</v>
      </c>
      <c r="FM14" t="e">
        <f>AND(#REF!,"AAAAAH/576g=")</f>
        <v>#REF!</v>
      </c>
      <c r="FN14" t="e">
        <f>AND(#REF!,"AAAAAH/576k=")</f>
        <v>#REF!</v>
      </c>
      <c r="FO14" t="e">
        <f>AND(#REF!,"AAAAAH/576o=")</f>
        <v>#REF!</v>
      </c>
      <c r="FP14" t="e">
        <f>AND(#REF!,"AAAAAH/576s=")</f>
        <v>#REF!</v>
      </c>
      <c r="FQ14" t="e">
        <f>AND(#REF!,"AAAAAH/576w=")</f>
        <v>#REF!</v>
      </c>
      <c r="FR14" t="e">
        <f>AND(#REF!,"AAAAAH/5760=")</f>
        <v>#REF!</v>
      </c>
      <c r="FS14" t="e">
        <f>AND(#REF!,"AAAAAH/5764=")</f>
        <v>#REF!</v>
      </c>
      <c r="FT14" t="e">
        <f>AND(#REF!,"AAAAAH/5768=")</f>
        <v>#REF!</v>
      </c>
      <c r="FU14" t="e">
        <f>IF(#REF!,"AAAAAH/577A=",0)</f>
        <v>#REF!</v>
      </c>
      <c r="FV14" t="e">
        <f>AND(#REF!,"AAAAAH/577E=")</f>
        <v>#REF!</v>
      </c>
      <c r="FW14" t="e">
        <f>AND(#REF!,"AAAAAH/577I=")</f>
        <v>#REF!</v>
      </c>
      <c r="FX14" t="e">
        <f>AND(#REF!,"AAAAAH/577M=")</f>
        <v>#REF!</v>
      </c>
      <c r="FY14" t="e">
        <f>AND(#REF!,"AAAAAH/577Q=")</f>
        <v>#REF!</v>
      </c>
      <c r="FZ14" t="e">
        <f>AND(#REF!,"AAAAAH/577U=")</f>
        <v>#REF!</v>
      </c>
      <c r="GA14" t="e">
        <f>AND(#REF!,"AAAAAH/577Y=")</f>
        <v>#REF!</v>
      </c>
      <c r="GB14" t="e">
        <f>AND(#REF!,"AAAAAH/577c=")</f>
        <v>#REF!</v>
      </c>
      <c r="GC14" t="e">
        <f>AND(#REF!,"AAAAAH/577g=")</f>
        <v>#REF!</v>
      </c>
      <c r="GD14" t="e">
        <f>AND(#REF!,"AAAAAH/577k=")</f>
        <v>#REF!</v>
      </c>
      <c r="GE14" t="e">
        <f>IF(#REF!,"AAAAAH/577o=",0)</f>
        <v>#REF!</v>
      </c>
      <c r="GF14" t="e">
        <f>AND(#REF!,"AAAAAH/577s=")</f>
        <v>#REF!</v>
      </c>
      <c r="GG14" t="e">
        <f>AND(#REF!,"AAAAAH/577w=")</f>
        <v>#REF!</v>
      </c>
      <c r="GH14" t="e">
        <f>AND(#REF!,"AAAAAH/5770=")</f>
        <v>#REF!</v>
      </c>
      <c r="GI14" t="e">
        <f>AND(#REF!,"AAAAAH/5774=")</f>
        <v>#REF!</v>
      </c>
      <c r="GJ14" t="e">
        <f>AND(#REF!,"AAAAAH/5778=")</f>
        <v>#REF!</v>
      </c>
      <c r="GK14" t="e">
        <f>AND(#REF!,"AAAAAH/578A=")</f>
        <v>#REF!</v>
      </c>
      <c r="GL14" t="e">
        <f>AND(#REF!,"AAAAAH/578E=")</f>
        <v>#REF!</v>
      </c>
      <c r="GM14" t="e">
        <f>AND(#REF!,"AAAAAH/578I=")</f>
        <v>#REF!</v>
      </c>
      <c r="GN14" t="e">
        <f>AND(#REF!,"AAAAAH/578M=")</f>
        <v>#REF!</v>
      </c>
      <c r="GO14" t="e">
        <f>IF(#REF!,"AAAAAH/578Q=",0)</f>
        <v>#REF!</v>
      </c>
      <c r="GP14" t="e">
        <f>AND(#REF!,"AAAAAH/578U=")</f>
        <v>#REF!</v>
      </c>
      <c r="GQ14" t="e">
        <f>AND(#REF!,"AAAAAH/578Y=")</f>
        <v>#REF!</v>
      </c>
      <c r="GR14" t="e">
        <f>AND(#REF!,"AAAAAH/578c=")</f>
        <v>#REF!</v>
      </c>
      <c r="GS14" t="e">
        <f>AND(#REF!,"AAAAAH/578g=")</f>
        <v>#REF!</v>
      </c>
      <c r="GT14" t="e">
        <f>AND(#REF!,"AAAAAH/578k=")</f>
        <v>#REF!</v>
      </c>
      <c r="GU14" t="e">
        <f>AND(#REF!,"AAAAAH/578o=")</f>
        <v>#REF!</v>
      </c>
      <c r="GV14" t="e">
        <f>AND(#REF!,"AAAAAH/578s=")</f>
        <v>#REF!</v>
      </c>
      <c r="GW14" t="e">
        <f>AND(#REF!,"AAAAAH/578w=")</f>
        <v>#REF!</v>
      </c>
      <c r="GX14" t="e">
        <f>AND(#REF!,"AAAAAH/5780=")</f>
        <v>#REF!</v>
      </c>
      <c r="GY14" t="e">
        <f>IF(#REF!,"AAAAAH/5784=",0)</f>
        <v>#REF!</v>
      </c>
      <c r="GZ14" t="e">
        <f>AND(#REF!,"AAAAAH/5788=")</f>
        <v>#REF!</v>
      </c>
      <c r="HA14" t="e">
        <f>AND(#REF!,"AAAAAH/579A=")</f>
        <v>#REF!</v>
      </c>
      <c r="HB14" t="e">
        <f>AND(#REF!,"AAAAAH/579E=")</f>
        <v>#REF!</v>
      </c>
      <c r="HC14" t="e">
        <f>AND(#REF!,"AAAAAH/579I=")</f>
        <v>#REF!</v>
      </c>
      <c r="HD14" t="e">
        <f>AND(#REF!,"AAAAAH/579M=")</f>
        <v>#REF!</v>
      </c>
      <c r="HE14" t="e">
        <f>AND(#REF!,"AAAAAH/579Q=")</f>
        <v>#REF!</v>
      </c>
      <c r="HF14" t="e">
        <f>AND(#REF!,"AAAAAH/579U=")</f>
        <v>#REF!</v>
      </c>
      <c r="HG14" t="e">
        <f>AND(#REF!,"AAAAAH/579Y=")</f>
        <v>#REF!</v>
      </c>
      <c r="HH14" t="e">
        <f>AND(#REF!,"AAAAAH/579c=")</f>
        <v>#REF!</v>
      </c>
      <c r="HI14" t="e">
        <f>IF(#REF!,"AAAAAH/579g=",0)</f>
        <v>#REF!</v>
      </c>
      <c r="HJ14" t="e">
        <f>AND(#REF!,"AAAAAH/579k=")</f>
        <v>#REF!</v>
      </c>
      <c r="HK14" t="e">
        <f>AND(#REF!,"AAAAAH/579o=")</f>
        <v>#REF!</v>
      </c>
      <c r="HL14" t="e">
        <f>AND(#REF!,"AAAAAH/579s=")</f>
        <v>#REF!</v>
      </c>
      <c r="HM14" t="e">
        <f>AND(#REF!,"AAAAAH/579w=")</f>
        <v>#REF!</v>
      </c>
      <c r="HN14" t="e">
        <f>AND(#REF!,"AAAAAH/5790=")</f>
        <v>#REF!</v>
      </c>
      <c r="HO14" t="e">
        <f>AND(#REF!,"AAAAAH/5794=")</f>
        <v>#REF!</v>
      </c>
      <c r="HP14" t="e">
        <f>AND(#REF!,"AAAAAH/5798=")</f>
        <v>#REF!</v>
      </c>
      <c r="HQ14" t="e">
        <f>AND(#REF!,"AAAAAH/57+A=")</f>
        <v>#REF!</v>
      </c>
      <c r="HR14" t="e">
        <f>AND(#REF!,"AAAAAH/57+E=")</f>
        <v>#REF!</v>
      </c>
      <c r="HS14" t="e">
        <f>IF(#REF!,"AAAAAH/57+I=",0)</f>
        <v>#REF!</v>
      </c>
      <c r="HT14" t="e">
        <f>AND(#REF!,"AAAAAH/57+M=")</f>
        <v>#REF!</v>
      </c>
      <c r="HU14" t="e">
        <f>AND(#REF!,"AAAAAH/57+Q=")</f>
        <v>#REF!</v>
      </c>
      <c r="HV14" t="e">
        <f>AND(#REF!,"AAAAAH/57+U=")</f>
        <v>#REF!</v>
      </c>
      <c r="HW14" t="e">
        <f>AND(#REF!,"AAAAAH/57+Y=")</f>
        <v>#REF!</v>
      </c>
      <c r="HX14" t="e">
        <f>AND(#REF!,"AAAAAH/57+c=")</f>
        <v>#REF!</v>
      </c>
      <c r="HY14" t="e">
        <f>AND(#REF!,"AAAAAH/57+g=")</f>
        <v>#REF!</v>
      </c>
      <c r="HZ14" t="e">
        <f>AND(#REF!,"AAAAAH/57+k=")</f>
        <v>#REF!</v>
      </c>
      <c r="IA14" t="e">
        <f>AND(#REF!,"AAAAAH/57+o=")</f>
        <v>#REF!</v>
      </c>
      <c r="IB14" t="e">
        <f>AND(#REF!,"AAAAAH/57+s=")</f>
        <v>#REF!</v>
      </c>
      <c r="IC14" t="e">
        <f>IF(#REF!,"AAAAAH/57+w=",0)</f>
        <v>#REF!</v>
      </c>
      <c r="ID14" t="e">
        <f>AND(#REF!,"AAAAAH/57+0=")</f>
        <v>#REF!</v>
      </c>
      <c r="IE14" t="e">
        <f>AND(#REF!,"AAAAAH/57+4=")</f>
        <v>#REF!</v>
      </c>
      <c r="IF14" t="e">
        <f>AND(#REF!,"AAAAAH/57+8=")</f>
        <v>#REF!</v>
      </c>
      <c r="IG14" t="e">
        <f>AND(#REF!,"AAAAAH/57/A=")</f>
        <v>#REF!</v>
      </c>
      <c r="IH14" t="e">
        <f>AND(#REF!,"AAAAAH/57/E=")</f>
        <v>#REF!</v>
      </c>
      <c r="II14" t="e">
        <f>AND(#REF!,"AAAAAH/57/I=")</f>
        <v>#REF!</v>
      </c>
      <c r="IJ14" t="e">
        <f>AND(#REF!,"AAAAAH/57/M=")</f>
        <v>#REF!</v>
      </c>
      <c r="IK14" t="e">
        <f>AND(#REF!,"AAAAAH/57/Q=")</f>
        <v>#REF!</v>
      </c>
      <c r="IL14" t="e">
        <f>AND(#REF!,"AAAAAH/57/U=")</f>
        <v>#REF!</v>
      </c>
      <c r="IM14" t="e">
        <f>IF(#REF!,"AAAAAH/57/Y=",0)</f>
        <v>#REF!</v>
      </c>
      <c r="IN14" t="e">
        <f>AND(#REF!,"AAAAAH/57/c=")</f>
        <v>#REF!</v>
      </c>
      <c r="IO14" t="e">
        <f>AND(#REF!,"AAAAAH/57/g=")</f>
        <v>#REF!</v>
      </c>
      <c r="IP14" t="e">
        <f>AND(#REF!,"AAAAAH/57/k=")</f>
        <v>#REF!</v>
      </c>
      <c r="IQ14" t="e">
        <f>AND(#REF!,"AAAAAH/57/o=")</f>
        <v>#REF!</v>
      </c>
      <c r="IR14" t="e">
        <f>AND(#REF!,"AAAAAH/57/s=")</f>
        <v>#REF!</v>
      </c>
      <c r="IS14" t="e">
        <f>AND(#REF!,"AAAAAH/57/w=")</f>
        <v>#REF!</v>
      </c>
      <c r="IT14" t="e">
        <f>AND(#REF!,"AAAAAH/57/0=")</f>
        <v>#REF!</v>
      </c>
      <c r="IU14" t="e">
        <f>AND(#REF!,"AAAAAH/57/4=")</f>
        <v>#REF!</v>
      </c>
      <c r="IV14" t="e">
        <f>AND(#REF!,"AAAAAH/57/8=")</f>
        <v>#REF!</v>
      </c>
    </row>
    <row r="15" spans="1:256">
      <c r="A15" t="e">
        <f>IF(#REF!,"AAAAAG/3/AA=",0)</f>
        <v>#REF!</v>
      </c>
      <c r="B15" t="e">
        <f>AND(#REF!,"AAAAAG/3/AE=")</f>
        <v>#REF!</v>
      </c>
      <c r="C15" t="e">
        <f>AND(#REF!,"AAAAAG/3/AI=")</f>
        <v>#REF!</v>
      </c>
      <c r="D15" t="e">
        <f>AND(#REF!,"AAAAAG/3/AM=")</f>
        <v>#REF!</v>
      </c>
      <c r="E15" t="e">
        <f>AND(#REF!,"AAAAAG/3/AQ=")</f>
        <v>#REF!</v>
      </c>
      <c r="F15" t="e">
        <f>AND(#REF!,"AAAAAG/3/AU=")</f>
        <v>#REF!</v>
      </c>
      <c r="G15" t="e">
        <f>AND(#REF!,"AAAAAG/3/AY=")</f>
        <v>#REF!</v>
      </c>
      <c r="H15" t="e">
        <f>AND(#REF!,"AAAAAG/3/Ac=")</f>
        <v>#REF!</v>
      </c>
      <c r="I15" t="e">
        <f>AND(#REF!,"AAAAAG/3/Ag=")</f>
        <v>#REF!</v>
      </c>
      <c r="J15" t="e">
        <f>AND(#REF!,"AAAAAG/3/Ak=")</f>
        <v>#REF!</v>
      </c>
      <c r="K15" t="e">
        <f>IF(#REF!,"AAAAAG/3/Ao=",0)</f>
        <v>#REF!</v>
      </c>
      <c r="L15" t="e">
        <f>AND(#REF!,"AAAAAG/3/As=")</f>
        <v>#REF!</v>
      </c>
      <c r="M15" t="e">
        <f>AND(#REF!,"AAAAAG/3/Aw=")</f>
        <v>#REF!</v>
      </c>
      <c r="N15" t="e">
        <f>AND(#REF!,"AAAAAG/3/A0=")</f>
        <v>#REF!</v>
      </c>
      <c r="O15" t="e">
        <f>AND(#REF!,"AAAAAG/3/A4=")</f>
        <v>#REF!</v>
      </c>
      <c r="P15" t="e">
        <f>AND(#REF!,"AAAAAG/3/A8=")</f>
        <v>#REF!</v>
      </c>
      <c r="Q15" t="e">
        <f>AND(#REF!,"AAAAAG/3/BA=")</f>
        <v>#REF!</v>
      </c>
      <c r="R15" t="e">
        <f>AND(#REF!,"AAAAAG/3/BE=")</f>
        <v>#REF!</v>
      </c>
      <c r="S15" t="e">
        <f>AND(#REF!,"AAAAAG/3/BI=")</f>
        <v>#REF!</v>
      </c>
      <c r="T15" t="e">
        <f>AND(#REF!,"AAAAAG/3/BM=")</f>
        <v>#REF!</v>
      </c>
      <c r="U15" t="e">
        <f>IF(#REF!,"AAAAAG/3/BQ=",0)</f>
        <v>#REF!</v>
      </c>
      <c r="V15" t="e">
        <f>AND(#REF!,"AAAAAG/3/BU=")</f>
        <v>#REF!</v>
      </c>
      <c r="W15" t="e">
        <f>AND(#REF!,"AAAAAG/3/BY=")</f>
        <v>#REF!</v>
      </c>
      <c r="X15" t="e">
        <f>AND(#REF!,"AAAAAG/3/Bc=")</f>
        <v>#REF!</v>
      </c>
      <c r="Y15" t="e">
        <f>AND(#REF!,"AAAAAG/3/Bg=")</f>
        <v>#REF!</v>
      </c>
      <c r="Z15" t="e">
        <f>AND(#REF!,"AAAAAG/3/Bk=")</f>
        <v>#REF!</v>
      </c>
      <c r="AA15" t="e">
        <f>AND(#REF!,"AAAAAG/3/Bo=")</f>
        <v>#REF!</v>
      </c>
      <c r="AB15" t="e">
        <f>AND(#REF!,"AAAAAG/3/Bs=")</f>
        <v>#REF!</v>
      </c>
      <c r="AC15" t="e">
        <f>AND(#REF!,"AAAAAG/3/Bw=")</f>
        <v>#REF!</v>
      </c>
      <c r="AD15" t="e">
        <f>AND(#REF!,"AAAAAG/3/B0=")</f>
        <v>#REF!</v>
      </c>
      <c r="AE15" t="e">
        <f>IF(#REF!,"AAAAAG/3/B4=",0)</f>
        <v>#REF!</v>
      </c>
      <c r="AF15" t="e">
        <f>AND(#REF!,"AAAAAG/3/B8=")</f>
        <v>#REF!</v>
      </c>
      <c r="AG15" t="e">
        <f>AND(#REF!,"AAAAAG/3/CA=")</f>
        <v>#REF!</v>
      </c>
      <c r="AH15" t="e">
        <f>AND(#REF!,"AAAAAG/3/CE=")</f>
        <v>#REF!</v>
      </c>
      <c r="AI15" t="e">
        <f>AND(#REF!,"AAAAAG/3/CI=")</f>
        <v>#REF!</v>
      </c>
      <c r="AJ15" t="e">
        <f>AND(#REF!,"AAAAAG/3/CM=")</f>
        <v>#REF!</v>
      </c>
      <c r="AK15" t="e">
        <f>AND(#REF!,"AAAAAG/3/CQ=")</f>
        <v>#REF!</v>
      </c>
      <c r="AL15" t="e">
        <f>AND(#REF!,"AAAAAG/3/CU=")</f>
        <v>#REF!</v>
      </c>
      <c r="AM15" t="e">
        <f>AND(#REF!,"AAAAAG/3/CY=")</f>
        <v>#REF!</v>
      </c>
      <c r="AN15" t="e">
        <f>AND(#REF!,"AAAAAG/3/Cc=")</f>
        <v>#REF!</v>
      </c>
      <c r="AO15" t="e">
        <f>IF(#REF!,"AAAAAG/3/Cg=",0)</f>
        <v>#REF!</v>
      </c>
      <c r="AP15" t="e">
        <f>AND(#REF!,"AAAAAG/3/Ck=")</f>
        <v>#REF!</v>
      </c>
      <c r="AQ15" t="e">
        <f>AND(#REF!,"AAAAAG/3/Co=")</f>
        <v>#REF!</v>
      </c>
      <c r="AR15" t="e">
        <f>AND(#REF!,"AAAAAG/3/Cs=")</f>
        <v>#REF!</v>
      </c>
      <c r="AS15" t="e">
        <f>AND(#REF!,"AAAAAG/3/Cw=")</f>
        <v>#REF!</v>
      </c>
      <c r="AT15" t="e">
        <f>AND(#REF!,"AAAAAG/3/C0=")</f>
        <v>#REF!</v>
      </c>
      <c r="AU15" t="e">
        <f>AND(#REF!,"AAAAAG/3/C4=")</f>
        <v>#REF!</v>
      </c>
      <c r="AV15" t="e">
        <f>AND(#REF!,"AAAAAG/3/C8=")</f>
        <v>#REF!</v>
      </c>
      <c r="AW15" t="e">
        <f>AND(#REF!,"AAAAAG/3/DA=")</f>
        <v>#REF!</v>
      </c>
      <c r="AX15" t="e">
        <f>AND(#REF!,"AAAAAG/3/DE=")</f>
        <v>#REF!</v>
      </c>
      <c r="AY15" t="e">
        <f>IF(#REF!,"AAAAAG/3/DI=",0)</f>
        <v>#REF!</v>
      </c>
      <c r="AZ15" t="e">
        <f>AND(#REF!,"AAAAAG/3/DM=")</f>
        <v>#REF!</v>
      </c>
      <c r="BA15" t="e">
        <f>AND(#REF!,"AAAAAG/3/DQ=")</f>
        <v>#REF!</v>
      </c>
      <c r="BB15" t="e">
        <f>AND(#REF!,"AAAAAG/3/DU=")</f>
        <v>#REF!</v>
      </c>
      <c r="BC15" t="e">
        <f>AND(#REF!,"AAAAAG/3/DY=")</f>
        <v>#REF!</v>
      </c>
      <c r="BD15" t="e">
        <f>AND(#REF!,"AAAAAG/3/Dc=")</f>
        <v>#REF!</v>
      </c>
      <c r="BE15" t="e">
        <f>AND(#REF!,"AAAAAG/3/Dg=")</f>
        <v>#REF!</v>
      </c>
      <c r="BF15" t="e">
        <f>AND(#REF!,"AAAAAG/3/Dk=")</f>
        <v>#REF!</v>
      </c>
      <c r="BG15" t="e">
        <f>AND(#REF!,"AAAAAG/3/Do=")</f>
        <v>#REF!</v>
      </c>
      <c r="BH15" t="e">
        <f>AND(#REF!,"AAAAAG/3/Ds=")</f>
        <v>#REF!</v>
      </c>
      <c r="BI15" t="e">
        <f>IF(#REF!,"AAAAAG/3/Dw=",0)</f>
        <v>#REF!</v>
      </c>
      <c r="BJ15" t="e">
        <f>AND(#REF!,"AAAAAG/3/D0=")</f>
        <v>#REF!</v>
      </c>
      <c r="BK15" t="e">
        <f>AND(#REF!,"AAAAAG/3/D4=")</f>
        <v>#REF!</v>
      </c>
      <c r="BL15" t="e">
        <f>AND(#REF!,"AAAAAG/3/D8=")</f>
        <v>#REF!</v>
      </c>
      <c r="BM15" t="e">
        <f>AND(#REF!,"AAAAAG/3/EA=")</f>
        <v>#REF!</v>
      </c>
      <c r="BN15" t="e">
        <f>AND(#REF!,"AAAAAG/3/EE=")</f>
        <v>#REF!</v>
      </c>
      <c r="BO15" t="e">
        <f>AND(#REF!,"AAAAAG/3/EI=")</f>
        <v>#REF!</v>
      </c>
      <c r="BP15" t="e">
        <f>AND(#REF!,"AAAAAG/3/EM=")</f>
        <v>#REF!</v>
      </c>
      <c r="BQ15" t="e">
        <f>AND(#REF!,"AAAAAG/3/EQ=")</f>
        <v>#REF!</v>
      </c>
      <c r="BR15" t="e">
        <f>AND(#REF!,"AAAAAG/3/EU=")</f>
        <v>#REF!</v>
      </c>
      <c r="BS15" t="e">
        <f>IF(#REF!,"AAAAAG/3/EY=",0)</f>
        <v>#REF!</v>
      </c>
      <c r="BT15" t="e">
        <f>AND(#REF!,"AAAAAG/3/Ec=")</f>
        <v>#REF!</v>
      </c>
      <c r="BU15" t="e">
        <f>AND(#REF!,"AAAAAG/3/Eg=")</f>
        <v>#REF!</v>
      </c>
      <c r="BV15" t="e">
        <f>AND(#REF!,"AAAAAG/3/Ek=")</f>
        <v>#REF!</v>
      </c>
      <c r="BW15" t="e">
        <f>AND(#REF!,"AAAAAG/3/Eo=")</f>
        <v>#REF!</v>
      </c>
      <c r="BX15" t="e">
        <f>AND(#REF!,"AAAAAG/3/Es=")</f>
        <v>#REF!</v>
      </c>
      <c r="BY15" t="e">
        <f>AND(#REF!,"AAAAAG/3/Ew=")</f>
        <v>#REF!</v>
      </c>
      <c r="BZ15" t="e">
        <f>AND(#REF!,"AAAAAG/3/E0=")</f>
        <v>#REF!</v>
      </c>
      <c r="CA15" t="e">
        <f>AND(#REF!,"AAAAAG/3/E4=")</f>
        <v>#REF!</v>
      </c>
      <c r="CB15" t="e">
        <f>AND(#REF!,"AAAAAG/3/E8=")</f>
        <v>#REF!</v>
      </c>
      <c r="CC15" t="e">
        <f>IF(#REF!,"AAAAAG/3/FA=",0)</f>
        <v>#REF!</v>
      </c>
      <c r="CD15" t="e">
        <f>AND(#REF!,"AAAAAG/3/FE=")</f>
        <v>#REF!</v>
      </c>
      <c r="CE15" t="e">
        <f>AND(#REF!,"AAAAAG/3/FI=")</f>
        <v>#REF!</v>
      </c>
      <c r="CF15" t="e">
        <f>AND(#REF!,"AAAAAG/3/FM=")</f>
        <v>#REF!</v>
      </c>
      <c r="CG15" t="e">
        <f>AND(#REF!,"AAAAAG/3/FQ=")</f>
        <v>#REF!</v>
      </c>
      <c r="CH15" t="e">
        <f>AND(#REF!,"AAAAAG/3/FU=")</f>
        <v>#REF!</v>
      </c>
      <c r="CI15" t="e">
        <f>AND(#REF!,"AAAAAG/3/FY=")</f>
        <v>#REF!</v>
      </c>
      <c r="CJ15" t="e">
        <f>AND(#REF!,"AAAAAG/3/Fc=")</f>
        <v>#REF!</v>
      </c>
      <c r="CK15" t="e">
        <f>AND(#REF!,"AAAAAG/3/Fg=")</f>
        <v>#REF!</v>
      </c>
      <c r="CL15" t="e">
        <f>AND(#REF!,"AAAAAG/3/Fk=")</f>
        <v>#REF!</v>
      </c>
      <c r="CM15" t="e">
        <f>IF(#REF!,"AAAAAG/3/Fo=",0)</f>
        <v>#REF!</v>
      </c>
      <c r="CN15" t="e">
        <f>AND(#REF!,"AAAAAG/3/Fs=")</f>
        <v>#REF!</v>
      </c>
      <c r="CO15" t="e">
        <f>AND(#REF!,"AAAAAG/3/Fw=")</f>
        <v>#REF!</v>
      </c>
      <c r="CP15" t="e">
        <f>AND(#REF!,"AAAAAG/3/F0=")</f>
        <v>#REF!</v>
      </c>
      <c r="CQ15" t="e">
        <f>AND(#REF!,"AAAAAG/3/F4=")</f>
        <v>#REF!</v>
      </c>
      <c r="CR15" t="e">
        <f>AND(#REF!,"AAAAAG/3/F8=")</f>
        <v>#REF!</v>
      </c>
      <c r="CS15" t="e">
        <f>AND(#REF!,"AAAAAG/3/GA=")</f>
        <v>#REF!</v>
      </c>
      <c r="CT15" t="e">
        <f>AND(#REF!,"AAAAAG/3/GE=")</f>
        <v>#REF!</v>
      </c>
      <c r="CU15" t="e">
        <f>AND(#REF!,"AAAAAG/3/GI=")</f>
        <v>#REF!</v>
      </c>
      <c r="CV15" t="e">
        <f>AND(#REF!,"AAAAAG/3/GM=")</f>
        <v>#REF!</v>
      </c>
      <c r="CW15" t="e">
        <f>IF(#REF!,"AAAAAG/3/GQ=",0)</f>
        <v>#REF!</v>
      </c>
      <c r="CX15" t="e">
        <f>AND(#REF!,"AAAAAG/3/GU=")</f>
        <v>#REF!</v>
      </c>
      <c r="CY15" t="e">
        <f>AND(#REF!,"AAAAAG/3/GY=")</f>
        <v>#REF!</v>
      </c>
      <c r="CZ15" t="e">
        <f>AND(#REF!,"AAAAAG/3/Gc=")</f>
        <v>#REF!</v>
      </c>
      <c r="DA15" t="e">
        <f>AND(#REF!,"AAAAAG/3/Gg=")</f>
        <v>#REF!</v>
      </c>
      <c r="DB15" t="e">
        <f>AND(#REF!,"AAAAAG/3/Gk=")</f>
        <v>#REF!</v>
      </c>
      <c r="DC15" t="e">
        <f>AND(#REF!,"AAAAAG/3/Go=")</f>
        <v>#REF!</v>
      </c>
      <c r="DD15" t="e">
        <f>AND(#REF!,"AAAAAG/3/Gs=")</f>
        <v>#REF!</v>
      </c>
      <c r="DE15" t="e">
        <f>AND(#REF!,"AAAAAG/3/Gw=")</f>
        <v>#REF!</v>
      </c>
      <c r="DF15" t="e">
        <f>AND(#REF!,"AAAAAG/3/G0=")</f>
        <v>#REF!</v>
      </c>
      <c r="DG15" t="e">
        <f>IF(#REF!,"AAAAAG/3/G4=",0)</f>
        <v>#REF!</v>
      </c>
      <c r="DH15" t="e">
        <f>AND(#REF!,"AAAAAG/3/G8=")</f>
        <v>#REF!</v>
      </c>
      <c r="DI15" t="e">
        <f>AND(#REF!,"AAAAAG/3/HA=")</f>
        <v>#REF!</v>
      </c>
      <c r="DJ15" t="e">
        <f>AND(#REF!,"AAAAAG/3/HE=")</f>
        <v>#REF!</v>
      </c>
      <c r="DK15" t="e">
        <f>AND(#REF!,"AAAAAG/3/HI=")</f>
        <v>#REF!</v>
      </c>
      <c r="DL15" t="e">
        <f>AND(#REF!,"AAAAAG/3/HM=")</f>
        <v>#REF!</v>
      </c>
      <c r="DM15" t="e">
        <f>AND(#REF!,"AAAAAG/3/HQ=")</f>
        <v>#REF!</v>
      </c>
      <c r="DN15" t="e">
        <f>AND(#REF!,"AAAAAG/3/HU=")</f>
        <v>#REF!</v>
      </c>
      <c r="DO15" t="e">
        <f>AND(#REF!,"AAAAAG/3/HY=")</f>
        <v>#REF!</v>
      </c>
      <c r="DP15" t="e">
        <f>AND(#REF!,"AAAAAG/3/Hc=")</f>
        <v>#REF!</v>
      </c>
      <c r="DQ15" t="e">
        <f>IF(#REF!,"AAAAAG/3/Hg=",0)</f>
        <v>#REF!</v>
      </c>
      <c r="DR15" t="e">
        <f>AND(#REF!,"AAAAAG/3/Hk=")</f>
        <v>#REF!</v>
      </c>
      <c r="DS15" t="e">
        <f>AND(#REF!,"AAAAAG/3/Ho=")</f>
        <v>#REF!</v>
      </c>
      <c r="DT15" t="e">
        <f>AND(#REF!,"AAAAAG/3/Hs=")</f>
        <v>#REF!</v>
      </c>
      <c r="DU15" t="e">
        <f>AND(#REF!,"AAAAAG/3/Hw=")</f>
        <v>#REF!</v>
      </c>
      <c r="DV15" t="e">
        <f>AND(#REF!,"AAAAAG/3/H0=")</f>
        <v>#REF!</v>
      </c>
      <c r="DW15" t="e">
        <f>AND(#REF!,"AAAAAG/3/H4=")</f>
        <v>#REF!</v>
      </c>
      <c r="DX15" t="e">
        <f>AND(#REF!,"AAAAAG/3/H8=")</f>
        <v>#REF!</v>
      </c>
      <c r="DY15" t="e">
        <f>AND(#REF!,"AAAAAG/3/IA=")</f>
        <v>#REF!</v>
      </c>
      <c r="DZ15" t="e">
        <f>AND(#REF!,"AAAAAG/3/IE=")</f>
        <v>#REF!</v>
      </c>
      <c r="EA15" t="e">
        <f>IF(#REF!,"AAAAAG/3/II=",0)</f>
        <v>#REF!</v>
      </c>
      <c r="EB15" t="e">
        <f>AND(#REF!,"AAAAAG/3/IM=")</f>
        <v>#REF!</v>
      </c>
      <c r="EC15" t="e">
        <f>AND(#REF!,"AAAAAG/3/IQ=")</f>
        <v>#REF!</v>
      </c>
      <c r="ED15" t="e">
        <f>AND(#REF!,"AAAAAG/3/IU=")</f>
        <v>#REF!</v>
      </c>
      <c r="EE15" t="e">
        <f>AND(#REF!,"AAAAAG/3/IY=")</f>
        <v>#REF!</v>
      </c>
      <c r="EF15" t="e">
        <f>AND(#REF!,"AAAAAG/3/Ic=")</f>
        <v>#REF!</v>
      </c>
      <c r="EG15" t="e">
        <f>AND(#REF!,"AAAAAG/3/Ig=")</f>
        <v>#REF!</v>
      </c>
      <c r="EH15" t="e">
        <f>AND(#REF!,"AAAAAG/3/Ik=")</f>
        <v>#REF!</v>
      </c>
      <c r="EI15" t="e">
        <f>AND(#REF!,"AAAAAG/3/Io=")</f>
        <v>#REF!</v>
      </c>
      <c r="EJ15" t="e">
        <f>AND(#REF!,"AAAAAG/3/Is=")</f>
        <v>#REF!</v>
      </c>
      <c r="EK15" t="e">
        <f>IF(#REF!,"AAAAAG/3/Iw=",0)</f>
        <v>#REF!</v>
      </c>
      <c r="EL15" t="e">
        <f>AND(#REF!,"AAAAAG/3/I0=")</f>
        <v>#REF!</v>
      </c>
      <c r="EM15" t="e">
        <f>AND(#REF!,"AAAAAG/3/I4=")</f>
        <v>#REF!</v>
      </c>
      <c r="EN15" t="e">
        <f>AND(#REF!,"AAAAAG/3/I8=")</f>
        <v>#REF!</v>
      </c>
      <c r="EO15" t="e">
        <f>AND(#REF!,"AAAAAG/3/JA=")</f>
        <v>#REF!</v>
      </c>
      <c r="EP15" t="e">
        <f>AND(#REF!,"AAAAAG/3/JE=")</f>
        <v>#REF!</v>
      </c>
      <c r="EQ15" t="e">
        <f>AND(#REF!,"AAAAAG/3/JI=")</f>
        <v>#REF!</v>
      </c>
      <c r="ER15" t="e">
        <f>AND(#REF!,"AAAAAG/3/JM=")</f>
        <v>#REF!</v>
      </c>
      <c r="ES15" t="e">
        <f>AND(#REF!,"AAAAAG/3/JQ=")</f>
        <v>#REF!</v>
      </c>
      <c r="ET15" t="e">
        <f>AND(#REF!,"AAAAAG/3/JU=")</f>
        <v>#REF!</v>
      </c>
      <c r="EU15" t="e">
        <f>IF(#REF!,"AAAAAG/3/JY=",0)</f>
        <v>#REF!</v>
      </c>
      <c r="EV15" t="e">
        <f>AND(#REF!,"AAAAAG/3/Jc=")</f>
        <v>#REF!</v>
      </c>
      <c r="EW15" t="e">
        <f>AND(#REF!,"AAAAAG/3/Jg=")</f>
        <v>#REF!</v>
      </c>
      <c r="EX15" t="e">
        <f>AND(#REF!,"AAAAAG/3/Jk=")</f>
        <v>#REF!</v>
      </c>
      <c r="EY15" t="e">
        <f>AND(#REF!,"AAAAAG/3/Jo=")</f>
        <v>#REF!</v>
      </c>
      <c r="EZ15" t="e">
        <f>AND(#REF!,"AAAAAG/3/Js=")</f>
        <v>#REF!</v>
      </c>
      <c r="FA15" t="e">
        <f>AND(#REF!,"AAAAAG/3/Jw=")</f>
        <v>#REF!</v>
      </c>
      <c r="FB15" t="e">
        <f>AND(#REF!,"AAAAAG/3/J0=")</f>
        <v>#REF!</v>
      </c>
      <c r="FC15" t="e">
        <f>AND(#REF!,"AAAAAG/3/J4=")</f>
        <v>#REF!</v>
      </c>
      <c r="FD15" t="e">
        <f>AND(#REF!,"AAAAAG/3/J8=")</f>
        <v>#REF!</v>
      </c>
      <c r="FE15" t="e">
        <f>IF(#REF!,"AAAAAG/3/KA=",0)</f>
        <v>#REF!</v>
      </c>
      <c r="FF15" t="e">
        <f>AND(#REF!,"AAAAAG/3/KE=")</f>
        <v>#REF!</v>
      </c>
      <c r="FG15" t="e">
        <f>AND(#REF!,"AAAAAG/3/KI=")</f>
        <v>#REF!</v>
      </c>
      <c r="FH15" t="e">
        <f>AND(#REF!,"AAAAAG/3/KM=")</f>
        <v>#REF!</v>
      </c>
      <c r="FI15" t="e">
        <f>AND(#REF!,"AAAAAG/3/KQ=")</f>
        <v>#REF!</v>
      </c>
      <c r="FJ15" t="e">
        <f>AND(#REF!,"AAAAAG/3/KU=")</f>
        <v>#REF!</v>
      </c>
      <c r="FK15" t="e">
        <f>AND(#REF!,"AAAAAG/3/KY=")</f>
        <v>#REF!</v>
      </c>
      <c r="FL15" t="e">
        <f>AND(#REF!,"AAAAAG/3/Kc=")</f>
        <v>#REF!</v>
      </c>
      <c r="FM15" t="e">
        <f>AND(#REF!,"AAAAAG/3/Kg=")</f>
        <v>#REF!</v>
      </c>
      <c r="FN15" t="e">
        <f>AND(#REF!,"AAAAAG/3/Kk=")</f>
        <v>#REF!</v>
      </c>
      <c r="FO15" t="e">
        <f>IF(#REF!,"AAAAAG/3/Ko=",0)</f>
        <v>#REF!</v>
      </c>
      <c r="FP15" t="e">
        <f>AND(#REF!,"AAAAAG/3/Ks=")</f>
        <v>#REF!</v>
      </c>
      <c r="FQ15" t="e">
        <f>AND(#REF!,"AAAAAG/3/Kw=")</f>
        <v>#REF!</v>
      </c>
      <c r="FR15" t="e">
        <f>AND(#REF!,"AAAAAG/3/K0=")</f>
        <v>#REF!</v>
      </c>
      <c r="FS15" t="e">
        <f>AND(#REF!,"AAAAAG/3/K4=")</f>
        <v>#REF!</v>
      </c>
      <c r="FT15" t="e">
        <f>AND(#REF!,"AAAAAG/3/K8=")</f>
        <v>#REF!</v>
      </c>
      <c r="FU15" t="e">
        <f>AND(#REF!,"AAAAAG/3/LA=")</f>
        <v>#REF!</v>
      </c>
      <c r="FV15" t="e">
        <f>AND(#REF!,"AAAAAG/3/LE=")</f>
        <v>#REF!</v>
      </c>
      <c r="FW15" t="e">
        <f>AND(#REF!,"AAAAAG/3/LI=")</f>
        <v>#REF!</v>
      </c>
      <c r="FX15" t="e">
        <f>AND(#REF!,"AAAAAG/3/LM=")</f>
        <v>#REF!</v>
      </c>
      <c r="FY15" t="e">
        <f>IF(#REF!,"AAAAAG/3/LQ=",0)</f>
        <v>#REF!</v>
      </c>
      <c r="FZ15" t="e">
        <f>AND(#REF!,"AAAAAG/3/LU=")</f>
        <v>#REF!</v>
      </c>
      <c r="GA15" t="e">
        <f>AND(#REF!,"AAAAAG/3/LY=")</f>
        <v>#REF!</v>
      </c>
      <c r="GB15" t="e">
        <f>AND(#REF!,"AAAAAG/3/Lc=")</f>
        <v>#REF!</v>
      </c>
      <c r="GC15" t="e">
        <f>AND(#REF!,"AAAAAG/3/Lg=")</f>
        <v>#REF!</v>
      </c>
      <c r="GD15" t="e">
        <f>AND(#REF!,"AAAAAG/3/Lk=")</f>
        <v>#REF!</v>
      </c>
      <c r="GE15" t="e">
        <f>AND(#REF!,"AAAAAG/3/Lo=")</f>
        <v>#REF!</v>
      </c>
      <c r="GF15" t="e">
        <f>AND(#REF!,"AAAAAG/3/Ls=")</f>
        <v>#REF!</v>
      </c>
      <c r="GG15" t="e">
        <f>AND(#REF!,"AAAAAG/3/Lw=")</f>
        <v>#REF!</v>
      </c>
      <c r="GH15" t="e">
        <f>AND(#REF!,"AAAAAG/3/L0=")</f>
        <v>#REF!</v>
      </c>
      <c r="GI15" t="e">
        <f>IF(#REF!,"AAAAAG/3/L4=",0)</f>
        <v>#REF!</v>
      </c>
      <c r="GJ15" t="e">
        <f>AND(#REF!,"AAAAAG/3/L8=")</f>
        <v>#REF!</v>
      </c>
      <c r="GK15" t="e">
        <f>AND(#REF!,"AAAAAG/3/MA=")</f>
        <v>#REF!</v>
      </c>
      <c r="GL15" t="e">
        <f>AND(#REF!,"AAAAAG/3/ME=")</f>
        <v>#REF!</v>
      </c>
      <c r="GM15" t="e">
        <f>AND(#REF!,"AAAAAG/3/MI=")</f>
        <v>#REF!</v>
      </c>
      <c r="GN15" t="e">
        <f>AND(#REF!,"AAAAAG/3/MM=")</f>
        <v>#REF!</v>
      </c>
      <c r="GO15" t="e">
        <f>AND(#REF!,"AAAAAG/3/MQ=")</f>
        <v>#REF!</v>
      </c>
      <c r="GP15" t="e">
        <f>AND(#REF!,"AAAAAG/3/MU=")</f>
        <v>#REF!</v>
      </c>
      <c r="GQ15" t="e">
        <f>AND(#REF!,"AAAAAG/3/MY=")</f>
        <v>#REF!</v>
      </c>
      <c r="GR15" t="e">
        <f>AND(#REF!,"AAAAAG/3/Mc=")</f>
        <v>#REF!</v>
      </c>
      <c r="GS15" t="e">
        <f>IF(#REF!,"AAAAAG/3/Mg=",0)</f>
        <v>#REF!</v>
      </c>
      <c r="GT15" t="e">
        <f>AND(#REF!,"AAAAAG/3/Mk=")</f>
        <v>#REF!</v>
      </c>
      <c r="GU15" t="e">
        <f>AND(#REF!,"AAAAAG/3/Mo=")</f>
        <v>#REF!</v>
      </c>
      <c r="GV15" t="e">
        <f>AND(#REF!,"AAAAAG/3/Ms=")</f>
        <v>#REF!</v>
      </c>
      <c r="GW15" t="e">
        <f>AND(#REF!,"AAAAAG/3/Mw=")</f>
        <v>#REF!</v>
      </c>
      <c r="GX15" t="e">
        <f>AND(#REF!,"AAAAAG/3/M0=")</f>
        <v>#REF!</v>
      </c>
      <c r="GY15" t="e">
        <f>AND(#REF!,"AAAAAG/3/M4=")</f>
        <v>#REF!</v>
      </c>
      <c r="GZ15" t="e">
        <f>AND(#REF!,"AAAAAG/3/M8=")</f>
        <v>#REF!</v>
      </c>
      <c r="HA15" t="e">
        <f>AND(#REF!,"AAAAAG/3/NA=")</f>
        <v>#REF!</v>
      </c>
      <c r="HB15" t="e">
        <f>AND(#REF!,"AAAAAG/3/NE=")</f>
        <v>#REF!</v>
      </c>
      <c r="HC15" t="e">
        <f>IF(#REF!,"AAAAAG/3/NI=",0)</f>
        <v>#REF!</v>
      </c>
      <c r="HD15" t="e">
        <f>AND(#REF!,"AAAAAG/3/NM=")</f>
        <v>#REF!</v>
      </c>
      <c r="HE15" t="e">
        <f>AND(#REF!,"AAAAAG/3/NQ=")</f>
        <v>#REF!</v>
      </c>
      <c r="HF15" t="e">
        <f>AND(#REF!,"AAAAAG/3/NU=")</f>
        <v>#REF!</v>
      </c>
      <c r="HG15" t="e">
        <f>AND(#REF!,"AAAAAG/3/NY=")</f>
        <v>#REF!</v>
      </c>
      <c r="HH15" t="e">
        <f>AND(#REF!,"AAAAAG/3/Nc=")</f>
        <v>#REF!</v>
      </c>
      <c r="HI15" t="e">
        <f>AND(#REF!,"AAAAAG/3/Ng=")</f>
        <v>#REF!</v>
      </c>
      <c r="HJ15" t="e">
        <f>AND(#REF!,"AAAAAG/3/Nk=")</f>
        <v>#REF!</v>
      </c>
      <c r="HK15" t="e">
        <f>AND(#REF!,"AAAAAG/3/No=")</f>
        <v>#REF!</v>
      </c>
      <c r="HL15" t="e">
        <f>AND(#REF!,"AAAAAG/3/Ns=")</f>
        <v>#REF!</v>
      </c>
      <c r="HM15" t="e">
        <f>IF(#REF!,"AAAAAG/3/Nw=",0)</f>
        <v>#REF!</v>
      </c>
      <c r="HN15" t="e">
        <f>AND(#REF!,"AAAAAG/3/N0=")</f>
        <v>#REF!</v>
      </c>
      <c r="HO15" t="e">
        <f>AND(#REF!,"AAAAAG/3/N4=")</f>
        <v>#REF!</v>
      </c>
      <c r="HP15" t="e">
        <f>AND(#REF!,"AAAAAG/3/N8=")</f>
        <v>#REF!</v>
      </c>
      <c r="HQ15" t="e">
        <f>AND(#REF!,"AAAAAG/3/OA=")</f>
        <v>#REF!</v>
      </c>
      <c r="HR15" t="e">
        <f>AND(#REF!,"AAAAAG/3/OE=")</f>
        <v>#REF!</v>
      </c>
      <c r="HS15" t="e">
        <f>AND(#REF!,"AAAAAG/3/OI=")</f>
        <v>#REF!</v>
      </c>
      <c r="HT15" t="e">
        <f>AND(#REF!,"AAAAAG/3/OM=")</f>
        <v>#REF!</v>
      </c>
      <c r="HU15" t="e">
        <f>AND(#REF!,"AAAAAG/3/OQ=")</f>
        <v>#REF!</v>
      </c>
      <c r="HV15" t="e">
        <f>AND(#REF!,"AAAAAG/3/OU=")</f>
        <v>#REF!</v>
      </c>
      <c r="HW15" t="e">
        <f>IF(#REF!,"AAAAAG/3/OY=",0)</f>
        <v>#REF!</v>
      </c>
      <c r="HX15" t="e">
        <f>AND(#REF!,"AAAAAG/3/Oc=")</f>
        <v>#REF!</v>
      </c>
      <c r="HY15" t="e">
        <f>AND(#REF!,"AAAAAG/3/Og=")</f>
        <v>#REF!</v>
      </c>
      <c r="HZ15" t="e">
        <f>AND(#REF!,"AAAAAG/3/Ok=")</f>
        <v>#REF!</v>
      </c>
      <c r="IA15" t="e">
        <f>AND(#REF!,"AAAAAG/3/Oo=")</f>
        <v>#REF!</v>
      </c>
      <c r="IB15" t="e">
        <f>AND(#REF!,"AAAAAG/3/Os=")</f>
        <v>#REF!</v>
      </c>
      <c r="IC15" t="e">
        <f>AND(#REF!,"AAAAAG/3/Ow=")</f>
        <v>#REF!</v>
      </c>
      <c r="ID15" t="e">
        <f>AND(#REF!,"AAAAAG/3/O0=")</f>
        <v>#REF!</v>
      </c>
      <c r="IE15" t="e">
        <f>AND(#REF!,"AAAAAG/3/O4=")</f>
        <v>#REF!</v>
      </c>
      <c r="IF15" t="e">
        <f>AND(#REF!,"AAAAAG/3/O8=")</f>
        <v>#REF!</v>
      </c>
      <c r="IG15" t="e">
        <f>IF(#REF!,"AAAAAG/3/PA=",0)</f>
        <v>#REF!</v>
      </c>
      <c r="IH15" t="e">
        <f>AND(#REF!,"AAAAAG/3/PE=")</f>
        <v>#REF!</v>
      </c>
      <c r="II15" t="e">
        <f>AND(#REF!,"AAAAAG/3/PI=")</f>
        <v>#REF!</v>
      </c>
      <c r="IJ15" t="e">
        <f>AND(#REF!,"AAAAAG/3/PM=")</f>
        <v>#REF!</v>
      </c>
      <c r="IK15" t="e">
        <f>AND(#REF!,"AAAAAG/3/PQ=")</f>
        <v>#REF!</v>
      </c>
      <c r="IL15" t="e">
        <f>AND(#REF!,"AAAAAG/3/PU=")</f>
        <v>#REF!</v>
      </c>
      <c r="IM15" t="e">
        <f>AND(#REF!,"AAAAAG/3/PY=")</f>
        <v>#REF!</v>
      </c>
      <c r="IN15" t="e">
        <f>AND(#REF!,"AAAAAG/3/Pc=")</f>
        <v>#REF!</v>
      </c>
      <c r="IO15" t="e">
        <f>AND(#REF!,"AAAAAG/3/Pg=")</f>
        <v>#REF!</v>
      </c>
      <c r="IP15" t="e">
        <f>AND(#REF!,"AAAAAG/3/Pk=")</f>
        <v>#REF!</v>
      </c>
      <c r="IQ15" t="e">
        <f>IF(#REF!,"AAAAAG/3/Po=",0)</f>
        <v>#REF!</v>
      </c>
      <c r="IR15" t="e">
        <f>AND(#REF!,"AAAAAG/3/Ps=")</f>
        <v>#REF!</v>
      </c>
      <c r="IS15" t="e">
        <f>AND(#REF!,"AAAAAG/3/Pw=")</f>
        <v>#REF!</v>
      </c>
      <c r="IT15" t="e">
        <f>AND(#REF!,"AAAAAG/3/P0=")</f>
        <v>#REF!</v>
      </c>
      <c r="IU15" t="e">
        <f>AND(#REF!,"AAAAAG/3/P4=")</f>
        <v>#REF!</v>
      </c>
      <c r="IV15" t="e">
        <f>AND(#REF!,"AAAAAG/3/P8=")</f>
        <v>#REF!</v>
      </c>
    </row>
    <row r="16" spans="1:256">
      <c r="A16" t="e">
        <f>AND(#REF!,"AAAAADXvDwA=")</f>
        <v>#REF!</v>
      </c>
      <c r="B16" t="e">
        <f>AND(#REF!,"AAAAADXvDwE=")</f>
        <v>#REF!</v>
      </c>
      <c r="C16" t="e">
        <f>AND(#REF!,"AAAAADXvDwI=")</f>
        <v>#REF!</v>
      </c>
      <c r="D16" t="e">
        <f>AND(#REF!,"AAAAADXvDwM=")</f>
        <v>#REF!</v>
      </c>
      <c r="E16" t="e">
        <f>IF(#REF!,"AAAAADXvDwQ=",0)</f>
        <v>#REF!</v>
      </c>
      <c r="F16" t="e">
        <f>AND(#REF!,"AAAAADXvDwU=")</f>
        <v>#REF!</v>
      </c>
      <c r="G16" t="e">
        <f>AND(#REF!,"AAAAADXvDwY=")</f>
        <v>#REF!</v>
      </c>
      <c r="H16" t="e">
        <f>AND(#REF!,"AAAAADXvDwc=")</f>
        <v>#REF!</v>
      </c>
      <c r="I16" t="e">
        <f>AND(#REF!,"AAAAADXvDwg=")</f>
        <v>#REF!</v>
      </c>
      <c r="J16" t="e">
        <f>AND(#REF!,"AAAAADXvDwk=")</f>
        <v>#REF!</v>
      </c>
      <c r="K16" t="e">
        <f>AND(#REF!,"AAAAADXvDwo=")</f>
        <v>#REF!</v>
      </c>
      <c r="L16" t="e">
        <f>AND(#REF!,"AAAAADXvDws=")</f>
        <v>#REF!</v>
      </c>
      <c r="M16" t="e">
        <f>AND(#REF!,"AAAAADXvDww=")</f>
        <v>#REF!</v>
      </c>
      <c r="N16" t="e">
        <f>AND(#REF!,"AAAAADXvDw0=")</f>
        <v>#REF!</v>
      </c>
      <c r="O16" t="e">
        <f>IF(#REF!,"AAAAADXvDw4=",0)</f>
        <v>#REF!</v>
      </c>
      <c r="P16" t="e">
        <f>AND(#REF!,"AAAAADXvDw8=")</f>
        <v>#REF!</v>
      </c>
      <c r="Q16" t="e">
        <f>AND(#REF!,"AAAAADXvDxA=")</f>
        <v>#REF!</v>
      </c>
      <c r="R16" t="e">
        <f>AND(#REF!,"AAAAADXvDxE=")</f>
        <v>#REF!</v>
      </c>
      <c r="S16" t="e">
        <f>AND(#REF!,"AAAAADXvDxI=")</f>
        <v>#REF!</v>
      </c>
      <c r="T16" t="e">
        <f>AND(#REF!,"AAAAADXvDxM=")</f>
        <v>#REF!</v>
      </c>
      <c r="U16" t="e">
        <f>AND(#REF!,"AAAAADXvDxQ=")</f>
        <v>#REF!</v>
      </c>
      <c r="V16" t="e">
        <f>AND(#REF!,"AAAAADXvDxU=")</f>
        <v>#REF!</v>
      </c>
      <c r="W16" t="e">
        <f>AND(#REF!,"AAAAADXvDxY=")</f>
        <v>#REF!</v>
      </c>
      <c r="X16" t="e">
        <f>AND(#REF!,"AAAAADXvDxc=")</f>
        <v>#REF!</v>
      </c>
      <c r="Y16" t="e">
        <f>IF(#REF!,"AAAAADXvDxg=",0)</f>
        <v>#REF!</v>
      </c>
      <c r="Z16" t="e">
        <f>AND(#REF!,"AAAAADXvDxk=")</f>
        <v>#REF!</v>
      </c>
      <c r="AA16" t="e">
        <f>AND(#REF!,"AAAAADXvDxo=")</f>
        <v>#REF!</v>
      </c>
      <c r="AB16" t="e">
        <f>AND(#REF!,"AAAAADXvDxs=")</f>
        <v>#REF!</v>
      </c>
      <c r="AC16" t="e">
        <f>AND(#REF!,"AAAAADXvDxw=")</f>
        <v>#REF!</v>
      </c>
      <c r="AD16" t="e">
        <f>AND(#REF!,"AAAAADXvDx0=")</f>
        <v>#REF!</v>
      </c>
      <c r="AE16" t="e">
        <f>AND(#REF!,"AAAAADXvDx4=")</f>
        <v>#REF!</v>
      </c>
      <c r="AF16" t="e">
        <f>AND(#REF!,"AAAAADXvDx8=")</f>
        <v>#REF!</v>
      </c>
      <c r="AG16" t="e">
        <f>AND(#REF!,"AAAAADXvDyA=")</f>
        <v>#REF!</v>
      </c>
      <c r="AH16" t="e">
        <f>AND(#REF!,"AAAAADXvDyE=")</f>
        <v>#REF!</v>
      </c>
      <c r="AI16" t="e">
        <f>IF(#REF!,"AAAAADXvDyI=",0)</f>
        <v>#REF!</v>
      </c>
      <c r="AJ16" t="e">
        <f>AND(#REF!,"AAAAADXvDyM=")</f>
        <v>#REF!</v>
      </c>
      <c r="AK16" t="e">
        <f>AND(#REF!,"AAAAADXvDyQ=")</f>
        <v>#REF!</v>
      </c>
      <c r="AL16" t="e">
        <f>AND(#REF!,"AAAAADXvDyU=")</f>
        <v>#REF!</v>
      </c>
      <c r="AM16" t="e">
        <f>AND(#REF!,"AAAAADXvDyY=")</f>
        <v>#REF!</v>
      </c>
      <c r="AN16" t="e">
        <f>AND(#REF!,"AAAAADXvDyc=")</f>
        <v>#REF!</v>
      </c>
      <c r="AO16" t="e">
        <f>AND(#REF!,"AAAAADXvDyg=")</f>
        <v>#REF!</v>
      </c>
      <c r="AP16" t="e">
        <f>AND(#REF!,"AAAAADXvDyk=")</f>
        <v>#REF!</v>
      </c>
      <c r="AQ16" t="e">
        <f>AND(#REF!,"AAAAADXvDyo=")</f>
        <v>#REF!</v>
      </c>
      <c r="AR16" t="e">
        <f>AND(#REF!,"AAAAADXvDys=")</f>
        <v>#REF!</v>
      </c>
      <c r="AS16" t="e">
        <f>IF(#REF!,"AAAAADXvDyw=",0)</f>
        <v>#REF!</v>
      </c>
      <c r="AT16" t="e">
        <f>AND(#REF!,"AAAAADXvDy0=")</f>
        <v>#REF!</v>
      </c>
      <c r="AU16" t="e">
        <f>AND(#REF!,"AAAAADXvDy4=")</f>
        <v>#REF!</v>
      </c>
      <c r="AV16" t="e">
        <f>AND(#REF!,"AAAAADXvDy8=")</f>
        <v>#REF!</v>
      </c>
      <c r="AW16" t="e">
        <f>AND(#REF!,"AAAAADXvDzA=")</f>
        <v>#REF!</v>
      </c>
      <c r="AX16" t="e">
        <f>AND(#REF!,"AAAAADXvDzE=")</f>
        <v>#REF!</v>
      </c>
      <c r="AY16" t="e">
        <f>AND(#REF!,"AAAAADXvDzI=")</f>
        <v>#REF!</v>
      </c>
      <c r="AZ16" t="e">
        <f>AND(#REF!,"AAAAADXvDzM=")</f>
        <v>#REF!</v>
      </c>
      <c r="BA16" t="e">
        <f>AND(#REF!,"AAAAADXvDzQ=")</f>
        <v>#REF!</v>
      </c>
      <c r="BB16" t="e">
        <f>AND(#REF!,"AAAAADXvDzU=")</f>
        <v>#REF!</v>
      </c>
      <c r="BC16" t="e">
        <f>IF(#REF!,"AAAAADXvDzY=",0)</f>
        <v>#REF!</v>
      </c>
      <c r="BD16" t="e">
        <f>AND(#REF!,"AAAAADXvDzc=")</f>
        <v>#REF!</v>
      </c>
      <c r="BE16" t="e">
        <f>AND(#REF!,"AAAAADXvDzg=")</f>
        <v>#REF!</v>
      </c>
      <c r="BF16" t="e">
        <f>AND(#REF!,"AAAAADXvDzk=")</f>
        <v>#REF!</v>
      </c>
      <c r="BG16" t="e">
        <f>AND(#REF!,"AAAAADXvDzo=")</f>
        <v>#REF!</v>
      </c>
      <c r="BH16" t="e">
        <f>AND(#REF!,"AAAAADXvDzs=")</f>
        <v>#REF!</v>
      </c>
      <c r="BI16" t="e">
        <f>AND(#REF!,"AAAAADXvDzw=")</f>
        <v>#REF!</v>
      </c>
      <c r="BJ16" t="e">
        <f>AND(#REF!,"AAAAADXvDz0=")</f>
        <v>#REF!</v>
      </c>
      <c r="BK16" t="e">
        <f>AND(#REF!,"AAAAADXvDz4=")</f>
        <v>#REF!</v>
      </c>
      <c r="BL16" t="e">
        <f>AND(#REF!,"AAAAADXvDz8=")</f>
        <v>#REF!</v>
      </c>
      <c r="BM16" t="e">
        <f>IF(#REF!,"AAAAADXvD0A=",0)</f>
        <v>#REF!</v>
      </c>
      <c r="BN16" t="e">
        <f>AND(#REF!,"AAAAADXvD0E=")</f>
        <v>#REF!</v>
      </c>
      <c r="BO16" t="e">
        <f>AND(#REF!,"AAAAADXvD0I=")</f>
        <v>#REF!</v>
      </c>
      <c r="BP16" t="e">
        <f>AND(#REF!,"AAAAADXvD0M=")</f>
        <v>#REF!</v>
      </c>
      <c r="BQ16" t="e">
        <f>AND(#REF!,"AAAAADXvD0Q=")</f>
        <v>#REF!</v>
      </c>
      <c r="BR16" t="e">
        <f>AND(#REF!,"AAAAADXvD0U=")</f>
        <v>#REF!</v>
      </c>
      <c r="BS16" t="e">
        <f>AND(#REF!,"AAAAADXvD0Y=")</f>
        <v>#REF!</v>
      </c>
      <c r="BT16" t="e">
        <f>AND(#REF!,"AAAAADXvD0c=")</f>
        <v>#REF!</v>
      </c>
      <c r="BU16" t="e">
        <f>AND(#REF!,"AAAAADXvD0g=")</f>
        <v>#REF!</v>
      </c>
      <c r="BV16" t="e">
        <f>AND(#REF!,"AAAAADXvD0k=")</f>
        <v>#REF!</v>
      </c>
      <c r="BW16" t="e">
        <f>IF(#REF!,"AAAAADXvD0o=",0)</f>
        <v>#REF!</v>
      </c>
      <c r="BX16" t="e">
        <f>AND(#REF!,"AAAAADXvD0s=")</f>
        <v>#REF!</v>
      </c>
      <c r="BY16" t="e">
        <f>AND(#REF!,"AAAAADXvD0w=")</f>
        <v>#REF!</v>
      </c>
      <c r="BZ16" t="e">
        <f>AND(#REF!,"AAAAADXvD00=")</f>
        <v>#REF!</v>
      </c>
      <c r="CA16" t="e">
        <f>AND(#REF!,"AAAAADXvD04=")</f>
        <v>#REF!</v>
      </c>
      <c r="CB16" t="e">
        <f>AND(#REF!,"AAAAADXvD08=")</f>
        <v>#REF!</v>
      </c>
      <c r="CC16" t="e">
        <f>AND(#REF!,"AAAAADXvD1A=")</f>
        <v>#REF!</v>
      </c>
      <c r="CD16" t="e">
        <f>AND(#REF!,"AAAAADXvD1E=")</f>
        <v>#REF!</v>
      </c>
      <c r="CE16" t="e">
        <f>AND(#REF!,"AAAAADXvD1I=")</f>
        <v>#REF!</v>
      </c>
      <c r="CF16" t="e">
        <f>AND(#REF!,"AAAAADXvD1M=")</f>
        <v>#REF!</v>
      </c>
      <c r="CG16" t="e">
        <f>IF(#REF!,"AAAAADXvD1Q=",0)</f>
        <v>#REF!</v>
      </c>
      <c r="CH16" t="e">
        <f>AND(#REF!,"AAAAADXvD1U=")</f>
        <v>#REF!</v>
      </c>
      <c r="CI16" t="e">
        <f>AND(#REF!,"AAAAADXvD1Y=")</f>
        <v>#REF!</v>
      </c>
      <c r="CJ16" t="e">
        <f>AND(#REF!,"AAAAADXvD1c=")</f>
        <v>#REF!</v>
      </c>
      <c r="CK16" t="e">
        <f>AND(#REF!,"AAAAADXvD1g=")</f>
        <v>#REF!</v>
      </c>
      <c r="CL16" t="e">
        <f>AND(#REF!,"AAAAADXvD1k=")</f>
        <v>#REF!</v>
      </c>
      <c r="CM16" t="e">
        <f>AND(#REF!,"AAAAADXvD1o=")</f>
        <v>#REF!</v>
      </c>
      <c r="CN16" t="e">
        <f>AND(#REF!,"AAAAADXvD1s=")</f>
        <v>#REF!</v>
      </c>
      <c r="CO16" t="e">
        <f>AND(#REF!,"AAAAADXvD1w=")</f>
        <v>#REF!</v>
      </c>
      <c r="CP16" t="e">
        <f>AND(#REF!,"AAAAADXvD10=")</f>
        <v>#REF!</v>
      </c>
      <c r="CQ16" t="e">
        <f>IF(#REF!,"AAAAADXvD14=",0)</f>
        <v>#REF!</v>
      </c>
      <c r="CR16" t="e">
        <f>AND(#REF!,"AAAAADXvD18=")</f>
        <v>#REF!</v>
      </c>
      <c r="CS16" t="e">
        <f>AND(#REF!,"AAAAADXvD2A=")</f>
        <v>#REF!</v>
      </c>
      <c r="CT16" t="e">
        <f>AND(#REF!,"AAAAADXvD2E=")</f>
        <v>#REF!</v>
      </c>
      <c r="CU16" t="e">
        <f>AND(#REF!,"AAAAADXvD2I=")</f>
        <v>#REF!</v>
      </c>
      <c r="CV16" t="e">
        <f>AND(#REF!,"AAAAADXvD2M=")</f>
        <v>#REF!</v>
      </c>
      <c r="CW16" t="e">
        <f>AND(#REF!,"AAAAADXvD2Q=")</f>
        <v>#REF!</v>
      </c>
      <c r="CX16" t="e">
        <f>AND(#REF!,"AAAAADXvD2U=")</f>
        <v>#REF!</v>
      </c>
      <c r="CY16" t="e">
        <f>AND(#REF!,"AAAAADXvD2Y=")</f>
        <v>#REF!</v>
      </c>
      <c r="CZ16" t="e">
        <f>AND(#REF!,"AAAAADXvD2c=")</f>
        <v>#REF!</v>
      </c>
      <c r="DA16" t="e">
        <f>IF(#REF!,"AAAAADXvD2g=",0)</f>
        <v>#REF!</v>
      </c>
      <c r="DB16" t="e">
        <f>AND(#REF!,"AAAAADXvD2k=")</f>
        <v>#REF!</v>
      </c>
      <c r="DC16" t="e">
        <f>AND(#REF!,"AAAAADXvD2o=")</f>
        <v>#REF!</v>
      </c>
      <c r="DD16" t="e">
        <f>AND(#REF!,"AAAAADXvD2s=")</f>
        <v>#REF!</v>
      </c>
      <c r="DE16" t="e">
        <f>AND(#REF!,"AAAAADXvD2w=")</f>
        <v>#REF!</v>
      </c>
      <c r="DF16" t="e">
        <f>AND(#REF!,"AAAAADXvD20=")</f>
        <v>#REF!</v>
      </c>
      <c r="DG16" t="e">
        <f>AND(#REF!,"AAAAADXvD24=")</f>
        <v>#REF!</v>
      </c>
      <c r="DH16" t="e">
        <f>AND(#REF!,"AAAAADXvD28=")</f>
        <v>#REF!</v>
      </c>
      <c r="DI16" t="e">
        <f>AND(#REF!,"AAAAADXvD3A=")</f>
        <v>#REF!</v>
      </c>
      <c r="DJ16" t="e">
        <f>AND(#REF!,"AAAAADXvD3E=")</f>
        <v>#REF!</v>
      </c>
      <c r="DK16" t="e">
        <f>IF(#REF!,"AAAAADXvD3I=",0)</f>
        <v>#REF!</v>
      </c>
      <c r="DL16" t="e">
        <f>AND(#REF!,"AAAAADXvD3M=")</f>
        <v>#REF!</v>
      </c>
      <c r="DM16" t="e">
        <f>AND(#REF!,"AAAAADXvD3Q=")</f>
        <v>#REF!</v>
      </c>
      <c r="DN16" t="e">
        <f>AND(#REF!,"AAAAADXvD3U=")</f>
        <v>#REF!</v>
      </c>
      <c r="DO16" t="e">
        <f>AND(#REF!,"AAAAADXvD3Y=")</f>
        <v>#REF!</v>
      </c>
      <c r="DP16" t="e">
        <f>AND(#REF!,"AAAAADXvD3c=")</f>
        <v>#REF!</v>
      </c>
      <c r="DQ16" t="e">
        <f>AND(#REF!,"AAAAADXvD3g=")</f>
        <v>#REF!</v>
      </c>
      <c r="DR16" t="e">
        <f>AND(#REF!,"AAAAADXvD3k=")</f>
        <v>#REF!</v>
      </c>
      <c r="DS16" t="e">
        <f>AND(#REF!,"AAAAADXvD3o=")</f>
        <v>#REF!</v>
      </c>
      <c r="DT16" t="e">
        <f>AND(#REF!,"AAAAADXvD3s=")</f>
        <v>#REF!</v>
      </c>
      <c r="DU16" t="e">
        <f>IF(#REF!,"AAAAADXvD3w=",0)</f>
        <v>#REF!</v>
      </c>
      <c r="DV16" t="e">
        <f>AND(#REF!,"AAAAADXvD30=")</f>
        <v>#REF!</v>
      </c>
      <c r="DW16" t="e">
        <f>AND(#REF!,"AAAAADXvD34=")</f>
        <v>#REF!</v>
      </c>
      <c r="DX16" t="e">
        <f>AND(#REF!,"AAAAADXvD38=")</f>
        <v>#REF!</v>
      </c>
      <c r="DY16" t="e">
        <f>AND(#REF!,"AAAAADXvD4A=")</f>
        <v>#REF!</v>
      </c>
      <c r="DZ16" t="e">
        <f>AND(#REF!,"AAAAADXvD4E=")</f>
        <v>#REF!</v>
      </c>
      <c r="EA16" t="e">
        <f>AND(#REF!,"AAAAADXvD4I=")</f>
        <v>#REF!</v>
      </c>
      <c r="EB16" t="e">
        <f>AND(#REF!,"AAAAADXvD4M=")</f>
        <v>#REF!</v>
      </c>
      <c r="EC16" t="e">
        <f>AND(#REF!,"AAAAADXvD4Q=")</f>
        <v>#REF!</v>
      </c>
      <c r="ED16" t="e">
        <f>AND(#REF!,"AAAAADXvD4U=")</f>
        <v>#REF!</v>
      </c>
      <c r="EE16" t="e">
        <f>IF(#REF!,"AAAAADXvD4Y=",0)</f>
        <v>#REF!</v>
      </c>
      <c r="EF16" t="e">
        <f>AND(#REF!,"AAAAADXvD4c=")</f>
        <v>#REF!</v>
      </c>
      <c r="EG16" t="e">
        <f>AND(#REF!,"AAAAADXvD4g=")</f>
        <v>#REF!</v>
      </c>
      <c r="EH16" t="e">
        <f>AND(#REF!,"AAAAADXvD4k=")</f>
        <v>#REF!</v>
      </c>
      <c r="EI16" t="e">
        <f>AND(#REF!,"AAAAADXvD4o=")</f>
        <v>#REF!</v>
      </c>
      <c r="EJ16" t="e">
        <f>AND(#REF!,"AAAAADXvD4s=")</f>
        <v>#REF!</v>
      </c>
      <c r="EK16" t="e">
        <f>AND(#REF!,"AAAAADXvD4w=")</f>
        <v>#REF!</v>
      </c>
      <c r="EL16" t="e">
        <f>AND(#REF!,"AAAAADXvD40=")</f>
        <v>#REF!</v>
      </c>
      <c r="EM16" t="e">
        <f>AND(#REF!,"AAAAADXvD44=")</f>
        <v>#REF!</v>
      </c>
      <c r="EN16" t="e">
        <f>AND(#REF!,"AAAAADXvD48=")</f>
        <v>#REF!</v>
      </c>
      <c r="EO16" t="e">
        <f>IF(#REF!,"AAAAADXvD5A=",0)</f>
        <v>#REF!</v>
      </c>
      <c r="EP16" t="e">
        <f>AND(#REF!,"AAAAADXvD5E=")</f>
        <v>#REF!</v>
      </c>
      <c r="EQ16" t="e">
        <f>AND(#REF!,"AAAAADXvD5I=")</f>
        <v>#REF!</v>
      </c>
      <c r="ER16" t="e">
        <f>AND(#REF!,"AAAAADXvD5M=")</f>
        <v>#REF!</v>
      </c>
      <c r="ES16" t="e">
        <f>AND(#REF!,"AAAAADXvD5Q=")</f>
        <v>#REF!</v>
      </c>
      <c r="ET16" t="e">
        <f>AND(#REF!,"AAAAADXvD5U=")</f>
        <v>#REF!</v>
      </c>
      <c r="EU16" t="e">
        <f>AND(#REF!,"AAAAADXvD5Y=")</f>
        <v>#REF!</v>
      </c>
      <c r="EV16" t="e">
        <f>AND(#REF!,"AAAAADXvD5c=")</f>
        <v>#REF!</v>
      </c>
      <c r="EW16" t="e">
        <f>AND(#REF!,"AAAAADXvD5g=")</f>
        <v>#REF!</v>
      </c>
      <c r="EX16" t="e">
        <f>AND(#REF!,"AAAAADXvD5k=")</f>
        <v>#REF!</v>
      </c>
      <c r="EY16" t="e">
        <f>IF(#REF!,"AAAAADXvD5o=",0)</f>
        <v>#REF!</v>
      </c>
      <c r="EZ16" t="e">
        <f>AND(#REF!,"AAAAADXvD5s=")</f>
        <v>#REF!</v>
      </c>
      <c r="FA16" t="e">
        <f>AND(#REF!,"AAAAADXvD5w=")</f>
        <v>#REF!</v>
      </c>
      <c r="FB16" t="e">
        <f>AND(#REF!,"AAAAADXvD50=")</f>
        <v>#REF!</v>
      </c>
      <c r="FC16" t="e">
        <f>AND(#REF!,"AAAAADXvD54=")</f>
        <v>#REF!</v>
      </c>
      <c r="FD16" t="e">
        <f>AND(#REF!,"AAAAADXvD58=")</f>
        <v>#REF!</v>
      </c>
      <c r="FE16" t="e">
        <f>AND(#REF!,"AAAAADXvD6A=")</f>
        <v>#REF!</v>
      </c>
      <c r="FF16" t="e">
        <f>AND(#REF!,"AAAAADXvD6E=")</f>
        <v>#REF!</v>
      </c>
      <c r="FG16" t="e">
        <f>AND(#REF!,"AAAAADXvD6I=")</f>
        <v>#REF!</v>
      </c>
      <c r="FH16" t="e">
        <f>AND(#REF!,"AAAAADXvD6M=")</f>
        <v>#REF!</v>
      </c>
      <c r="FI16" t="e">
        <f>IF(#REF!,"AAAAADXvD6Q=",0)</f>
        <v>#REF!</v>
      </c>
      <c r="FJ16" t="e">
        <f>AND(#REF!,"AAAAADXvD6U=")</f>
        <v>#REF!</v>
      </c>
      <c r="FK16" t="e">
        <f>AND(#REF!,"AAAAADXvD6Y=")</f>
        <v>#REF!</v>
      </c>
      <c r="FL16" t="e">
        <f>AND(#REF!,"AAAAADXvD6c=")</f>
        <v>#REF!</v>
      </c>
      <c r="FM16" t="e">
        <f>AND(#REF!,"AAAAADXvD6g=")</f>
        <v>#REF!</v>
      </c>
      <c r="FN16" t="e">
        <f>AND(#REF!,"AAAAADXvD6k=")</f>
        <v>#REF!</v>
      </c>
      <c r="FO16" t="e">
        <f>AND(#REF!,"AAAAADXvD6o=")</f>
        <v>#REF!</v>
      </c>
      <c r="FP16" t="e">
        <f>AND(#REF!,"AAAAADXvD6s=")</f>
        <v>#REF!</v>
      </c>
      <c r="FQ16" t="e">
        <f>AND(#REF!,"AAAAADXvD6w=")</f>
        <v>#REF!</v>
      </c>
      <c r="FR16" t="e">
        <f>AND(#REF!,"AAAAADXvD60=")</f>
        <v>#REF!</v>
      </c>
      <c r="FS16" t="e">
        <f>IF(#REF!,"AAAAADXvD64=",0)</f>
        <v>#REF!</v>
      </c>
      <c r="FT16" t="e">
        <f>AND(#REF!,"AAAAADXvD68=")</f>
        <v>#REF!</v>
      </c>
      <c r="FU16" t="e">
        <f>AND(#REF!,"AAAAADXvD7A=")</f>
        <v>#REF!</v>
      </c>
      <c r="FV16" t="e">
        <f>AND(#REF!,"AAAAADXvD7E=")</f>
        <v>#REF!</v>
      </c>
      <c r="FW16" t="e">
        <f>AND(#REF!,"AAAAADXvD7I=")</f>
        <v>#REF!</v>
      </c>
      <c r="FX16" t="e">
        <f>AND(#REF!,"AAAAADXvD7M=")</f>
        <v>#REF!</v>
      </c>
      <c r="FY16" t="e">
        <f>AND(#REF!,"AAAAADXvD7Q=")</f>
        <v>#REF!</v>
      </c>
      <c r="FZ16" t="e">
        <f>AND(#REF!,"AAAAADXvD7U=")</f>
        <v>#REF!</v>
      </c>
      <c r="GA16" t="e">
        <f>AND(#REF!,"AAAAADXvD7Y=")</f>
        <v>#REF!</v>
      </c>
      <c r="GB16" t="e">
        <f>AND(#REF!,"AAAAADXvD7c=")</f>
        <v>#REF!</v>
      </c>
      <c r="GC16" t="e">
        <f>IF(#REF!,"AAAAADXvD7g=",0)</f>
        <v>#REF!</v>
      </c>
      <c r="GD16" t="e">
        <f>AND(#REF!,"AAAAADXvD7k=")</f>
        <v>#REF!</v>
      </c>
      <c r="GE16" t="e">
        <f>AND(#REF!,"AAAAADXvD7o=")</f>
        <v>#REF!</v>
      </c>
      <c r="GF16" t="e">
        <f>AND(#REF!,"AAAAADXvD7s=")</f>
        <v>#REF!</v>
      </c>
      <c r="GG16" t="e">
        <f>AND(#REF!,"AAAAADXvD7w=")</f>
        <v>#REF!</v>
      </c>
      <c r="GH16" t="e">
        <f>AND(#REF!,"AAAAADXvD70=")</f>
        <v>#REF!</v>
      </c>
      <c r="GI16" t="e">
        <f>AND(#REF!,"AAAAADXvD74=")</f>
        <v>#REF!</v>
      </c>
      <c r="GJ16" t="e">
        <f>AND(#REF!,"AAAAADXvD78=")</f>
        <v>#REF!</v>
      </c>
      <c r="GK16" t="e">
        <f>AND(#REF!,"AAAAADXvD8A=")</f>
        <v>#REF!</v>
      </c>
      <c r="GL16" t="e">
        <f>AND(#REF!,"AAAAADXvD8E=")</f>
        <v>#REF!</v>
      </c>
      <c r="GM16" t="e">
        <f>IF(#REF!,"AAAAADXvD8I=",0)</f>
        <v>#REF!</v>
      </c>
      <c r="GN16" t="e">
        <f>AND(#REF!,"AAAAADXvD8M=")</f>
        <v>#REF!</v>
      </c>
      <c r="GO16" t="e">
        <f>AND(#REF!,"AAAAADXvD8Q=")</f>
        <v>#REF!</v>
      </c>
      <c r="GP16" t="e">
        <f>AND(#REF!,"AAAAADXvD8U=")</f>
        <v>#REF!</v>
      </c>
      <c r="GQ16" t="e">
        <f>AND(#REF!,"AAAAADXvD8Y=")</f>
        <v>#REF!</v>
      </c>
      <c r="GR16" t="e">
        <f>AND(#REF!,"AAAAADXvD8c=")</f>
        <v>#REF!</v>
      </c>
      <c r="GS16" t="e">
        <f>AND(#REF!,"AAAAADXvD8g=")</f>
        <v>#REF!</v>
      </c>
      <c r="GT16" t="e">
        <f>AND(#REF!,"AAAAADXvD8k=")</f>
        <v>#REF!</v>
      </c>
      <c r="GU16" t="e">
        <f>AND(#REF!,"AAAAADXvD8o=")</f>
        <v>#REF!</v>
      </c>
      <c r="GV16" t="e">
        <f>AND(#REF!,"AAAAADXvD8s=")</f>
        <v>#REF!</v>
      </c>
      <c r="GW16" t="e">
        <f>IF(#REF!,"AAAAADXvD8w=",0)</f>
        <v>#REF!</v>
      </c>
      <c r="GX16" t="e">
        <f>AND(#REF!,"AAAAADXvD80=")</f>
        <v>#REF!</v>
      </c>
      <c r="GY16" t="e">
        <f>AND(#REF!,"AAAAADXvD84=")</f>
        <v>#REF!</v>
      </c>
      <c r="GZ16" t="e">
        <f>AND(#REF!,"AAAAADXvD88=")</f>
        <v>#REF!</v>
      </c>
      <c r="HA16" t="e">
        <f>AND(#REF!,"AAAAADXvD9A=")</f>
        <v>#REF!</v>
      </c>
      <c r="HB16" t="e">
        <f>AND(#REF!,"AAAAADXvD9E=")</f>
        <v>#REF!</v>
      </c>
      <c r="HC16" t="e">
        <f>AND(#REF!,"AAAAADXvD9I=")</f>
        <v>#REF!</v>
      </c>
      <c r="HD16" t="e">
        <f>AND(#REF!,"AAAAADXvD9M=")</f>
        <v>#REF!</v>
      </c>
      <c r="HE16" t="e">
        <f>AND(#REF!,"AAAAADXvD9Q=")</f>
        <v>#REF!</v>
      </c>
      <c r="HF16" t="e">
        <f>AND(#REF!,"AAAAADXvD9U=")</f>
        <v>#REF!</v>
      </c>
      <c r="HG16" t="e">
        <f>IF(#REF!,"AAAAADXvD9Y=",0)</f>
        <v>#REF!</v>
      </c>
      <c r="HH16" t="e">
        <f>AND(#REF!,"AAAAADXvD9c=")</f>
        <v>#REF!</v>
      </c>
      <c r="HI16" t="e">
        <f>AND(#REF!,"AAAAADXvD9g=")</f>
        <v>#REF!</v>
      </c>
      <c r="HJ16" t="e">
        <f>AND(#REF!,"AAAAADXvD9k=")</f>
        <v>#REF!</v>
      </c>
      <c r="HK16" t="e">
        <f>AND(#REF!,"AAAAADXvD9o=")</f>
        <v>#REF!</v>
      </c>
      <c r="HL16" t="e">
        <f>AND(#REF!,"AAAAADXvD9s=")</f>
        <v>#REF!</v>
      </c>
      <c r="HM16" t="e">
        <f>AND(#REF!,"AAAAADXvD9w=")</f>
        <v>#REF!</v>
      </c>
      <c r="HN16" t="e">
        <f>AND(#REF!,"AAAAADXvD90=")</f>
        <v>#REF!</v>
      </c>
      <c r="HO16" t="e">
        <f>AND(#REF!,"AAAAADXvD94=")</f>
        <v>#REF!</v>
      </c>
      <c r="HP16" t="e">
        <f>AND(#REF!,"AAAAADXvD98=")</f>
        <v>#REF!</v>
      </c>
      <c r="HQ16" t="e">
        <f>IF(#REF!,"AAAAADXvD+A=",0)</f>
        <v>#REF!</v>
      </c>
      <c r="HR16" t="e">
        <f>AND(#REF!,"AAAAADXvD+E=")</f>
        <v>#REF!</v>
      </c>
      <c r="HS16" t="e">
        <f>AND(#REF!,"AAAAADXvD+I=")</f>
        <v>#REF!</v>
      </c>
      <c r="HT16" t="e">
        <f>AND(#REF!,"AAAAADXvD+M=")</f>
        <v>#REF!</v>
      </c>
      <c r="HU16" t="e">
        <f>AND(#REF!,"AAAAADXvD+Q=")</f>
        <v>#REF!</v>
      </c>
      <c r="HV16" t="e">
        <f>AND(#REF!,"AAAAADXvD+U=")</f>
        <v>#REF!</v>
      </c>
      <c r="HW16" t="e">
        <f>AND(#REF!,"AAAAADXvD+Y=")</f>
        <v>#REF!</v>
      </c>
      <c r="HX16" t="e">
        <f>AND(#REF!,"AAAAADXvD+c=")</f>
        <v>#REF!</v>
      </c>
      <c r="HY16" t="e">
        <f>AND(#REF!,"AAAAADXvD+g=")</f>
        <v>#REF!</v>
      </c>
      <c r="HZ16" t="e">
        <f>AND(#REF!,"AAAAADXvD+k=")</f>
        <v>#REF!</v>
      </c>
      <c r="IA16" t="e">
        <f>IF(#REF!,"AAAAADXvD+o=",0)</f>
        <v>#REF!</v>
      </c>
      <c r="IB16" t="e">
        <f>AND(#REF!,"AAAAADXvD+s=")</f>
        <v>#REF!</v>
      </c>
      <c r="IC16" t="e">
        <f>AND(#REF!,"AAAAADXvD+w=")</f>
        <v>#REF!</v>
      </c>
      <c r="ID16" t="e">
        <f>AND(#REF!,"AAAAADXvD+0=")</f>
        <v>#REF!</v>
      </c>
      <c r="IE16" t="e">
        <f>AND(#REF!,"AAAAADXvD+4=")</f>
        <v>#REF!</v>
      </c>
      <c r="IF16" t="e">
        <f>AND(#REF!,"AAAAADXvD+8=")</f>
        <v>#REF!</v>
      </c>
      <c r="IG16" t="e">
        <f>AND(#REF!,"AAAAADXvD/A=")</f>
        <v>#REF!</v>
      </c>
      <c r="IH16" t="e">
        <f>AND(#REF!,"AAAAADXvD/E=")</f>
        <v>#REF!</v>
      </c>
      <c r="II16" t="e">
        <f>AND(#REF!,"AAAAADXvD/I=")</f>
        <v>#REF!</v>
      </c>
      <c r="IJ16" t="e">
        <f>AND(#REF!,"AAAAADXvD/M=")</f>
        <v>#REF!</v>
      </c>
      <c r="IK16" t="e">
        <f>IF(#REF!,"AAAAADXvD/Q=",0)</f>
        <v>#REF!</v>
      </c>
      <c r="IL16" t="e">
        <f>AND(#REF!,"AAAAADXvD/U=")</f>
        <v>#REF!</v>
      </c>
      <c r="IM16" t="e">
        <f>AND(#REF!,"AAAAADXvD/Y=")</f>
        <v>#REF!</v>
      </c>
      <c r="IN16" t="e">
        <f>AND(#REF!,"AAAAADXvD/c=")</f>
        <v>#REF!</v>
      </c>
      <c r="IO16" t="e">
        <f>AND(#REF!,"AAAAADXvD/g=")</f>
        <v>#REF!</v>
      </c>
      <c r="IP16" t="e">
        <f>AND(#REF!,"AAAAADXvD/k=")</f>
        <v>#REF!</v>
      </c>
      <c r="IQ16" t="e">
        <f>AND(#REF!,"AAAAADXvD/o=")</f>
        <v>#REF!</v>
      </c>
      <c r="IR16" t="e">
        <f>AND(#REF!,"AAAAADXvD/s=")</f>
        <v>#REF!</v>
      </c>
      <c r="IS16" t="e">
        <f>AND(#REF!,"AAAAADXvD/w=")</f>
        <v>#REF!</v>
      </c>
      <c r="IT16" t="e">
        <f>AND(#REF!,"AAAAADXvD/0=")</f>
        <v>#REF!</v>
      </c>
      <c r="IU16" t="e">
        <f>IF(#REF!,"AAAAADXvD/4=",0)</f>
        <v>#REF!</v>
      </c>
      <c r="IV16" t="e">
        <f>AND(#REF!,"AAAAADXvD/8=")</f>
        <v>#REF!</v>
      </c>
    </row>
    <row r="17" spans="1:256">
      <c r="A17" t="e">
        <f>AND(#REF!,"AAAAAH+evwA=")</f>
        <v>#REF!</v>
      </c>
      <c r="B17" t="e">
        <f>AND(#REF!,"AAAAAH+evwE=")</f>
        <v>#REF!</v>
      </c>
      <c r="C17" t="e">
        <f>AND(#REF!,"AAAAAH+evwI=")</f>
        <v>#REF!</v>
      </c>
      <c r="D17" t="e">
        <f>AND(#REF!,"AAAAAH+evwM=")</f>
        <v>#REF!</v>
      </c>
      <c r="E17" t="e">
        <f>AND(#REF!,"AAAAAH+evwQ=")</f>
        <v>#REF!</v>
      </c>
      <c r="F17" t="e">
        <f>AND(#REF!,"AAAAAH+evwU=")</f>
        <v>#REF!</v>
      </c>
      <c r="G17" t="e">
        <f>AND(#REF!,"AAAAAH+evwY=")</f>
        <v>#REF!</v>
      </c>
      <c r="H17" t="e">
        <f>AND(#REF!,"AAAAAH+evwc=")</f>
        <v>#REF!</v>
      </c>
      <c r="I17" t="e">
        <f>IF(#REF!,"AAAAAH+evwg=",0)</f>
        <v>#REF!</v>
      </c>
      <c r="J17" t="e">
        <f>AND(#REF!,"AAAAAH+evwk=")</f>
        <v>#REF!</v>
      </c>
      <c r="K17" t="e">
        <f>AND(#REF!,"AAAAAH+evwo=")</f>
        <v>#REF!</v>
      </c>
      <c r="L17" t="e">
        <f>AND(#REF!,"AAAAAH+evws=")</f>
        <v>#REF!</v>
      </c>
      <c r="M17" t="e">
        <f>AND(#REF!,"AAAAAH+evww=")</f>
        <v>#REF!</v>
      </c>
      <c r="N17" t="e">
        <f>AND(#REF!,"AAAAAH+evw0=")</f>
        <v>#REF!</v>
      </c>
      <c r="O17" t="e">
        <f>AND(#REF!,"AAAAAH+evw4=")</f>
        <v>#REF!</v>
      </c>
      <c r="P17" t="e">
        <f>AND(#REF!,"AAAAAH+evw8=")</f>
        <v>#REF!</v>
      </c>
      <c r="Q17" t="e">
        <f>AND(#REF!,"AAAAAH+evxA=")</f>
        <v>#REF!</v>
      </c>
      <c r="R17" t="e">
        <f>AND(#REF!,"AAAAAH+evxE=")</f>
        <v>#REF!</v>
      </c>
      <c r="S17" t="e">
        <f>IF(#REF!,"AAAAAH+evxI=",0)</f>
        <v>#REF!</v>
      </c>
      <c r="T17" t="e">
        <f>AND(#REF!,"AAAAAH+evxM=")</f>
        <v>#REF!</v>
      </c>
      <c r="U17" t="e">
        <f>AND(#REF!,"AAAAAH+evxQ=")</f>
        <v>#REF!</v>
      </c>
      <c r="V17" t="e">
        <f>AND(#REF!,"AAAAAH+evxU=")</f>
        <v>#REF!</v>
      </c>
      <c r="W17" t="e">
        <f>AND(#REF!,"AAAAAH+evxY=")</f>
        <v>#REF!</v>
      </c>
      <c r="X17" t="e">
        <f>AND(#REF!,"AAAAAH+evxc=")</f>
        <v>#REF!</v>
      </c>
      <c r="Y17" t="e">
        <f>AND(#REF!,"AAAAAH+evxg=")</f>
        <v>#REF!</v>
      </c>
      <c r="Z17" t="e">
        <f>AND(#REF!,"AAAAAH+evxk=")</f>
        <v>#REF!</v>
      </c>
      <c r="AA17" t="e">
        <f>AND(#REF!,"AAAAAH+evxo=")</f>
        <v>#REF!</v>
      </c>
      <c r="AB17" t="e">
        <f>AND(#REF!,"AAAAAH+evxs=")</f>
        <v>#REF!</v>
      </c>
      <c r="AC17" t="e">
        <f>IF(#REF!,"AAAAAH+evxw=",0)</f>
        <v>#REF!</v>
      </c>
      <c r="AD17" t="e">
        <f>AND(#REF!,"AAAAAH+evx0=")</f>
        <v>#REF!</v>
      </c>
      <c r="AE17" t="e">
        <f>AND(#REF!,"AAAAAH+evx4=")</f>
        <v>#REF!</v>
      </c>
      <c r="AF17" t="e">
        <f>AND(#REF!,"AAAAAH+evx8=")</f>
        <v>#REF!</v>
      </c>
      <c r="AG17" t="e">
        <f>AND(#REF!,"AAAAAH+evyA=")</f>
        <v>#REF!</v>
      </c>
      <c r="AH17" t="e">
        <f>AND(#REF!,"AAAAAH+evyE=")</f>
        <v>#REF!</v>
      </c>
      <c r="AI17" t="e">
        <f>AND(#REF!,"AAAAAH+evyI=")</f>
        <v>#REF!</v>
      </c>
      <c r="AJ17" t="e">
        <f>AND(#REF!,"AAAAAH+evyM=")</f>
        <v>#REF!</v>
      </c>
      <c r="AK17" t="e">
        <f>AND(#REF!,"AAAAAH+evyQ=")</f>
        <v>#REF!</v>
      </c>
      <c r="AL17" t="e">
        <f>AND(#REF!,"AAAAAH+evyU=")</f>
        <v>#REF!</v>
      </c>
      <c r="AM17" t="e">
        <f>IF(#REF!,"AAAAAH+evyY=",0)</f>
        <v>#REF!</v>
      </c>
      <c r="AN17" t="e">
        <f>AND(#REF!,"AAAAAH+evyc=")</f>
        <v>#REF!</v>
      </c>
      <c r="AO17" t="e">
        <f>AND(#REF!,"AAAAAH+evyg=")</f>
        <v>#REF!</v>
      </c>
      <c r="AP17" t="e">
        <f>AND(#REF!,"AAAAAH+evyk=")</f>
        <v>#REF!</v>
      </c>
      <c r="AQ17" t="e">
        <f>AND(#REF!,"AAAAAH+evyo=")</f>
        <v>#REF!</v>
      </c>
      <c r="AR17" t="e">
        <f>AND(#REF!,"AAAAAH+evys=")</f>
        <v>#REF!</v>
      </c>
      <c r="AS17" t="e">
        <f>AND(#REF!,"AAAAAH+evyw=")</f>
        <v>#REF!</v>
      </c>
      <c r="AT17" t="e">
        <f>AND(#REF!,"AAAAAH+evy0=")</f>
        <v>#REF!</v>
      </c>
      <c r="AU17" t="e">
        <f>AND(#REF!,"AAAAAH+evy4=")</f>
        <v>#REF!</v>
      </c>
      <c r="AV17" t="e">
        <f>AND(#REF!,"AAAAAH+evy8=")</f>
        <v>#REF!</v>
      </c>
      <c r="AW17" t="e">
        <f>IF(#REF!,"AAAAAH+evzA=",0)</f>
        <v>#REF!</v>
      </c>
      <c r="AX17" t="e">
        <f>AND(#REF!,"AAAAAH+evzE=")</f>
        <v>#REF!</v>
      </c>
      <c r="AY17" t="e">
        <f>AND(#REF!,"AAAAAH+evzI=")</f>
        <v>#REF!</v>
      </c>
      <c r="AZ17" t="e">
        <f>AND(#REF!,"AAAAAH+evzM=")</f>
        <v>#REF!</v>
      </c>
      <c r="BA17" t="e">
        <f>AND(#REF!,"AAAAAH+evzQ=")</f>
        <v>#REF!</v>
      </c>
      <c r="BB17" t="e">
        <f>AND(#REF!,"AAAAAH+evzU=")</f>
        <v>#REF!</v>
      </c>
      <c r="BC17" t="e">
        <f>AND(#REF!,"AAAAAH+evzY=")</f>
        <v>#REF!</v>
      </c>
      <c r="BD17" t="e">
        <f>AND(#REF!,"AAAAAH+evzc=")</f>
        <v>#REF!</v>
      </c>
      <c r="BE17" t="e">
        <f>AND(#REF!,"AAAAAH+evzg=")</f>
        <v>#REF!</v>
      </c>
      <c r="BF17" t="e">
        <f>AND(#REF!,"AAAAAH+evzk=")</f>
        <v>#REF!</v>
      </c>
      <c r="BG17" t="e">
        <f>IF(#REF!,"AAAAAH+evzo=",0)</f>
        <v>#REF!</v>
      </c>
      <c r="BH17" t="e">
        <f>AND(#REF!,"AAAAAH+evzs=")</f>
        <v>#REF!</v>
      </c>
      <c r="BI17" t="e">
        <f>AND(#REF!,"AAAAAH+evzw=")</f>
        <v>#REF!</v>
      </c>
      <c r="BJ17" t="e">
        <f>AND(#REF!,"AAAAAH+evz0=")</f>
        <v>#REF!</v>
      </c>
      <c r="BK17" t="e">
        <f>AND(#REF!,"AAAAAH+evz4=")</f>
        <v>#REF!</v>
      </c>
      <c r="BL17" t="e">
        <f>AND(#REF!,"AAAAAH+evz8=")</f>
        <v>#REF!</v>
      </c>
      <c r="BM17" t="e">
        <f>AND(#REF!,"AAAAAH+ev0A=")</f>
        <v>#REF!</v>
      </c>
      <c r="BN17" t="e">
        <f>AND(#REF!,"AAAAAH+ev0E=")</f>
        <v>#REF!</v>
      </c>
      <c r="BO17" t="e">
        <f>AND(#REF!,"AAAAAH+ev0I=")</f>
        <v>#REF!</v>
      </c>
      <c r="BP17" t="e">
        <f>AND(#REF!,"AAAAAH+ev0M=")</f>
        <v>#REF!</v>
      </c>
      <c r="BQ17" t="e">
        <f>IF(#REF!,"AAAAAH+ev0Q=",0)</f>
        <v>#REF!</v>
      </c>
      <c r="BR17" t="e">
        <f>AND(#REF!,"AAAAAH+ev0U=")</f>
        <v>#REF!</v>
      </c>
      <c r="BS17" t="e">
        <f>AND(#REF!,"AAAAAH+ev0Y=")</f>
        <v>#REF!</v>
      </c>
      <c r="BT17" t="e">
        <f>AND(#REF!,"AAAAAH+ev0c=")</f>
        <v>#REF!</v>
      </c>
      <c r="BU17" t="e">
        <f>AND(#REF!,"AAAAAH+ev0g=")</f>
        <v>#REF!</v>
      </c>
      <c r="BV17" t="e">
        <f>AND(#REF!,"AAAAAH+ev0k=")</f>
        <v>#REF!</v>
      </c>
      <c r="BW17" t="e">
        <f>AND(#REF!,"AAAAAH+ev0o=")</f>
        <v>#REF!</v>
      </c>
      <c r="BX17" t="e">
        <f>AND(#REF!,"AAAAAH+ev0s=")</f>
        <v>#REF!</v>
      </c>
      <c r="BY17" t="e">
        <f>AND(#REF!,"AAAAAH+ev0w=")</f>
        <v>#REF!</v>
      </c>
      <c r="BZ17" t="e">
        <f>AND(#REF!,"AAAAAH+ev00=")</f>
        <v>#REF!</v>
      </c>
      <c r="CA17" t="e">
        <f>IF(#REF!,"AAAAAH+ev04=",0)</f>
        <v>#REF!</v>
      </c>
      <c r="CB17" t="e">
        <f>AND(#REF!,"AAAAAH+ev08=")</f>
        <v>#REF!</v>
      </c>
      <c r="CC17" t="e">
        <f>AND(#REF!,"AAAAAH+ev1A=")</f>
        <v>#REF!</v>
      </c>
      <c r="CD17" t="e">
        <f>AND(#REF!,"AAAAAH+ev1E=")</f>
        <v>#REF!</v>
      </c>
      <c r="CE17" t="e">
        <f>AND(#REF!,"AAAAAH+ev1I=")</f>
        <v>#REF!</v>
      </c>
      <c r="CF17" t="e">
        <f>AND(#REF!,"AAAAAH+ev1M=")</f>
        <v>#REF!</v>
      </c>
      <c r="CG17" t="e">
        <f>AND(#REF!,"AAAAAH+ev1Q=")</f>
        <v>#REF!</v>
      </c>
      <c r="CH17" t="e">
        <f>AND(#REF!,"AAAAAH+ev1U=")</f>
        <v>#REF!</v>
      </c>
      <c r="CI17" t="e">
        <f>AND(#REF!,"AAAAAH+ev1Y=")</f>
        <v>#REF!</v>
      </c>
      <c r="CJ17" t="e">
        <f>AND(#REF!,"AAAAAH+ev1c=")</f>
        <v>#REF!</v>
      </c>
      <c r="CK17" t="e">
        <f>IF(#REF!,"AAAAAH+ev1g=",0)</f>
        <v>#REF!</v>
      </c>
      <c r="CL17" t="e">
        <f>AND(#REF!,"AAAAAH+ev1k=")</f>
        <v>#REF!</v>
      </c>
      <c r="CM17" t="e">
        <f>AND(#REF!,"AAAAAH+ev1o=")</f>
        <v>#REF!</v>
      </c>
      <c r="CN17" t="e">
        <f>AND(#REF!,"AAAAAH+ev1s=")</f>
        <v>#REF!</v>
      </c>
      <c r="CO17" t="e">
        <f>AND(#REF!,"AAAAAH+ev1w=")</f>
        <v>#REF!</v>
      </c>
      <c r="CP17" t="e">
        <f>AND(#REF!,"AAAAAH+ev10=")</f>
        <v>#REF!</v>
      </c>
      <c r="CQ17" t="e">
        <f>AND(#REF!,"AAAAAH+ev14=")</f>
        <v>#REF!</v>
      </c>
      <c r="CR17" t="e">
        <f>AND(#REF!,"AAAAAH+ev18=")</f>
        <v>#REF!</v>
      </c>
      <c r="CS17" t="e">
        <f>AND(#REF!,"AAAAAH+ev2A=")</f>
        <v>#REF!</v>
      </c>
      <c r="CT17" t="e">
        <f>AND(#REF!,"AAAAAH+ev2E=")</f>
        <v>#REF!</v>
      </c>
      <c r="CU17" t="e">
        <f>IF(#REF!,"AAAAAH+ev2I=",0)</f>
        <v>#REF!</v>
      </c>
      <c r="CV17" t="e">
        <f>AND(#REF!,"AAAAAH+ev2M=")</f>
        <v>#REF!</v>
      </c>
      <c r="CW17" t="e">
        <f>AND(#REF!,"AAAAAH+ev2Q=")</f>
        <v>#REF!</v>
      </c>
      <c r="CX17" t="e">
        <f>AND(#REF!,"AAAAAH+ev2U=")</f>
        <v>#REF!</v>
      </c>
      <c r="CY17" t="e">
        <f>AND(#REF!,"AAAAAH+ev2Y=")</f>
        <v>#REF!</v>
      </c>
      <c r="CZ17" t="e">
        <f>AND(#REF!,"AAAAAH+ev2c=")</f>
        <v>#REF!</v>
      </c>
      <c r="DA17" t="e">
        <f>AND(#REF!,"AAAAAH+ev2g=")</f>
        <v>#REF!</v>
      </c>
      <c r="DB17" t="e">
        <f>AND(#REF!,"AAAAAH+ev2k=")</f>
        <v>#REF!</v>
      </c>
      <c r="DC17" t="e">
        <f>AND(#REF!,"AAAAAH+ev2o=")</f>
        <v>#REF!</v>
      </c>
      <c r="DD17" t="e">
        <f>AND(#REF!,"AAAAAH+ev2s=")</f>
        <v>#REF!</v>
      </c>
      <c r="DE17" t="e">
        <f>IF(#REF!,"AAAAAH+ev2w=",0)</f>
        <v>#REF!</v>
      </c>
      <c r="DF17" t="e">
        <f>AND(#REF!,"AAAAAH+ev20=")</f>
        <v>#REF!</v>
      </c>
      <c r="DG17" t="e">
        <f>AND(#REF!,"AAAAAH+ev24=")</f>
        <v>#REF!</v>
      </c>
      <c r="DH17" t="e">
        <f>AND(#REF!,"AAAAAH+ev28=")</f>
        <v>#REF!</v>
      </c>
      <c r="DI17" t="e">
        <f>AND(#REF!,"AAAAAH+ev3A=")</f>
        <v>#REF!</v>
      </c>
      <c r="DJ17" t="e">
        <f>AND(#REF!,"AAAAAH+ev3E=")</f>
        <v>#REF!</v>
      </c>
      <c r="DK17" t="e">
        <f>AND(#REF!,"AAAAAH+ev3I=")</f>
        <v>#REF!</v>
      </c>
      <c r="DL17" t="e">
        <f>AND(#REF!,"AAAAAH+ev3M=")</f>
        <v>#REF!</v>
      </c>
      <c r="DM17" t="e">
        <f>AND(#REF!,"AAAAAH+ev3Q=")</f>
        <v>#REF!</v>
      </c>
      <c r="DN17" t="e">
        <f>AND(#REF!,"AAAAAH+ev3U=")</f>
        <v>#REF!</v>
      </c>
      <c r="DO17" t="e">
        <f>IF(#REF!,"AAAAAH+ev3Y=",0)</f>
        <v>#REF!</v>
      </c>
      <c r="DP17" t="e">
        <f>AND(#REF!,"AAAAAH+ev3c=")</f>
        <v>#REF!</v>
      </c>
      <c r="DQ17" t="e">
        <f>AND(#REF!,"AAAAAH+ev3g=")</f>
        <v>#REF!</v>
      </c>
      <c r="DR17" t="e">
        <f>AND(#REF!,"AAAAAH+ev3k=")</f>
        <v>#REF!</v>
      </c>
      <c r="DS17" t="e">
        <f>AND(#REF!,"AAAAAH+ev3o=")</f>
        <v>#REF!</v>
      </c>
      <c r="DT17" t="e">
        <f>AND(#REF!,"AAAAAH+ev3s=")</f>
        <v>#REF!</v>
      </c>
      <c r="DU17" t="e">
        <f>AND(#REF!,"AAAAAH+ev3w=")</f>
        <v>#REF!</v>
      </c>
      <c r="DV17" t="e">
        <f>AND(#REF!,"AAAAAH+ev30=")</f>
        <v>#REF!</v>
      </c>
      <c r="DW17" t="e">
        <f>AND(#REF!,"AAAAAH+ev34=")</f>
        <v>#REF!</v>
      </c>
      <c r="DX17" t="e">
        <f>AND(#REF!,"AAAAAH+ev38=")</f>
        <v>#REF!</v>
      </c>
      <c r="DY17" t="e">
        <f>IF(#REF!,"AAAAAH+ev4A=",0)</f>
        <v>#REF!</v>
      </c>
      <c r="DZ17" t="e">
        <f>AND(#REF!,"AAAAAH+ev4E=")</f>
        <v>#REF!</v>
      </c>
      <c r="EA17" t="e">
        <f>AND(#REF!,"AAAAAH+ev4I=")</f>
        <v>#REF!</v>
      </c>
      <c r="EB17" t="e">
        <f>AND(#REF!,"AAAAAH+ev4M=")</f>
        <v>#REF!</v>
      </c>
      <c r="EC17" t="e">
        <f>AND(#REF!,"AAAAAH+ev4Q=")</f>
        <v>#REF!</v>
      </c>
      <c r="ED17" t="e">
        <f>AND(#REF!,"AAAAAH+ev4U=")</f>
        <v>#REF!</v>
      </c>
      <c r="EE17" t="e">
        <f>AND(#REF!,"AAAAAH+ev4Y=")</f>
        <v>#REF!</v>
      </c>
      <c r="EF17" t="e">
        <f>AND(#REF!,"AAAAAH+ev4c=")</f>
        <v>#REF!</v>
      </c>
      <c r="EG17" t="e">
        <f>AND(#REF!,"AAAAAH+ev4g=")</f>
        <v>#REF!</v>
      </c>
      <c r="EH17" t="e">
        <f>AND(#REF!,"AAAAAH+ev4k=")</f>
        <v>#REF!</v>
      </c>
      <c r="EI17" t="e">
        <f>IF(#REF!,"AAAAAH+ev4o=",0)</f>
        <v>#REF!</v>
      </c>
      <c r="EJ17" t="e">
        <f>AND(#REF!,"AAAAAH+ev4s=")</f>
        <v>#REF!</v>
      </c>
      <c r="EK17" t="e">
        <f>AND(#REF!,"AAAAAH+ev4w=")</f>
        <v>#REF!</v>
      </c>
      <c r="EL17" t="e">
        <f>AND(#REF!,"AAAAAH+ev40=")</f>
        <v>#REF!</v>
      </c>
      <c r="EM17" t="e">
        <f>AND(#REF!,"AAAAAH+ev44=")</f>
        <v>#REF!</v>
      </c>
      <c r="EN17" t="e">
        <f>AND(#REF!,"AAAAAH+ev48=")</f>
        <v>#REF!</v>
      </c>
      <c r="EO17" t="e">
        <f>AND(#REF!,"AAAAAH+ev5A=")</f>
        <v>#REF!</v>
      </c>
      <c r="EP17" t="e">
        <f>AND(#REF!,"AAAAAH+ev5E=")</f>
        <v>#REF!</v>
      </c>
      <c r="EQ17" t="e">
        <f>AND(#REF!,"AAAAAH+ev5I=")</f>
        <v>#REF!</v>
      </c>
      <c r="ER17" t="e">
        <f>AND(#REF!,"AAAAAH+ev5M=")</f>
        <v>#REF!</v>
      </c>
      <c r="ES17" t="e">
        <f>IF(#REF!,"AAAAAH+ev5Q=",0)</f>
        <v>#REF!</v>
      </c>
      <c r="ET17" t="e">
        <f>AND(#REF!,"AAAAAH+ev5U=")</f>
        <v>#REF!</v>
      </c>
      <c r="EU17" t="e">
        <f>AND(#REF!,"AAAAAH+ev5Y=")</f>
        <v>#REF!</v>
      </c>
      <c r="EV17" t="e">
        <f>AND(#REF!,"AAAAAH+ev5c=")</f>
        <v>#REF!</v>
      </c>
      <c r="EW17" t="e">
        <f>AND(#REF!,"AAAAAH+ev5g=")</f>
        <v>#REF!</v>
      </c>
      <c r="EX17" t="e">
        <f>AND(#REF!,"AAAAAH+ev5k=")</f>
        <v>#REF!</v>
      </c>
      <c r="EY17" t="e">
        <f>AND(#REF!,"AAAAAH+ev5o=")</f>
        <v>#REF!</v>
      </c>
      <c r="EZ17" t="e">
        <f>AND(#REF!,"AAAAAH+ev5s=")</f>
        <v>#REF!</v>
      </c>
      <c r="FA17" t="e">
        <f>AND(#REF!,"AAAAAH+ev5w=")</f>
        <v>#REF!</v>
      </c>
      <c r="FB17" t="e">
        <f>AND(#REF!,"AAAAAH+ev50=")</f>
        <v>#REF!</v>
      </c>
      <c r="FC17" t="e">
        <f>IF(#REF!,"AAAAAH+ev54=",0)</f>
        <v>#REF!</v>
      </c>
      <c r="FD17" t="e">
        <f>AND(#REF!,"AAAAAH+ev58=")</f>
        <v>#REF!</v>
      </c>
      <c r="FE17" t="e">
        <f>AND(#REF!,"AAAAAH+ev6A=")</f>
        <v>#REF!</v>
      </c>
      <c r="FF17" t="e">
        <f>AND(#REF!,"AAAAAH+ev6E=")</f>
        <v>#REF!</v>
      </c>
      <c r="FG17" t="e">
        <f>AND(#REF!,"AAAAAH+ev6I=")</f>
        <v>#REF!</v>
      </c>
      <c r="FH17" t="e">
        <f>AND(#REF!,"AAAAAH+ev6M=")</f>
        <v>#REF!</v>
      </c>
      <c r="FI17" t="e">
        <f>AND(#REF!,"AAAAAH+ev6Q=")</f>
        <v>#REF!</v>
      </c>
      <c r="FJ17" t="e">
        <f>AND(#REF!,"AAAAAH+ev6U=")</f>
        <v>#REF!</v>
      </c>
      <c r="FK17" t="e">
        <f>AND(#REF!,"AAAAAH+ev6Y=")</f>
        <v>#REF!</v>
      </c>
      <c r="FL17" t="e">
        <f>AND(#REF!,"AAAAAH+ev6c=")</f>
        <v>#REF!</v>
      </c>
      <c r="FM17" t="e">
        <f>IF(#REF!,"AAAAAH+ev6g=",0)</f>
        <v>#REF!</v>
      </c>
      <c r="FN17" t="e">
        <f>AND(#REF!,"AAAAAH+ev6k=")</f>
        <v>#REF!</v>
      </c>
      <c r="FO17" t="e">
        <f>AND(#REF!,"AAAAAH+ev6o=")</f>
        <v>#REF!</v>
      </c>
      <c r="FP17" t="e">
        <f>AND(#REF!,"AAAAAH+ev6s=")</f>
        <v>#REF!</v>
      </c>
      <c r="FQ17" t="e">
        <f>AND(#REF!,"AAAAAH+ev6w=")</f>
        <v>#REF!</v>
      </c>
      <c r="FR17" t="e">
        <f>AND(#REF!,"AAAAAH+ev60=")</f>
        <v>#REF!</v>
      </c>
      <c r="FS17" t="e">
        <f>AND(#REF!,"AAAAAH+ev64=")</f>
        <v>#REF!</v>
      </c>
      <c r="FT17" t="e">
        <f>AND(#REF!,"AAAAAH+ev68=")</f>
        <v>#REF!</v>
      </c>
      <c r="FU17" t="e">
        <f>AND(#REF!,"AAAAAH+ev7A=")</f>
        <v>#REF!</v>
      </c>
      <c r="FV17" t="e">
        <f>AND(#REF!,"AAAAAH+ev7E=")</f>
        <v>#REF!</v>
      </c>
      <c r="FW17" t="e">
        <f>IF(#REF!,"AAAAAH+ev7I=",0)</f>
        <v>#REF!</v>
      </c>
      <c r="FX17" t="e">
        <f>AND(#REF!,"AAAAAH+ev7M=")</f>
        <v>#REF!</v>
      </c>
      <c r="FY17" t="e">
        <f>AND(#REF!,"AAAAAH+ev7Q=")</f>
        <v>#REF!</v>
      </c>
      <c r="FZ17" t="e">
        <f>AND(#REF!,"AAAAAH+ev7U=")</f>
        <v>#REF!</v>
      </c>
      <c r="GA17" t="e">
        <f>AND(#REF!,"AAAAAH+ev7Y=")</f>
        <v>#REF!</v>
      </c>
      <c r="GB17" t="e">
        <f>AND(#REF!,"AAAAAH+ev7c=")</f>
        <v>#REF!</v>
      </c>
      <c r="GC17" t="e">
        <f>AND(#REF!,"AAAAAH+ev7g=")</f>
        <v>#REF!</v>
      </c>
      <c r="GD17" t="e">
        <f>AND(#REF!,"AAAAAH+ev7k=")</f>
        <v>#REF!</v>
      </c>
      <c r="GE17" t="e">
        <f>AND(#REF!,"AAAAAH+ev7o=")</f>
        <v>#REF!</v>
      </c>
      <c r="GF17" t="e">
        <f>AND(#REF!,"AAAAAH+ev7s=")</f>
        <v>#REF!</v>
      </c>
      <c r="GG17" t="e">
        <f>IF(#REF!,"AAAAAH+ev7w=",0)</f>
        <v>#REF!</v>
      </c>
      <c r="GH17" t="e">
        <f>AND(#REF!,"AAAAAH+ev70=")</f>
        <v>#REF!</v>
      </c>
      <c r="GI17" t="e">
        <f>AND(#REF!,"AAAAAH+ev74=")</f>
        <v>#REF!</v>
      </c>
      <c r="GJ17" t="e">
        <f>AND(#REF!,"AAAAAH+ev78=")</f>
        <v>#REF!</v>
      </c>
      <c r="GK17" t="e">
        <f>AND(#REF!,"AAAAAH+ev8A=")</f>
        <v>#REF!</v>
      </c>
      <c r="GL17" t="e">
        <f>AND(#REF!,"AAAAAH+ev8E=")</f>
        <v>#REF!</v>
      </c>
      <c r="GM17" t="e">
        <f>AND(#REF!,"AAAAAH+ev8I=")</f>
        <v>#REF!</v>
      </c>
      <c r="GN17" t="e">
        <f>AND(#REF!,"AAAAAH+ev8M=")</f>
        <v>#REF!</v>
      </c>
      <c r="GO17" t="e">
        <f>AND(#REF!,"AAAAAH+ev8Q=")</f>
        <v>#REF!</v>
      </c>
      <c r="GP17" t="e">
        <f>AND(#REF!,"AAAAAH+ev8U=")</f>
        <v>#REF!</v>
      </c>
      <c r="GQ17" t="e">
        <f>IF(#REF!,"AAAAAH+ev8Y=",0)</f>
        <v>#REF!</v>
      </c>
      <c r="GR17" t="e">
        <f>AND(#REF!,"AAAAAH+ev8c=")</f>
        <v>#REF!</v>
      </c>
      <c r="GS17" t="e">
        <f>AND(#REF!,"AAAAAH+ev8g=")</f>
        <v>#REF!</v>
      </c>
      <c r="GT17" t="e">
        <f>AND(#REF!,"AAAAAH+ev8k=")</f>
        <v>#REF!</v>
      </c>
      <c r="GU17" t="e">
        <f>AND(#REF!,"AAAAAH+ev8o=")</f>
        <v>#REF!</v>
      </c>
      <c r="GV17" t="e">
        <f>AND(#REF!,"AAAAAH+ev8s=")</f>
        <v>#REF!</v>
      </c>
      <c r="GW17" t="e">
        <f>AND(#REF!,"AAAAAH+ev8w=")</f>
        <v>#REF!</v>
      </c>
      <c r="GX17" t="e">
        <f>AND(#REF!,"AAAAAH+ev80=")</f>
        <v>#REF!</v>
      </c>
      <c r="GY17" t="e">
        <f>AND(#REF!,"AAAAAH+ev84=")</f>
        <v>#REF!</v>
      </c>
      <c r="GZ17" t="e">
        <f>AND(#REF!,"AAAAAH+ev88=")</f>
        <v>#REF!</v>
      </c>
      <c r="HA17" t="e">
        <f>IF(#REF!,"AAAAAH+ev9A=",0)</f>
        <v>#REF!</v>
      </c>
      <c r="HB17" t="e">
        <f>AND(#REF!,"AAAAAH+ev9E=")</f>
        <v>#REF!</v>
      </c>
      <c r="HC17" t="e">
        <f>AND(#REF!,"AAAAAH+ev9I=")</f>
        <v>#REF!</v>
      </c>
      <c r="HD17" t="e">
        <f>AND(#REF!,"AAAAAH+ev9M=")</f>
        <v>#REF!</v>
      </c>
      <c r="HE17" t="e">
        <f>AND(#REF!,"AAAAAH+ev9Q=")</f>
        <v>#REF!</v>
      </c>
      <c r="HF17" t="e">
        <f>AND(#REF!,"AAAAAH+ev9U=")</f>
        <v>#REF!</v>
      </c>
      <c r="HG17" t="e">
        <f>AND(#REF!,"AAAAAH+ev9Y=")</f>
        <v>#REF!</v>
      </c>
      <c r="HH17" t="e">
        <f>AND(#REF!,"AAAAAH+ev9c=")</f>
        <v>#REF!</v>
      </c>
      <c r="HI17" t="e">
        <f>AND(#REF!,"AAAAAH+ev9g=")</f>
        <v>#REF!</v>
      </c>
      <c r="HJ17" t="e">
        <f>AND(#REF!,"AAAAAH+ev9k=")</f>
        <v>#REF!</v>
      </c>
      <c r="HK17" t="e">
        <f>IF(#REF!,"AAAAAH+ev9o=",0)</f>
        <v>#REF!</v>
      </c>
      <c r="HL17" t="e">
        <f>AND(#REF!,"AAAAAH+ev9s=")</f>
        <v>#REF!</v>
      </c>
      <c r="HM17" t="e">
        <f>AND(#REF!,"AAAAAH+ev9w=")</f>
        <v>#REF!</v>
      </c>
      <c r="HN17" t="e">
        <f>AND(#REF!,"AAAAAH+ev90=")</f>
        <v>#REF!</v>
      </c>
      <c r="HO17" t="e">
        <f>AND(#REF!,"AAAAAH+ev94=")</f>
        <v>#REF!</v>
      </c>
      <c r="HP17" t="e">
        <f>AND(#REF!,"AAAAAH+ev98=")</f>
        <v>#REF!</v>
      </c>
      <c r="HQ17" t="e">
        <f>AND(#REF!,"AAAAAH+ev+A=")</f>
        <v>#REF!</v>
      </c>
      <c r="HR17" t="e">
        <f>AND(#REF!,"AAAAAH+ev+E=")</f>
        <v>#REF!</v>
      </c>
      <c r="HS17" t="e">
        <f>AND(#REF!,"AAAAAH+ev+I=")</f>
        <v>#REF!</v>
      </c>
      <c r="HT17" t="e">
        <f>AND(#REF!,"AAAAAH+ev+M=")</f>
        <v>#REF!</v>
      </c>
      <c r="HU17" t="e">
        <f>IF(#REF!,"AAAAAH+ev+Q=",0)</f>
        <v>#REF!</v>
      </c>
      <c r="HV17" t="e">
        <f>AND(#REF!,"AAAAAH+ev+U=")</f>
        <v>#REF!</v>
      </c>
      <c r="HW17" t="e">
        <f>AND(#REF!,"AAAAAH+ev+Y=")</f>
        <v>#REF!</v>
      </c>
      <c r="HX17" t="e">
        <f>AND(#REF!,"AAAAAH+ev+c=")</f>
        <v>#REF!</v>
      </c>
      <c r="HY17" t="e">
        <f>AND(#REF!,"AAAAAH+ev+g=")</f>
        <v>#REF!</v>
      </c>
      <c r="HZ17" t="e">
        <f>AND(#REF!,"AAAAAH+ev+k=")</f>
        <v>#REF!</v>
      </c>
      <c r="IA17" t="e">
        <f>AND(#REF!,"AAAAAH+ev+o=")</f>
        <v>#REF!</v>
      </c>
      <c r="IB17" t="e">
        <f>AND(#REF!,"AAAAAH+ev+s=")</f>
        <v>#REF!</v>
      </c>
      <c r="IC17" t="e">
        <f>AND(#REF!,"AAAAAH+ev+w=")</f>
        <v>#REF!</v>
      </c>
      <c r="ID17" t="e">
        <f>AND(#REF!,"AAAAAH+ev+0=")</f>
        <v>#REF!</v>
      </c>
      <c r="IE17" t="e">
        <f>IF(#REF!,"AAAAAH+ev+4=",0)</f>
        <v>#REF!</v>
      </c>
      <c r="IF17" t="e">
        <f>AND(#REF!,"AAAAAH+ev+8=")</f>
        <v>#REF!</v>
      </c>
      <c r="IG17" t="e">
        <f>AND(#REF!,"AAAAAH+ev/A=")</f>
        <v>#REF!</v>
      </c>
      <c r="IH17" t="e">
        <f>AND(#REF!,"AAAAAH+ev/E=")</f>
        <v>#REF!</v>
      </c>
      <c r="II17" t="e">
        <f>AND(#REF!,"AAAAAH+ev/I=")</f>
        <v>#REF!</v>
      </c>
      <c r="IJ17" t="e">
        <f>AND(#REF!,"AAAAAH+ev/M=")</f>
        <v>#REF!</v>
      </c>
      <c r="IK17" t="e">
        <f>AND(#REF!,"AAAAAH+ev/Q=")</f>
        <v>#REF!</v>
      </c>
      <c r="IL17" t="e">
        <f>AND(#REF!,"AAAAAH+ev/U=")</f>
        <v>#REF!</v>
      </c>
      <c r="IM17" t="e">
        <f>AND(#REF!,"AAAAAH+ev/Y=")</f>
        <v>#REF!</v>
      </c>
      <c r="IN17" t="e">
        <f>AND(#REF!,"AAAAAH+ev/c=")</f>
        <v>#REF!</v>
      </c>
      <c r="IO17" t="e">
        <f>IF(#REF!,"AAAAAH+ev/g=",0)</f>
        <v>#REF!</v>
      </c>
      <c r="IP17" t="e">
        <f>AND(#REF!,"AAAAAH+ev/k=")</f>
        <v>#REF!</v>
      </c>
      <c r="IQ17" t="e">
        <f>AND(#REF!,"AAAAAH+ev/o=")</f>
        <v>#REF!</v>
      </c>
      <c r="IR17" t="e">
        <f>AND(#REF!,"AAAAAH+ev/s=")</f>
        <v>#REF!</v>
      </c>
      <c r="IS17" t="e">
        <f>AND(#REF!,"AAAAAH+ev/w=")</f>
        <v>#REF!</v>
      </c>
      <c r="IT17" t="e">
        <f>AND(#REF!,"AAAAAH+ev/0=")</f>
        <v>#REF!</v>
      </c>
      <c r="IU17" t="e">
        <f>AND(#REF!,"AAAAAH+ev/4=")</f>
        <v>#REF!</v>
      </c>
      <c r="IV17" t="e">
        <f>AND(#REF!,"AAAAAH+ev/8=")</f>
        <v>#REF!</v>
      </c>
    </row>
    <row r="18" spans="1:256">
      <c r="A18" t="e">
        <f>AND(#REF!,"AAAAAGn39wA=")</f>
        <v>#REF!</v>
      </c>
      <c r="B18" t="e">
        <f>AND(#REF!,"AAAAAGn39wE=")</f>
        <v>#REF!</v>
      </c>
      <c r="C18" t="e">
        <f>IF(#REF!,"AAAAAGn39wI=",0)</f>
        <v>#REF!</v>
      </c>
      <c r="D18" t="e">
        <f>AND(#REF!,"AAAAAGn39wM=")</f>
        <v>#REF!</v>
      </c>
      <c r="E18" t="e">
        <f>AND(#REF!,"AAAAAGn39wQ=")</f>
        <v>#REF!</v>
      </c>
      <c r="F18" t="e">
        <f>AND(#REF!,"AAAAAGn39wU=")</f>
        <v>#REF!</v>
      </c>
      <c r="G18" t="e">
        <f>AND(#REF!,"AAAAAGn39wY=")</f>
        <v>#REF!</v>
      </c>
      <c r="H18" t="e">
        <f>AND(#REF!,"AAAAAGn39wc=")</f>
        <v>#REF!</v>
      </c>
      <c r="I18" t="e">
        <f>AND(#REF!,"AAAAAGn39wg=")</f>
        <v>#REF!</v>
      </c>
      <c r="J18" t="e">
        <f>AND(#REF!,"AAAAAGn39wk=")</f>
        <v>#REF!</v>
      </c>
      <c r="K18" t="e">
        <f>AND(#REF!,"AAAAAGn39wo=")</f>
        <v>#REF!</v>
      </c>
      <c r="L18" t="e">
        <f>AND(#REF!,"AAAAAGn39ws=")</f>
        <v>#REF!</v>
      </c>
      <c r="M18" t="e">
        <f>IF(#REF!,"AAAAAGn39ww=",0)</f>
        <v>#REF!</v>
      </c>
      <c r="N18" t="e">
        <f>AND(#REF!,"AAAAAGn39w0=")</f>
        <v>#REF!</v>
      </c>
      <c r="O18" t="e">
        <f>AND(#REF!,"AAAAAGn39w4=")</f>
        <v>#REF!</v>
      </c>
      <c r="P18" t="e">
        <f>AND(#REF!,"AAAAAGn39w8=")</f>
        <v>#REF!</v>
      </c>
      <c r="Q18" t="e">
        <f>AND(#REF!,"AAAAAGn39xA=")</f>
        <v>#REF!</v>
      </c>
      <c r="R18" t="e">
        <f>AND(#REF!,"AAAAAGn39xE=")</f>
        <v>#REF!</v>
      </c>
      <c r="S18" t="e">
        <f>AND(#REF!,"AAAAAGn39xI=")</f>
        <v>#REF!</v>
      </c>
      <c r="T18" t="e">
        <f>AND(#REF!,"AAAAAGn39xM=")</f>
        <v>#REF!</v>
      </c>
      <c r="U18" t="e">
        <f>AND(#REF!,"AAAAAGn39xQ=")</f>
        <v>#REF!</v>
      </c>
      <c r="V18" t="e">
        <f>AND(#REF!,"AAAAAGn39xU=")</f>
        <v>#REF!</v>
      </c>
      <c r="W18" t="e">
        <f>IF(#REF!,"AAAAAGn39xY=",0)</f>
        <v>#REF!</v>
      </c>
      <c r="X18" t="e">
        <f>AND(#REF!,"AAAAAGn39xc=")</f>
        <v>#REF!</v>
      </c>
      <c r="Y18" t="e">
        <f>AND(#REF!,"AAAAAGn39xg=")</f>
        <v>#REF!</v>
      </c>
      <c r="Z18" t="e">
        <f>AND(#REF!,"AAAAAGn39xk=")</f>
        <v>#REF!</v>
      </c>
      <c r="AA18" t="e">
        <f>AND(#REF!,"AAAAAGn39xo=")</f>
        <v>#REF!</v>
      </c>
      <c r="AB18" t="e">
        <f>AND(#REF!,"AAAAAGn39xs=")</f>
        <v>#REF!</v>
      </c>
      <c r="AC18" t="e">
        <f>AND(#REF!,"AAAAAGn39xw=")</f>
        <v>#REF!</v>
      </c>
      <c r="AD18" t="e">
        <f>AND(#REF!,"AAAAAGn39x0=")</f>
        <v>#REF!</v>
      </c>
      <c r="AE18" t="e">
        <f>AND(#REF!,"AAAAAGn39x4=")</f>
        <v>#REF!</v>
      </c>
      <c r="AF18" t="e">
        <f>AND(#REF!,"AAAAAGn39x8=")</f>
        <v>#REF!</v>
      </c>
      <c r="AG18" t="e">
        <f>IF(#REF!,"AAAAAGn39yA=",0)</f>
        <v>#REF!</v>
      </c>
      <c r="AH18" t="e">
        <f>AND(#REF!,"AAAAAGn39yE=")</f>
        <v>#REF!</v>
      </c>
      <c r="AI18" t="e">
        <f>AND(#REF!,"AAAAAGn39yI=")</f>
        <v>#REF!</v>
      </c>
      <c r="AJ18" t="e">
        <f>AND(#REF!,"AAAAAGn39yM=")</f>
        <v>#REF!</v>
      </c>
      <c r="AK18" t="e">
        <f>AND(#REF!,"AAAAAGn39yQ=")</f>
        <v>#REF!</v>
      </c>
      <c r="AL18" t="e">
        <f>AND(#REF!,"AAAAAGn39yU=")</f>
        <v>#REF!</v>
      </c>
      <c r="AM18" t="e">
        <f>AND(#REF!,"AAAAAGn39yY=")</f>
        <v>#REF!</v>
      </c>
      <c r="AN18" t="e">
        <f>AND(#REF!,"AAAAAGn39yc=")</f>
        <v>#REF!</v>
      </c>
      <c r="AO18" t="e">
        <f>AND(#REF!,"AAAAAGn39yg=")</f>
        <v>#REF!</v>
      </c>
      <c r="AP18" t="e">
        <f>AND(#REF!,"AAAAAGn39yk=")</f>
        <v>#REF!</v>
      </c>
      <c r="AQ18" t="e">
        <f>IF(#REF!,"AAAAAGn39yo=",0)</f>
        <v>#REF!</v>
      </c>
      <c r="AR18" t="e">
        <f>AND(#REF!,"AAAAAGn39ys=")</f>
        <v>#REF!</v>
      </c>
      <c r="AS18" t="e">
        <f>AND(#REF!,"AAAAAGn39yw=")</f>
        <v>#REF!</v>
      </c>
      <c r="AT18" t="e">
        <f>AND(#REF!,"AAAAAGn39y0=")</f>
        <v>#REF!</v>
      </c>
      <c r="AU18" t="e">
        <f>AND(#REF!,"AAAAAGn39y4=")</f>
        <v>#REF!</v>
      </c>
      <c r="AV18" t="e">
        <f>AND(#REF!,"AAAAAGn39y8=")</f>
        <v>#REF!</v>
      </c>
      <c r="AW18" t="e">
        <f>AND(#REF!,"AAAAAGn39zA=")</f>
        <v>#REF!</v>
      </c>
      <c r="AX18" t="e">
        <f>AND(#REF!,"AAAAAGn39zE=")</f>
        <v>#REF!</v>
      </c>
      <c r="AY18" t="e">
        <f>AND(#REF!,"AAAAAGn39zI=")</f>
        <v>#REF!</v>
      </c>
      <c r="AZ18" t="e">
        <f>AND(#REF!,"AAAAAGn39zM=")</f>
        <v>#REF!</v>
      </c>
      <c r="BA18" t="e">
        <f>IF(#REF!,"AAAAAGn39zQ=",0)</f>
        <v>#REF!</v>
      </c>
      <c r="BB18" t="e">
        <f>AND(#REF!,"AAAAAGn39zU=")</f>
        <v>#REF!</v>
      </c>
      <c r="BC18" t="e">
        <f>AND(#REF!,"AAAAAGn39zY=")</f>
        <v>#REF!</v>
      </c>
      <c r="BD18" t="e">
        <f>AND(#REF!,"AAAAAGn39zc=")</f>
        <v>#REF!</v>
      </c>
      <c r="BE18" t="e">
        <f>AND(#REF!,"AAAAAGn39zg=")</f>
        <v>#REF!</v>
      </c>
      <c r="BF18" t="e">
        <f>AND(#REF!,"AAAAAGn39zk=")</f>
        <v>#REF!</v>
      </c>
      <c r="BG18" t="e">
        <f>AND(#REF!,"AAAAAGn39zo=")</f>
        <v>#REF!</v>
      </c>
      <c r="BH18" t="e">
        <f>AND(#REF!,"AAAAAGn39zs=")</f>
        <v>#REF!</v>
      </c>
      <c r="BI18" t="e">
        <f>AND(#REF!,"AAAAAGn39zw=")</f>
        <v>#REF!</v>
      </c>
      <c r="BJ18" t="e">
        <f>AND(#REF!,"AAAAAGn39z0=")</f>
        <v>#REF!</v>
      </c>
      <c r="BK18" t="e">
        <f>IF(#REF!,"AAAAAGn39z4=",0)</f>
        <v>#REF!</v>
      </c>
      <c r="BL18" t="e">
        <f>AND(#REF!,"AAAAAGn39z8=")</f>
        <v>#REF!</v>
      </c>
      <c r="BM18" t="e">
        <f>AND(#REF!,"AAAAAGn390A=")</f>
        <v>#REF!</v>
      </c>
      <c r="BN18" t="e">
        <f>AND(#REF!,"AAAAAGn390E=")</f>
        <v>#REF!</v>
      </c>
      <c r="BO18" t="e">
        <f>AND(#REF!,"AAAAAGn390I=")</f>
        <v>#REF!</v>
      </c>
      <c r="BP18" t="e">
        <f>AND(#REF!,"AAAAAGn390M=")</f>
        <v>#REF!</v>
      </c>
      <c r="BQ18" t="e">
        <f>AND(#REF!,"AAAAAGn390Q=")</f>
        <v>#REF!</v>
      </c>
      <c r="BR18" t="e">
        <f>AND(#REF!,"AAAAAGn390U=")</f>
        <v>#REF!</v>
      </c>
      <c r="BS18" t="e">
        <f>AND(#REF!,"AAAAAGn390Y=")</f>
        <v>#REF!</v>
      </c>
      <c r="BT18" t="e">
        <f>AND(#REF!,"AAAAAGn390c=")</f>
        <v>#REF!</v>
      </c>
      <c r="BU18" t="e">
        <f>IF(#REF!,"AAAAAGn390g=",0)</f>
        <v>#REF!</v>
      </c>
      <c r="BV18" t="e">
        <f>AND(#REF!,"AAAAAGn390k=")</f>
        <v>#REF!</v>
      </c>
      <c r="BW18" t="e">
        <f>AND(#REF!,"AAAAAGn390o=")</f>
        <v>#REF!</v>
      </c>
      <c r="BX18" t="e">
        <f>AND(#REF!,"AAAAAGn390s=")</f>
        <v>#REF!</v>
      </c>
      <c r="BY18" t="e">
        <f>AND(#REF!,"AAAAAGn390w=")</f>
        <v>#REF!</v>
      </c>
      <c r="BZ18" t="e">
        <f>AND(#REF!,"AAAAAGn3900=")</f>
        <v>#REF!</v>
      </c>
      <c r="CA18" t="e">
        <f>AND(#REF!,"AAAAAGn3904=")</f>
        <v>#REF!</v>
      </c>
      <c r="CB18" t="e">
        <f>AND(#REF!,"AAAAAGn3908=")</f>
        <v>#REF!</v>
      </c>
      <c r="CC18" t="e">
        <f>AND(#REF!,"AAAAAGn391A=")</f>
        <v>#REF!</v>
      </c>
      <c r="CD18" t="e">
        <f>AND(#REF!,"AAAAAGn391E=")</f>
        <v>#REF!</v>
      </c>
      <c r="CE18" t="e">
        <f>IF(#REF!,"AAAAAGn391I=",0)</f>
        <v>#REF!</v>
      </c>
      <c r="CF18" t="e">
        <f>AND(#REF!,"AAAAAGn391M=")</f>
        <v>#REF!</v>
      </c>
      <c r="CG18" t="e">
        <f>AND(#REF!,"AAAAAGn391Q=")</f>
        <v>#REF!</v>
      </c>
      <c r="CH18" t="e">
        <f>AND(#REF!,"AAAAAGn391U=")</f>
        <v>#REF!</v>
      </c>
      <c r="CI18" t="e">
        <f>AND(#REF!,"AAAAAGn391Y=")</f>
        <v>#REF!</v>
      </c>
      <c r="CJ18" t="e">
        <f>AND(#REF!,"AAAAAGn391c=")</f>
        <v>#REF!</v>
      </c>
      <c r="CK18" t="e">
        <f>AND(#REF!,"AAAAAGn391g=")</f>
        <v>#REF!</v>
      </c>
      <c r="CL18" t="e">
        <f>AND(#REF!,"AAAAAGn391k=")</f>
        <v>#REF!</v>
      </c>
      <c r="CM18" t="e">
        <f>AND(#REF!,"AAAAAGn391o=")</f>
        <v>#REF!</v>
      </c>
      <c r="CN18" t="e">
        <f>AND(#REF!,"AAAAAGn391s=")</f>
        <v>#REF!</v>
      </c>
      <c r="CO18" t="e">
        <f>IF(#REF!,"AAAAAGn391w=",0)</f>
        <v>#REF!</v>
      </c>
      <c r="CP18" t="e">
        <f>AND(#REF!,"AAAAAGn3910=")</f>
        <v>#REF!</v>
      </c>
      <c r="CQ18" t="e">
        <f>AND(#REF!,"AAAAAGn3914=")</f>
        <v>#REF!</v>
      </c>
      <c r="CR18" t="e">
        <f>AND(#REF!,"AAAAAGn3918=")</f>
        <v>#REF!</v>
      </c>
      <c r="CS18" t="e">
        <f>AND(#REF!,"AAAAAGn392A=")</f>
        <v>#REF!</v>
      </c>
      <c r="CT18" t="e">
        <f>AND(#REF!,"AAAAAGn392E=")</f>
        <v>#REF!</v>
      </c>
      <c r="CU18" t="e">
        <f>AND(#REF!,"AAAAAGn392I=")</f>
        <v>#REF!</v>
      </c>
      <c r="CV18" t="e">
        <f>AND(#REF!,"AAAAAGn392M=")</f>
        <v>#REF!</v>
      </c>
      <c r="CW18" t="e">
        <f>AND(#REF!,"AAAAAGn392Q=")</f>
        <v>#REF!</v>
      </c>
      <c r="CX18" t="e">
        <f>AND(#REF!,"AAAAAGn392U=")</f>
        <v>#REF!</v>
      </c>
      <c r="CY18" t="e">
        <f>IF(#REF!,"AAAAAGn392Y=",0)</f>
        <v>#REF!</v>
      </c>
      <c r="CZ18" t="e">
        <f>AND(#REF!,"AAAAAGn392c=")</f>
        <v>#REF!</v>
      </c>
      <c r="DA18" t="e">
        <f>AND(#REF!,"AAAAAGn392g=")</f>
        <v>#REF!</v>
      </c>
      <c r="DB18" t="e">
        <f>AND(#REF!,"AAAAAGn392k=")</f>
        <v>#REF!</v>
      </c>
      <c r="DC18" t="e">
        <f>AND(#REF!,"AAAAAGn392o=")</f>
        <v>#REF!</v>
      </c>
      <c r="DD18" t="e">
        <f>AND(#REF!,"AAAAAGn392s=")</f>
        <v>#REF!</v>
      </c>
      <c r="DE18" t="e">
        <f>AND(#REF!,"AAAAAGn392w=")</f>
        <v>#REF!</v>
      </c>
      <c r="DF18" t="e">
        <f>AND(#REF!,"AAAAAGn3920=")</f>
        <v>#REF!</v>
      </c>
      <c r="DG18" t="e">
        <f>AND(#REF!,"AAAAAGn3924=")</f>
        <v>#REF!</v>
      </c>
      <c r="DH18" t="e">
        <f>AND(#REF!,"AAAAAGn3928=")</f>
        <v>#REF!</v>
      </c>
      <c r="DI18" t="e">
        <f>IF(#REF!,"AAAAAGn393A=",0)</f>
        <v>#REF!</v>
      </c>
      <c r="DJ18" t="e">
        <f>AND(#REF!,"AAAAAGn393E=")</f>
        <v>#REF!</v>
      </c>
      <c r="DK18" t="e">
        <f>AND(#REF!,"AAAAAGn393I=")</f>
        <v>#REF!</v>
      </c>
      <c r="DL18" t="e">
        <f>AND(#REF!,"AAAAAGn393M=")</f>
        <v>#REF!</v>
      </c>
      <c r="DM18" t="e">
        <f>AND(#REF!,"AAAAAGn393Q=")</f>
        <v>#REF!</v>
      </c>
      <c r="DN18" t="e">
        <f>AND(#REF!,"AAAAAGn393U=")</f>
        <v>#REF!</v>
      </c>
      <c r="DO18" t="e">
        <f>AND(#REF!,"AAAAAGn393Y=")</f>
        <v>#REF!</v>
      </c>
      <c r="DP18" t="e">
        <f>AND(#REF!,"AAAAAGn393c=")</f>
        <v>#REF!</v>
      </c>
      <c r="DQ18" t="e">
        <f>AND(#REF!,"AAAAAGn393g=")</f>
        <v>#REF!</v>
      </c>
      <c r="DR18" t="e">
        <f>AND(#REF!,"AAAAAGn393k=")</f>
        <v>#REF!</v>
      </c>
      <c r="DS18" t="e">
        <f>IF(#REF!,"AAAAAGn393o=",0)</f>
        <v>#REF!</v>
      </c>
      <c r="DT18" t="e">
        <f>AND(#REF!,"AAAAAGn393s=")</f>
        <v>#REF!</v>
      </c>
      <c r="DU18" t="e">
        <f>AND(#REF!,"AAAAAGn393w=")</f>
        <v>#REF!</v>
      </c>
      <c r="DV18" t="e">
        <f>AND(#REF!,"AAAAAGn3930=")</f>
        <v>#REF!</v>
      </c>
      <c r="DW18" t="e">
        <f>AND(#REF!,"AAAAAGn3934=")</f>
        <v>#REF!</v>
      </c>
      <c r="DX18" t="e">
        <f>AND(#REF!,"AAAAAGn3938=")</f>
        <v>#REF!</v>
      </c>
      <c r="DY18" t="e">
        <f>AND(#REF!,"AAAAAGn394A=")</f>
        <v>#REF!</v>
      </c>
      <c r="DZ18" t="e">
        <f>AND(#REF!,"AAAAAGn394E=")</f>
        <v>#REF!</v>
      </c>
      <c r="EA18" t="e">
        <f>AND(#REF!,"AAAAAGn394I=")</f>
        <v>#REF!</v>
      </c>
      <c r="EB18" t="e">
        <f>AND(#REF!,"AAAAAGn394M=")</f>
        <v>#REF!</v>
      </c>
      <c r="EC18" t="e">
        <f>IF(#REF!,"AAAAAGn394Q=",0)</f>
        <v>#REF!</v>
      </c>
      <c r="ED18" t="e">
        <f>AND(#REF!,"AAAAAGn394U=")</f>
        <v>#REF!</v>
      </c>
      <c r="EE18" t="e">
        <f>AND(#REF!,"AAAAAGn394Y=")</f>
        <v>#REF!</v>
      </c>
      <c r="EF18" t="e">
        <f>AND(#REF!,"AAAAAGn394c=")</f>
        <v>#REF!</v>
      </c>
      <c r="EG18" t="e">
        <f>AND(#REF!,"AAAAAGn394g=")</f>
        <v>#REF!</v>
      </c>
      <c r="EH18" t="e">
        <f>AND(#REF!,"AAAAAGn394k=")</f>
        <v>#REF!</v>
      </c>
      <c r="EI18" t="e">
        <f>AND(#REF!,"AAAAAGn394o=")</f>
        <v>#REF!</v>
      </c>
      <c r="EJ18" t="e">
        <f>AND(#REF!,"AAAAAGn394s=")</f>
        <v>#REF!</v>
      </c>
      <c r="EK18" t="e">
        <f>AND(#REF!,"AAAAAGn394w=")</f>
        <v>#REF!</v>
      </c>
      <c r="EL18" t="e">
        <f>AND(#REF!,"AAAAAGn3940=")</f>
        <v>#REF!</v>
      </c>
      <c r="EM18" t="e">
        <f>IF(#REF!,"AAAAAGn3944=",0)</f>
        <v>#REF!</v>
      </c>
      <c r="EN18" t="e">
        <f>AND(#REF!,"AAAAAGn3948=")</f>
        <v>#REF!</v>
      </c>
      <c r="EO18" t="e">
        <f>AND(#REF!,"AAAAAGn395A=")</f>
        <v>#REF!</v>
      </c>
      <c r="EP18" t="e">
        <f>AND(#REF!,"AAAAAGn395E=")</f>
        <v>#REF!</v>
      </c>
      <c r="EQ18" t="e">
        <f>AND(#REF!,"AAAAAGn395I=")</f>
        <v>#REF!</v>
      </c>
      <c r="ER18" t="e">
        <f>AND(#REF!,"AAAAAGn395M=")</f>
        <v>#REF!</v>
      </c>
      <c r="ES18" t="e">
        <f>AND(#REF!,"AAAAAGn395Q=")</f>
        <v>#REF!</v>
      </c>
      <c r="ET18" t="e">
        <f>AND(#REF!,"AAAAAGn395U=")</f>
        <v>#REF!</v>
      </c>
      <c r="EU18" t="e">
        <f>AND(#REF!,"AAAAAGn395Y=")</f>
        <v>#REF!</v>
      </c>
      <c r="EV18" t="e">
        <f>AND(#REF!,"AAAAAGn395c=")</f>
        <v>#REF!</v>
      </c>
      <c r="EW18" t="e">
        <f>IF(#REF!,"AAAAAGn395g=",0)</f>
        <v>#REF!</v>
      </c>
      <c r="EX18" t="e">
        <f>AND(#REF!,"AAAAAGn395k=")</f>
        <v>#REF!</v>
      </c>
      <c r="EY18" t="e">
        <f>AND(#REF!,"AAAAAGn395o=")</f>
        <v>#REF!</v>
      </c>
      <c r="EZ18" t="e">
        <f>AND(#REF!,"AAAAAGn395s=")</f>
        <v>#REF!</v>
      </c>
      <c r="FA18" t="e">
        <f>AND(#REF!,"AAAAAGn395w=")</f>
        <v>#REF!</v>
      </c>
      <c r="FB18" t="e">
        <f>AND(#REF!,"AAAAAGn3950=")</f>
        <v>#REF!</v>
      </c>
      <c r="FC18" t="e">
        <f>AND(#REF!,"AAAAAGn3954=")</f>
        <v>#REF!</v>
      </c>
      <c r="FD18" t="e">
        <f>AND(#REF!,"AAAAAGn3958=")</f>
        <v>#REF!</v>
      </c>
      <c r="FE18" t="e">
        <f>AND(#REF!,"AAAAAGn396A=")</f>
        <v>#REF!</v>
      </c>
      <c r="FF18" t="e">
        <f>AND(#REF!,"AAAAAGn396E=")</f>
        <v>#REF!</v>
      </c>
      <c r="FG18" t="e">
        <f>IF(#REF!,"AAAAAGn396I=",0)</f>
        <v>#REF!</v>
      </c>
      <c r="FH18" t="e">
        <f>AND(#REF!,"AAAAAGn396M=")</f>
        <v>#REF!</v>
      </c>
      <c r="FI18" t="e">
        <f>AND(#REF!,"AAAAAGn396Q=")</f>
        <v>#REF!</v>
      </c>
      <c r="FJ18" t="e">
        <f>AND(#REF!,"AAAAAGn396U=")</f>
        <v>#REF!</v>
      </c>
      <c r="FK18" t="e">
        <f>AND(#REF!,"AAAAAGn396Y=")</f>
        <v>#REF!</v>
      </c>
      <c r="FL18" t="e">
        <f>AND(#REF!,"AAAAAGn396c=")</f>
        <v>#REF!</v>
      </c>
      <c r="FM18" t="e">
        <f>AND(#REF!,"AAAAAGn396g=")</f>
        <v>#REF!</v>
      </c>
      <c r="FN18" t="e">
        <f>AND(#REF!,"AAAAAGn396k=")</f>
        <v>#REF!</v>
      </c>
      <c r="FO18" t="e">
        <f>AND(#REF!,"AAAAAGn396o=")</f>
        <v>#REF!</v>
      </c>
      <c r="FP18" t="e">
        <f>AND(#REF!,"AAAAAGn396s=")</f>
        <v>#REF!</v>
      </c>
      <c r="FQ18" t="e">
        <f>IF(#REF!,"AAAAAGn396w=",0)</f>
        <v>#REF!</v>
      </c>
      <c r="FR18" t="e">
        <f>AND(#REF!,"AAAAAGn3960=")</f>
        <v>#REF!</v>
      </c>
      <c r="FS18" t="e">
        <f>AND(#REF!,"AAAAAGn3964=")</f>
        <v>#REF!</v>
      </c>
      <c r="FT18" t="e">
        <f>AND(#REF!,"AAAAAGn3968=")</f>
        <v>#REF!</v>
      </c>
      <c r="FU18" t="e">
        <f>AND(#REF!,"AAAAAGn397A=")</f>
        <v>#REF!</v>
      </c>
      <c r="FV18" t="e">
        <f>AND(#REF!,"AAAAAGn397E=")</f>
        <v>#REF!</v>
      </c>
      <c r="FW18" t="e">
        <f>AND(#REF!,"AAAAAGn397I=")</f>
        <v>#REF!</v>
      </c>
      <c r="FX18" t="e">
        <f>AND(#REF!,"AAAAAGn397M=")</f>
        <v>#REF!</v>
      </c>
      <c r="FY18" t="e">
        <f>AND(#REF!,"AAAAAGn397Q=")</f>
        <v>#REF!</v>
      </c>
      <c r="FZ18" t="e">
        <f>AND(#REF!,"AAAAAGn397U=")</f>
        <v>#REF!</v>
      </c>
      <c r="GA18" t="e">
        <f>IF(#REF!,"AAAAAGn397Y=",0)</f>
        <v>#REF!</v>
      </c>
      <c r="GB18" t="e">
        <f>AND(#REF!,"AAAAAGn397c=")</f>
        <v>#REF!</v>
      </c>
      <c r="GC18" t="e">
        <f>AND(#REF!,"AAAAAGn397g=")</f>
        <v>#REF!</v>
      </c>
      <c r="GD18" t="e">
        <f>AND(#REF!,"AAAAAGn397k=")</f>
        <v>#REF!</v>
      </c>
      <c r="GE18" t="e">
        <f>AND(#REF!,"AAAAAGn397o=")</f>
        <v>#REF!</v>
      </c>
      <c r="GF18" t="e">
        <f>AND(#REF!,"AAAAAGn397s=")</f>
        <v>#REF!</v>
      </c>
      <c r="GG18" t="e">
        <f>AND(#REF!,"AAAAAGn397w=")</f>
        <v>#REF!</v>
      </c>
      <c r="GH18" t="e">
        <f>AND(#REF!,"AAAAAGn3970=")</f>
        <v>#REF!</v>
      </c>
      <c r="GI18" t="e">
        <f>AND(#REF!,"AAAAAGn3974=")</f>
        <v>#REF!</v>
      </c>
      <c r="GJ18" t="e">
        <f>AND(#REF!,"AAAAAGn3978=")</f>
        <v>#REF!</v>
      </c>
      <c r="GK18" t="e">
        <f>IF(#REF!,"AAAAAGn398A=",0)</f>
        <v>#REF!</v>
      </c>
      <c r="GL18" t="e">
        <f>AND(#REF!,"AAAAAGn398E=")</f>
        <v>#REF!</v>
      </c>
      <c r="GM18" t="e">
        <f>AND(#REF!,"AAAAAGn398I=")</f>
        <v>#REF!</v>
      </c>
      <c r="GN18" t="e">
        <f>AND(#REF!,"AAAAAGn398M=")</f>
        <v>#REF!</v>
      </c>
      <c r="GO18" t="e">
        <f>AND(#REF!,"AAAAAGn398Q=")</f>
        <v>#REF!</v>
      </c>
      <c r="GP18" t="e">
        <f>AND(#REF!,"AAAAAGn398U=")</f>
        <v>#REF!</v>
      </c>
      <c r="GQ18" t="e">
        <f>AND(#REF!,"AAAAAGn398Y=")</f>
        <v>#REF!</v>
      </c>
      <c r="GR18" t="e">
        <f>AND(#REF!,"AAAAAGn398c=")</f>
        <v>#REF!</v>
      </c>
      <c r="GS18" t="e">
        <f>AND(#REF!,"AAAAAGn398g=")</f>
        <v>#REF!</v>
      </c>
      <c r="GT18" t="e">
        <f>AND(#REF!,"AAAAAGn398k=")</f>
        <v>#REF!</v>
      </c>
      <c r="GU18" t="e">
        <f>IF(#REF!,"AAAAAGn398o=",0)</f>
        <v>#REF!</v>
      </c>
      <c r="GV18" t="e">
        <f>AND(#REF!,"AAAAAGn398s=")</f>
        <v>#REF!</v>
      </c>
      <c r="GW18" t="e">
        <f>AND(#REF!,"AAAAAGn398w=")</f>
        <v>#REF!</v>
      </c>
      <c r="GX18" t="e">
        <f>AND(#REF!,"AAAAAGn3980=")</f>
        <v>#REF!</v>
      </c>
      <c r="GY18" t="e">
        <f>AND(#REF!,"AAAAAGn3984=")</f>
        <v>#REF!</v>
      </c>
      <c r="GZ18" t="e">
        <f>AND(#REF!,"AAAAAGn3988=")</f>
        <v>#REF!</v>
      </c>
      <c r="HA18" t="e">
        <f>AND(#REF!,"AAAAAGn399A=")</f>
        <v>#REF!</v>
      </c>
      <c r="HB18" t="e">
        <f>AND(#REF!,"AAAAAGn399E=")</f>
        <v>#REF!</v>
      </c>
      <c r="HC18" t="e">
        <f>AND(#REF!,"AAAAAGn399I=")</f>
        <v>#REF!</v>
      </c>
      <c r="HD18" t="e">
        <f>AND(#REF!,"AAAAAGn399M=")</f>
        <v>#REF!</v>
      </c>
      <c r="HE18" t="e">
        <f>IF(#REF!,"AAAAAGn399Q=",0)</f>
        <v>#REF!</v>
      </c>
      <c r="HF18" t="e">
        <f>AND(#REF!,"AAAAAGn399U=")</f>
        <v>#REF!</v>
      </c>
      <c r="HG18" t="e">
        <f>AND(#REF!,"AAAAAGn399Y=")</f>
        <v>#REF!</v>
      </c>
      <c r="HH18" t="e">
        <f>AND(#REF!,"AAAAAGn399c=")</f>
        <v>#REF!</v>
      </c>
      <c r="HI18" t="e">
        <f>AND(#REF!,"AAAAAGn399g=")</f>
        <v>#REF!</v>
      </c>
      <c r="HJ18" t="e">
        <f>AND(#REF!,"AAAAAGn399k=")</f>
        <v>#REF!</v>
      </c>
      <c r="HK18" t="e">
        <f>AND(#REF!,"AAAAAGn399o=")</f>
        <v>#REF!</v>
      </c>
      <c r="HL18" t="e">
        <f>AND(#REF!,"AAAAAGn399s=")</f>
        <v>#REF!</v>
      </c>
      <c r="HM18" t="e">
        <f>AND(#REF!,"AAAAAGn399w=")</f>
        <v>#REF!</v>
      </c>
      <c r="HN18" t="e">
        <f>AND(#REF!,"AAAAAGn3990=")</f>
        <v>#REF!</v>
      </c>
      <c r="HO18" t="e">
        <f>IF(#REF!,"AAAAAGn3994=",0)</f>
        <v>#REF!</v>
      </c>
      <c r="HP18" t="e">
        <f>AND(#REF!,"AAAAAGn3998=")</f>
        <v>#REF!</v>
      </c>
      <c r="HQ18" t="e">
        <f>AND(#REF!,"AAAAAGn39+A=")</f>
        <v>#REF!</v>
      </c>
      <c r="HR18" t="e">
        <f>AND(#REF!,"AAAAAGn39+E=")</f>
        <v>#REF!</v>
      </c>
      <c r="HS18" t="e">
        <f>AND(#REF!,"AAAAAGn39+I=")</f>
        <v>#REF!</v>
      </c>
      <c r="HT18" t="e">
        <f>AND(#REF!,"AAAAAGn39+M=")</f>
        <v>#REF!</v>
      </c>
      <c r="HU18" t="e">
        <f>AND(#REF!,"AAAAAGn39+Q=")</f>
        <v>#REF!</v>
      </c>
      <c r="HV18" t="e">
        <f>AND(#REF!,"AAAAAGn39+U=")</f>
        <v>#REF!</v>
      </c>
      <c r="HW18" t="e">
        <f>AND(#REF!,"AAAAAGn39+Y=")</f>
        <v>#REF!</v>
      </c>
      <c r="HX18" t="e">
        <f>AND(#REF!,"AAAAAGn39+c=")</f>
        <v>#REF!</v>
      </c>
      <c r="HY18" t="e">
        <f>IF(#REF!,"AAAAAGn39+g=",0)</f>
        <v>#REF!</v>
      </c>
      <c r="HZ18" t="e">
        <f>AND(#REF!,"AAAAAGn39+k=")</f>
        <v>#REF!</v>
      </c>
      <c r="IA18" t="e">
        <f>AND(#REF!,"AAAAAGn39+o=")</f>
        <v>#REF!</v>
      </c>
      <c r="IB18" t="e">
        <f>AND(#REF!,"AAAAAGn39+s=")</f>
        <v>#REF!</v>
      </c>
      <c r="IC18" t="e">
        <f>AND(#REF!,"AAAAAGn39+w=")</f>
        <v>#REF!</v>
      </c>
      <c r="ID18" t="e">
        <f>AND(#REF!,"AAAAAGn39+0=")</f>
        <v>#REF!</v>
      </c>
      <c r="IE18" t="e">
        <f>AND(#REF!,"AAAAAGn39+4=")</f>
        <v>#REF!</v>
      </c>
      <c r="IF18" t="e">
        <f>AND(#REF!,"AAAAAGn39+8=")</f>
        <v>#REF!</v>
      </c>
      <c r="IG18" t="e">
        <f>AND(#REF!,"AAAAAGn39/A=")</f>
        <v>#REF!</v>
      </c>
      <c r="IH18" t="e">
        <f>AND(#REF!,"AAAAAGn39/E=")</f>
        <v>#REF!</v>
      </c>
      <c r="II18" t="e">
        <f>IF(#REF!,"AAAAAGn39/I=",0)</f>
        <v>#REF!</v>
      </c>
      <c r="IJ18" t="e">
        <f>AND(#REF!,"AAAAAGn39/M=")</f>
        <v>#REF!</v>
      </c>
      <c r="IK18" t="e">
        <f>AND(#REF!,"AAAAAGn39/Q=")</f>
        <v>#REF!</v>
      </c>
      <c r="IL18" t="e">
        <f>AND(#REF!,"AAAAAGn39/U=")</f>
        <v>#REF!</v>
      </c>
      <c r="IM18" t="e">
        <f>AND(#REF!,"AAAAAGn39/Y=")</f>
        <v>#REF!</v>
      </c>
      <c r="IN18" t="e">
        <f>AND(#REF!,"AAAAAGn39/c=")</f>
        <v>#REF!</v>
      </c>
      <c r="IO18" t="e">
        <f>AND(#REF!,"AAAAAGn39/g=")</f>
        <v>#REF!</v>
      </c>
      <c r="IP18" t="e">
        <f>AND(#REF!,"AAAAAGn39/k=")</f>
        <v>#REF!</v>
      </c>
      <c r="IQ18" t="e">
        <f>AND(#REF!,"AAAAAGn39/o=")</f>
        <v>#REF!</v>
      </c>
      <c r="IR18" t="e">
        <f>AND(#REF!,"AAAAAGn39/s=")</f>
        <v>#REF!</v>
      </c>
      <c r="IS18" t="e">
        <f>IF(#REF!,"AAAAAGn39/w=",0)</f>
        <v>#REF!</v>
      </c>
      <c r="IT18" t="e">
        <f>AND(#REF!,"AAAAAGn39/0=")</f>
        <v>#REF!</v>
      </c>
      <c r="IU18" t="e">
        <f>AND(#REF!,"AAAAAGn39/4=")</f>
        <v>#REF!</v>
      </c>
      <c r="IV18" t="e">
        <f>AND(#REF!,"AAAAAGn39/8=")</f>
        <v>#REF!</v>
      </c>
    </row>
    <row r="19" spans="1:256">
      <c r="A19" t="e">
        <f>AND(#REF!,"AAAAAGvfegA=")</f>
        <v>#REF!</v>
      </c>
      <c r="B19" t="e">
        <f>AND(#REF!,"AAAAAGvfegE=")</f>
        <v>#REF!</v>
      </c>
      <c r="C19" t="e">
        <f>AND(#REF!,"AAAAAGvfegI=")</f>
        <v>#REF!</v>
      </c>
      <c r="D19" t="e">
        <f>AND(#REF!,"AAAAAGvfegM=")</f>
        <v>#REF!</v>
      </c>
      <c r="E19" t="e">
        <f>AND(#REF!,"AAAAAGvfegQ=")</f>
        <v>#REF!</v>
      </c>
      <c r="F19" t="e">
        <f>AND(#REF!,"AAAAAGvfegU=")</f>
        <v>#REF!</v>
      </c>
      <c r="G19" t="e">
        <f>IF(#REF!,"AAAAAGvfegY=",0)</f>
        <v>#REF!</v>
      </c>
      <c r="H19" t="e">
        <f>AND(#REF!,"AAAAAGvfegc=")</f>
        <v>#REF!</v>
      </c>
      <c r="I19" t="e">
        <f>AND(#REF!,"AAAAAGvfegg=")</f>
        <v>#REF!</v>
      </c>
      <c r="J19" t="e">
        <f>AND(#REF!,"AAAAAGvfegk=")</f>
        <v>#REF!</v>
      </c>
      <c r="K19" t="e">
        <f>AND(#REF!,"AAAAAGvfego=")</f>
        <v>#REF!</v>
      </c>
      <c r="L19" t="e">
        <f>AND(#REF!,"AAAAAGvfegs=")</f>
        <v>#REF!</v>
      </c>
      <c r="M19" t="e">
        <f>AND(#REF!,"AAAAAGvfegw=")</f>
        <v>#REF!</v>
      </c>
      <c r="N19" t="e">
        <f>AND(#REF!,"AAAAAGvfeg0=")</f>
        <v>#REF!</v>
      </c>
      <c r="O19" t="e">
        <f>AND(#REF!,"AAAAAGvfeg4=")</f>
        <v>#REF!</v>
      </c>
      <c r="P19" t="e">
        <f>AND(#REF!,"AAAAAGvfeg8=")</f>
        <v>#REF!</v>
      </c>
      <c r="Q19" t="e">
        <f>IF(#REF!,"AAAAAGvfehA=",0)</f>
        <v>#REF!</v>
      </c>
      <c r="R19" t="e">
        <f>AND(#REF!,"AAAAAGvfehE=")</f>
        <v>#REF!</v>
      </c>
      <c r="S19" t="e">
        <f>AND(#REF!,"AAAAAGvfehI=")</f>
        <v>#REF!</v>
      </c>
      <c r="T19" t="e">
        <f>AND(#REF!,"AAAAAGvfehM=")</f>
        <v>#REF!</v>
      </c>
      <c r="U19" t="e">
        <f>AND(#REF!,"AAAAAGvfehQ=")</f>
        <v>#REF!</v>
      </c>
      <c r="V19" t="e">
        <f>AND(#REF!,"AAAAAGvfehU=")</f>
        <v>#REF!</v>
      </c>
      <c r="W19" t="e">
        <f>AND(#REF!,"AAAAAGvfehY=")</f>
        <v>#REF!</v>
      </c>
      <c r="X19" t="e">
        <f>AND(#REF!,"AAAAAGvfehc=")</f>
        <v>#REF!</v>
      </c>
      <c r="Y19" t="e">
        <f>AND(#REF!,"AAAAAGvfehg=")</f>
        <v>#REF!</v>
      </c>
      <c r="Z19" t="e">
        <f>AND(#REF!,"AAAAAGvfehk=")</f>
        <v>#REF!</v>
      </c>
      <c r="AA19" t="e">
        <f>IF(#REF!,"AAAAAGvfeho=",0)</f>
        <v>#REF!</v>
      </c>
      <c r="AB19" t="e">
        <f>AND(#REF!,"AAAAAGvfehs=")</f>
        <v>#REF!</v>
      </c>
      <c r="AC19" t="e">
        <f>AND(#REF!,"AAAAAGvfehw=")</f>
        <v>#REF!</v>
      </c>
      <c r="AD19" t="e">
        <f>AND(#REF!,"AAAAAGvfeh0=")</f>
        <v>#REF!</v>
      </c>
      <c r="AE19" t="e">
        <f>AND(#REF!,"AAAAAGvfeh4=")</f>
        <v>#REF!</v>
      </c>
      <c r="AF19" t="e">
        <f>AND(#REF!,"AAAAAGvfeh8=")</f>
        <v>#REF!</v>
      </c>
      <c r="AG19" t="e">
        <f>AND(#REF!,"AAAAAGvfeiA=")</f>
        <v>#REF!</v>
      </c>
      <c r="AH19" t="e">
        <f>AND(#REF!,"AAAAAGvfeiE=")</f>
        <v>#REF!</v>
      </c>
      <c r="AI19" t="e">
        <f>AND(#REF!,"AAAAAGvfeiI=")</f>
        <v>#REF!</v>
      </c>
      <c r="AJ19" t="e">
        <f>AND(#REF!,"AAAAAGvfeiM=")</f>
        <v>#REF!</v>
      </c>
      <c r="AK19" t="e">
        <f>IF(#REF!,"AAAAAGvfeiQ=",0)</f>
        <v>#REF!</v>
      </c>
      <c r="AL19" t="e">
        <f>AND(#REF!,"AAAAAGvfeiU=")</f>
        <v>#REF!</v>
      </c>
      <c r="AM19" t="e">
        <f>AND(#REF!,"AAAAAGvfeiY=")</f>
        <v>#REF!</v>
      </c>
      <c r="AN19" t="e">
        <f>AND(#REF!,"AAAAAGvfeic=")</f>
        <v>#REF!</v>
      </c>
      <c r="AO19" t="e">
        <f>AND(#REF!,"AAAAAGvfeig=")</f>
        <v>#REF!</v>
      </c>
      <c r="AP19" t="e">
        <f>AND(#REF!,"AAAAAGvfeik=")</f>
        <v>#REF!</v>
      </c>
      <c r="AQ19" t="e">
        <f>AND(#REF!,"AAAAAGvfeio=")</f>
        <v>#REF!</v>
      </c>
      <c r="AR19" t="e">
        <f>AND(#REF!,"AAAAAGvfeis=")</f>
        <v>#REF!</v>
      </c>
      <c r="AS19" t="e">
        <f>AND(#REF!,"AAAAAGvfeiw=")</f>
        <v>#REF!</v>
      </c>
      <c r="AT19" t="e">
        <f>AND(#REF!,"AAAAAGvfei0=")</f>
        <v>#REF!</v>
      </c>
      <c r="AU19" t="e">
        <f>IF(#REF!,"AAAAAGvfei4=",0)</f>
        <v>#REF!</v>
      </c>
      <c r="AV19" t="e">
        <f>AND(#REF!,"AAAAAGvfei8=")</f>
        <v>#REF!</v>
      </c>
      <c r="AW19" t="e">
        <f>AND(#REF!,"AAAAAGvfejA=")</f>
        <v>#REF!</v>
      </c>
      <c r="AX19" t="e">
        <f>AND(#REF!,"AAAAAGvfejE=")</f>
        <v>#REF!</v>
      </c>
      <c r="AY19" t="e">
        <f>AND(#REF!,"AAAAAGvfejI=")</f>
        <v>#REF!</v>
      </c>
      <c r="AZ19" t="e">
        <f>AND(#REF!,"AAAAAGvfejM=")</f>
        <v>#REF!</v>
      </c>
      <c r="BA19" t="e">
        <f>AND(#REF!,"AAAAAGvfejQ=")</f>
        <v>#REF!</v>
      </c>
      <c r="BB19" t="e">
        <f>AND(#REF!,"AAAAAGvfejU=")</f>
        <v>#REF!</v>
      </c>
      <c r="BC19" t="e">
        <f>AND(#REF!,"AAAAAGvfejY=")</f>
        <v>#REF!</v>
      </c>
      <c r="BD19" t="e">
        <f>AND(#REF!,"AAAAAGvfejc=")</f>
        <v>#REF!</v>
      </c>
      <c r="BE19" t="e">
        <f>IF(#REF!,"AAAAAGvfejg=",0)</f>
        <v>#REF!</v>
      </c>
      <c r="BF19" t="e">
        <f>AND(#REF!,"AAAAAGvfejk=")</f>
        <v>#REF!</v>
      </c>
      <c r="BG19" t="e">
        <f>AND(#REF!,"AAAAAGvfejo=")</f>
        <v>#REF!</v>
      </c>
      <c r="BH19" t="e">
        <f>AND(#REF!,"AAAAAGvfejs=")</f>
        <v>#REF!</v>
      </c>
      <c r="BI19" t="e">
        <f>AND(#REF!,"AAAAAGvfejw=")</f>
        <v>#REF!</v>
      </c>
      <c r="BJ19" t="e">
        <f>AND(#REF!,"AAAAAGvfej0=")</f>
        <v>#REF!</v>
      </c>
      <c r="BK19" t="e">
        <f>AND(#REF!,"AAAAAGvfej4=")</f>
        <v>#REF!</v>
      </c>
      <c r="BL19" t="e">
        <f>AND(#REF!,"AAAAAGvfej8=")</f>
        <v>#REF!</v>
      </c>
      <c r="BM19" t="e">
        <f>AND(#REF!,"AAAAAGvfekA=")</f>
        <v>#REF!</v>
      </c>
      <c r="BN19" t="e">
        <f>AND(#REF!,"AAAAAGvfekE=")</f>
        <v>#REF!</v>
      </c>
      <c r="BO19" t="e">
        <f>IF(#REF!,"AAAAAGvfekI=",0)</f>
        <v>#REF!</v>
      </c>
      <c r="BP19" t="e">
        <f>AND(#REF!,"AAAAAGvfekM=")</f>
        <v>#REF!</v>
      </c>
      <c r="BQ19" t="e">
        <f>AND(#REF!,"AAAAAGvfekQ=")</f>
        <v>#REF!</v>
      </c>
      <c r="BR19" t="e">
        <f>AND(#REF!,"AAAAAGvfekU=")</f>
        <v>#REF!</v>
      </c>
      <c r="BS19" t="e">
        <f>AND(#REF!,"AAAAAGvfekY=")</f>
        <v>#REF!</v>
      </c>
      <c r="BT19" t="e">
        <f>AND(#REF!,"AAAAAGvfekc=")</f>
        <v>#REF!</v>
      </c>
      <c r="BU19" t="e">
        <f>AND(#REF!,"AAAAAGvfekg=")</f>
        <v>#REF!</v>
      </c>
      <c r="BV19" t="e">
        <f>AND(#REF!,"AAAAAGvfekk=")</f>
        <v>#REF!</v>
      </c>
      <c r="BW19" t="e">
        <f>AND(#REF!,"AAAAAGvfeko=")</f>
        <v>#REF!</v>
      </c>
      <c r="BX19" t="e">
        <f>AND(#REF!,"AAAAAGvfeks=")</f>
        <v>#REF!</v>
      </c>
      <c r="BY19" t="e">
        <f>IF(#REF!,"AAAAAGvfekw=",0)</f>
        <v>#REF!</v>
      </c>
      <c r="BZ19" t="e">
        <f>AND(#REF!,"AAAAAGvfek0=")</f>
        <v>#REF!</v>
      </c>
      <c r="CA19" t="e">
        <f>AND(#REF!,"AAAAAGvfek4=")</f>
        <v>#REF!</v>
      </c>
      <c r="CB19" t="e">
        <f>AND(#REF!,"AAAAAGvfek8=")</f>
        <v>#REF!</v>
      </c>
      <c r="CC19" t="e">
        <f>AND(#REF!,"AAAAAGvfelA=")</f>
        <v>#REF!</v>
      </c>
      <c r="CD19" t="e">
        <f>AND(#REF!,"AAAAAGvfelE=")</f>
        <v>#REF!</v>
      </c>
      <c r="CE19" t="e">
        <f>AND(#REF!,"AAAAAGvfelI=")</f>
        <v>#REF!</v>
      </c>
      <c r="CF19" t="e">
        <f>AND(#REF!,"AAAAAGvfelM=")</f>
        <v>#REF!</v>
      </c>
      <c r="CG19" t="e">
        <f>AND(#REF!,"AAAAAGvfelQ=")</f>
        <v>#REF!</v>
      </c>
      <c r="CH19" t="e">
        <f>AND(#REF!,"AAAAAGvfelU=")</f>
        <v>#REF!</v>
      </c>
      <c r="CI19" t="e">
        <f>IF(#REF!,"AAAAAGvfelY=",0)</f>
        <v>#REF!</v>
      </c>
      <c r="CJ19" t="e">
        <f>AND(#REF!,"AAAAAGvfelc=")</f>
        <v>#REF!</v>
      </c>
      <c r="CK19" t="e">
        <f>AND(#REF!,"AAAAAGvfelg=")</f>
        <v>#REF!</v>
      </c>
      <c r="CL19" t="e">
        <f>AND(#REF!,"AAAAAGvfelk=")</f>
        <v>#REF!</v>
      </c>
      <c r="CM19" t="e">
        <f>AND(#REF!,"AAAAAGvfelo=")</f>
        <v>#REF!</v>
      </c>
      <c r="CN19" t="e">
        <f>AND(#REF!,"AAAAAGvfels=")</f>
        <v>#REF!</v>
      </c>
      <c r="CO19" t="e">
        <f>AND(#REF!,"AAAAAGvfelw=")</f>
        <v>#REF!</v>
      </c>
      <c r="CP19" t="e">
        <f>AND(#REF!,"AAAAAGvfel0=")</f>
        <v>#REF!</v>
      </c>
      <c r="CQ19" t="e">
        <f>AND(#REF!,"AAAAAGvfel4=")</f>
        <v>#REF!</v>
      </c>
      <c r="CR19" t="e">
        <f>AND(#REF!,"AAAAAGvfel8=")</f>
        <v>#REF!</v>
      </c>
      <c r="CS19" t="e">
        <f>IF(#REF!,"AAAAAGvfemA=",0)</f>
        <v>#REF!</v>
      </c>
      <c r="CT19" t="e">
        <f>AND(#REF!,"AAAAAGvfemE=")</f>
        <v>#REF!</v>
      </c>
      <c r="CU19" t="e">
        <f>AND(#REF!,"AAAAAGvfemI=")</f>
        <v>#REF!</v>
      </c>
      <c r="CV19" t="e">
        <f>AND(#REF!,"AAAAAGvfemM=")</f>
        <v>#REF!</v>
      </c>
      <c r="CW19" t="e">
        <f>AND(#REF!,"AAAAAGvfemQ=")</f>
        <v>#REF!</v>
      </c>
      <c r="CX19" t="e">
        <f>AND(#REF!,"AAAAAGvfemU=")</f>
        <v>#REF!</v>
      </c>
      <c r="CY19" t="e">
        <f>AND(#REF!,"AAAAAGvfemY=")</f>
        <v>#REF!</v>
      </c>
      <c r="CZ19" t="e">
        <f>AND(#REF!,"AAAAAGvfemc=")</f>
        <v>#REF!</v>
      </c>
      <c r="DA19" t="e">
        <f>AND(#REF!,"AAAAAGvfemg=")</f>
        <v>#REF!</v>
      </c>
      <c r="DB19" t="e">
        <f>AND(#REF!,"AAAAAGvfemk=")</f>
        <v>#REF!</v>
      </c>
      <c r="DC19" t="e">
        <f>IF(#REF!,"AAAAAGvfemo=",0)</f>
        <v>#REF!</v>
      </c>
      <c r="DD19" t="e">
        <f>AND(#REF!,"AAAAAGvfems=")</f>
        <v>#REF!</v>
      </c>
      <c r="DE19" t="e">
        <f>AND(#REF!,"AAAAAGvfemw=")</f>
        <v>#REF!</v>
      </c>
      <c r="DF19" t="e">
        <f>AND(#REF!,"AAAAAGvfem0=")</f>
        <v>#REF!</v>
      </c>
      <c r="DG19" t="e">
        <f>AND(#REF!,"AAAAAGvfem4=")</f>
        <v>#REF!</v>
      </c>
      <c r="DH19" t="e">
        <f>AND(#REF!,"AAAAAGvfem8=")</f>
        <v>#REF!</v>
      </c>
      <c r="DI19" t="e">
        <f>AND(#REF!,"AAAAAGvfenA=")</f>
        <v>#REF!</v>
      </c>
      <c r="DJ19" t="e">
        <f>AND(#REF!,"AAAAAGvfenE=")</f>
        <v>#REF!</v>
      </c>
      <c r="DK19" t="e">
        <f>AND(#REF!,"AAAAAGvfenI=")</f>
        <v>#REF!</v>
      </c>
      <c r="DL19" t="e">
        <f>AND(#REF!,"AAAAAGvfenM=")</f>
        <v>#REF!</v>
      </c>
      <c r="DM19" t="e">
        <f>IF(#REF!,"AAAAAGvfenQ=",0)</f>
        <v>#REF!</v>
      </c>
      <c r="DN19" t="e">
        <f>AND(#REF!,"AAAAAGvfenU=")</f>
        <v>#REF!</v>
      </c>
      <c r="DO19" t="e">
        <f>AND(#REF!,"AAAAAGvfenY=")</f>
        <v>#REF!</v>
      </c>
      <c r="DP19" t="e">
        <f>AND(#REF!,"AAAAAGvfenc=")</f>
        <v>#REF!</v>
      </c>
      <c r="DQ19" t="e">
        <f>AND(#REF!,"AAAAAGvfeng=")</f>
        <v>#REF!</v>
      </c>
      <c r="DR19" t="e">
        <f>AND(#REF!,"AAAAAGvfenk=")</f>
        <v>#REF!</v>
      </c>
      <c r="DS19" t="e">
        <f>AND(#REF!,"AAAAAGvfeno=")</f>
        <v>#REF!</v>
      </c>
      <c r="DT19" t="e">
        <f>AND(#REF!,"AAAAAGvfens=")</f>
        <v>#REF!</v>
      </c>
      <c r="DU19" t="e">
        <f>AND(#REF!,"AAAAAGvfenw=")</f>
        <v>#REF!</v>
      </c>
      <c r="DV19" t="e">
        <f>AND(#REF!,"AAAAAGvfen0=")</f>
        <v>#REF!</v>
      </c>
      <c r="DW19" t="e">
        <f>IF(#REF!,"AAAAAGvfen4=",0)</f>
        <v>#REF!</v>
      </c>
      <c r="DX19" t="e">
        <f>AND(#REF!,"AAAAAGvfen8=")</f>
        <v>#REF!</v>
      </c>
      <c r="DY19" t="e">
        <f>AND(#REF!,"AAAAAGvfeoA=")</f>
        <v>#REF!</v>
      </c>
      <c r="DZ19" t="e">
        <f>AND(#REF!,"AAAAAGvfeoE=")</f>
        <v>#REF!</v>
      </c>
      <c r="EA19" t="e">
        <f>AND(#REF!,"AAAAAGvfeoI=")</f>
        <v>#REF!</v>
      </c>
      <c r="EB19" t="e">
        <f>AND(#REF!,"AAAAAGvfeoM=")</f>
        <v>#REF!</v>
      </c>
      <c r="EC19" t="e">
        <f>AND(#REF!,"AAAAAGvfeoQ=")</f>
        <v>#REF!</v>
      </c>
      <c r="ED19" t="e">
        <f>AND(#REF!,"AAAAAGvfeoU=")</f>
        <v>#REF!</v>
      </c>
      <c r="EE19" t="e">
        <f>AND(#REF!,"AAAAAGvfeoY=")</f>
        <v>#REF!</v>
      </c>
      <c r="EF19" t="e">
        <f>AND(#REF!,"AAAAAGvfeoc=")</f>
        <v>#REF!</v>
      </c>
      <c r="EG19" t="e">
        <f>IF(#REF!,"AAAAAGvfeog=",0)</f>
        <v>#REF!</v>
      </c>
      <c r="EH19" t="e">
        <f>AND(#REF!,"AAAAAGvfeok=")</f>
        <v>#REF!</v>
      </c>
      <c r="EI19" t="e">
        <f>AND(#REF!,"AAAAAGvfeoo=")</f>
        <v>#REF!</v>
      </c>
      <c r="EJ19" t="e">
        <f>AND(#REF!,"AAAAAGvfeos=")</f>
        <v>#REF!</v>
      </c>
      <c r="EK19" t="e">
        <f>AND(#REF!,"AAAAAGvfeow=")</f>
        <v>#REF!</v>
      </c>
      <c r="EL19" t="e">
        <f>AND(#REF!,"AAAAAGvfeo0=")</f>
        <v>#REF!</v>
      </c>
      <c r="EM19" t="e">
        <f>AND(#REF!,"AAAAAGvfeo4=")</f>
        <v>#REF!</v>
      </c>
      <c r="EN19" t="e">
        <f>AND(#REF!,"AAAAAGvfeo8=")</f>
        <v>#REF!</v>
      </c>
      <c r="EO19" t="e">
        <f>AND(#REF!,"AAAAAGvfepA=")</f>
        <v>#REF!</v>
      </c>
      <c r="EP19" t="e">
        <f>AND(#REF!,"AAAAAGvfepE=")</f>
        <v>#REF!</v>
      </c>
      <c r="EQ19" t="e">
        <f>IF(#REF!,"AAAAAGvfepI=",0)</f>
        <v>#REF!</v>
      </c>
      <c r="ER19" t="e">
        <f>AND(#REF!,"AAAAAGvfepM=")</f>
        <v>#REF!</v>
      </c>
      <c r="ES19" t="e">
        <f>AND(#REF!,"AAAAAGvfepQ=")</f>
        <v>#REF!</v>
      </c>
      <c r="ET19" t="e">
        <f>AND(#REF!,"AAAAAGvfepU=")</f>
        <v>#REF!</v>
      </c>
      <c r="EU19" t="e">
        <f>AND(#REF!,"AAAAAGvfepY=")</f>
        <v>#REF!</v>
      </c>
      <c r="EV19" t="e">
        <f>AND(#REF!,"AAAAAGvfepc=")</f>
        <v>#REF!</v>
      </c>
      <c r="EW19" t="e">
        <f>AND(#REF!,"AAAAAGvfepg=")</f>
        <v>#REF!</v>
      </c>
      <c r="EX19" t="e">
        <f>AND(#REF!,"AAAAAGvfepk=")</f>
        <v>#REF!</v>
      </c>
      <c r="EY19" t="e">
        <f>AND(#REF!,"AAAAAGvfepo=")</f>
        <v>#REF!</v>
      </c>
      <c r="EZ19" t="e">
        <f>AND(#REF!,"AAAAAGvfeps=")</f>
        <v>#REF!</v>
      </c>
      <c r="FA19" t="e">
        <f>IF(#REF!,"AAAAAGvfepw=",0)</f>
        <v>#REF!</v>
      </c>
      <c r="FB19" t="e">
        <f>AND(#REF!,"AAAAAGvfep0=")</f>
        <v>#REF!</v>
      </c>
      <c r="FC19" t="e">
        <f>AND(#REF!,"AAAAAGvfep4=")</f>
        <v>#REF!</v>
      </c>
      <c r="FD19" t="e">
        <f>AND(#REF!,"AAAAAGvfep8=")</f>
        <v>#REF!</v>
      </c>
      <c r="FE19" t="e">
        <f>AND(#REF!,"AAAAAGvfeqA=")</f>
        <v>#REF!</v>
      </c>
      <c r="FF19" t="e">
        <f>AND(#REF!,"AAAAAGvfeqE=")</f>
        <v>#REF!</v>
      </c>
      <c r="FG19" t="e">
        <f>AND(#REF!,"AAAAAGvfeqI=")</f>
        <v>#REF!</v>
      </c>
      <c r="FH19" t="e">
        <f>AND(#REF!,"AAAAAGvfeqM=")</f>
        <v>#REF!</v>
      </c>
      <c r="FI19" t="e">
        <f>AND(#REF!,"AAAAAGvfeqQ=")</f>
        <v>#REF!</v>
      </c>
      <c r="FJ19" t="e">
        <f>AND(#REF!,"AAAAAGvfeqU=")</f>
        <v>#REF!</v>
      </c>
      <c r="FK19" t="e">
        <f>IF(#REF!,"AAAAAGvfeqY=",0)</f>
        <v>#REF!</v>
      </c>
      <c r="FL19" t="e">
        <f>AND(#REF!,"AAAAAGvfeqc=")</f>
        <v>#REF!</v>
      </c>
      <c r="FM19" t="e">
        <f>AND(#REF!,"AAAAAGvfeqg=")</f>
        <v>#REF!</v>
      </c>
      <c r="FN19" t="e">
        <f>AND(#REF!,"AAAAAGvfeqk=")</f>
        <v>#REF!</v>
      </c>
      <c r="FO19" t="e">
        <f>AND(#REF!,"AAAAAGvfeqo=")</f>
        <v>#REF!</v>
      </c>
      <c r="FP19" t="e">
        <f>AND(#REF!,"AAAAAGvfeqs=")</f>
        <v>#REF!</v>
      </c>
      <c r="FQ19" t="e">
        <f>AND(#REF!,"AAAAAGvfeqw=")</f>
        <v>#REF!</v>
      </c>
      <c r="FR19" t="e">
        <f>AND(#REF!,"AAAAAGvfeq0=")</f>
        <v>#REF!</v>
      </c>
      <c r="FS19" t="e">
        <f>AND(#REF!,"AAAAAGvfeq4=")</f>
        <v>#REF!</v>
      </c>
      <c r="FT19" t="e">
        <f>AND(#REF!,"AAAAAGvfeq8=")</f>
        <v>#REF!</v>
      </c>
      <c r="FU19" t="e">
        <f>IF(#REF!,"AAAAAGvferA=",0)</f>
        <v>#REF!</v>
      </c>
      <c r="FV19" t="e">
        <f>AND(#REF!,"AAAAAGvferE=")</f>
        <v>#REF!</v>
      </c>
      <c r="FW19" t="e">
        <f>AND(#REF!,"AAAAAGvferI=")</f>
        <v>#REF!</v>
      </c>
      <c r="FX19" t="e">
        <f>AND(#REF!,"AAAAAGvferM=")</f>
        <v>#REF!</v>
      </c>
      <c r="FY19" t="e">
        <f>AND(#REF!,"AAAAAGvferQ=")</f>
        <v>#REF!</v>
      </c>
      <c r="FZ19" t="e">
        <f>AND(#REF!,"AAAAAGvferU=")</f>
        <v>#REF!</v>
      </c>
      <c r="GA19" t="e">
        <f>AND(#REF!,"AAAAAGvferY=")</f>
        <v>#REF!</v>
      </c>
      <c r="GB19" t="e">
        <f>AND(#REF!,"AAAAAGvferc=")</f>
        <v>#REF!</v>
      </c>
      <c r="GC19" t="e">
        <f>AND(#REF!,"AAAAAGvferg=")</f>
        <v>#REF!</v>
      </c>
      <c r="GD19" t="e">
        <f>AND(#REF!,"AAAAAGvferk=")</f>
        <v>#REF!</v>
      </c>
      <c r="GE19" t="e">
        <f>IF(#REF!,"AAAAAGvfero=",0)</f>
        <v>#REF!</v>
      </c>
      <c r="GF19" t="e">
        <f>AND(#REF!,"AAAAAGvfers=")</f>
        <v>#REF!</v>
      </c>
      <c r="GG19" t="e">
        <f>AND(#REF!,"AAAAAGvferw=")</f>
        <v>#REF!</v>
      </c>
      <c r="GH19" t="e">
        <f>AND(#REF!,"AAAAAGvfer0=")</f>
        <v>#REF!</v>
      </c>
      <c r="GI19" t="e">
        <f>AND(#REF!,"AAAAAGvfer4=")</f>
        <v>#REF!</v>
      </c>
      <c r="GJ19" t="e">
        <f>AND(#REF!,"AAAAAGvfer8=")</f>
        <v>#REF!</v>
      </c>
      <c r="GK19" t="e">
        <f>AND(#REF!,"AAAAAGvfesA=")</f>
        <v>#REF!</v>
      </c>
      <c r="GL19" t="e">
        <f>AND(#REF!,"AAAAAGvfesE=")</f>
        <v>#REF!</v>
      </c>
      <c r="GM19" t="e">
        <f>AND(#REF!,"AAAAAGvfesI=")</f>
        <v>#REF!</v>
      </c>
      <c r="GN19" t="e">
        <f>AND(#REF!,"AAAAAGvfesM=")</f>
        <v>#REF!</v>
      </c>
      <c r="GO19" t="e">
        <f>IF(#REF!,"AAAAAGvfesQ=",0)</f>
        <v>#REF!</v>
      </c>
      <c r="GP19" t="e">
        <f>AND(#REF!,"AAAAAGvfesU=")</f>
        <v>#REF!</v>
      </c>
      <c r="GQ19" t="e">
        <f>AND(#REF!,"AAAAAGvfesY=")</f>
        <v>#REF!</v>
      </c>
      <c r="GR19" t="e">
        <f>AND(#REF!,"AAAAAGvfesc=")</f>
        <v>#REF!</v>
      </c>
      <c r="GS19" t="e">
        <f>AND(#REF!,"AAAAAGvfesg=")</f>
        <v>#REF!</v>
      </c>
      <c r="GT19" t="e">
        <f>AND(#REF!,"AAAAAGvfesk=")</f>
        <v>#REF!</v>
      </c>
      <c r="GU19" t="e">
        <f>AND(#REF!,"AAAAAGvfeso=")</f>
        <v>#REF!</v>
      </c>
      <c r="GV19" t="e">
        <f>AND(#REF!,"AAAAAGvfess=")</f>
        <v>#REF!</v>
      </c>
      <c r="GW19" t="e">
        <f>AND(#REF!,"AAAAAGvfesw=")</f>
        <v>#REF!</v>
      </c>
      <c r="GX19" t="e">
        <f>AND(#REF!,"AAAAAGvfes0=")</f>
        <v>#REF!</v>
      </c>
      <c r="GY19" t="e">
        <f>IF(#REF!,"AAAAAGvfes4=",0)</f>
        <v>#REF!</v>
      </c>
      <c r="GZ19" t="e">
        <f>AND(#REF!,"AAAAAGvfes8=")</f>
        <v>#REF!</v>
      </c>
      <c r="HA19" t="e">
        <f>AND(#REF!,"AAAAAGvfetA=")</f>
        <v>#REF!</v>
      </c>
      <c r="HB19" t="e">
        <f>AND(#REF!,"AAAAAGvfetE=")</f>
        <v>#REF!</v>
      </c>
      <c r="HC19" t="e">
        <f>AND(#REF!,"AAAAAGvfetI=")</f>
        <v>#REF!</v>
      </c>
      <c r="HD19" t="e">
        <f>AND(#REF!,"AAAAAGvfetM=")</f>
        <v>#REF!</v>
      </c>
      <c r="HE19" t="e">
        <f>AND(#REF!,"AAAAAGvfetQ=")</f>
        <v>#REF!</v>
      </c>
      <c r="HF19" t="e">
        <f>AND(#REF!,"AAAAAGvfetU=")</f>
        <v>#REF!</v>
      </c>
      <c r="HG19" t="e">
        <f>AND(#REF!,"AAAAAGvfetY=")</f>
        <v>#REF!</v>
      </c>
      <c r="HH19" t="e">
        <f>AND(#REF!,"AAAAAGvfetc=")</f>
        <v>#REF!</v>
      </c>
      <c r="HI19" t="e">
        <f>IF(#REF!,"AAAAAGvfetg=",0)</f>
        <v>#REF!</v>
      </c>
      <c r="HJ19" t="e">
        <f>AND(#REF!,"AAAAAGvfetk=")</f>
        <v>#REF!</v>
      </c>
      <c r="HK19" t="e">
        <f>AND(#REF!,"AAAAAGvfeto=")</f>
        <v>#REF!</v>
      </c>
      <c r="HL19" t="e">
        <f>AND(#REF!,"AAAAAGvfets=")</f>
        <v>#REF!</v>
      </c>
      <c r="HM19" t="e">
        <f>AND(#REF!,"AAAAAGvfetw=")</f>
        <v>#REF!</v>
      </c>
      <c r="HN19" t="e">
        <f>AND(#REF!,"AAAAAGvfet0=")</f>
        <v>#REF!</v>
      </c>
      <c r="HO19" t="e">
        <f>AND(#REF!,"AAAAAGvfet4=")</f>
        <v>#REF!</v>
      </c>
      <c r="HP19" t="e">
        <f>AND(#REF!,"AAAAAGvfet8=")</f>
        <v>#REF!</v>
      </c>
      <c r="HQ19" t="e">
        <f>AND(#REF!,"AAAAAGvfeuA=")</f>
        <v>#REF!</v>
      </c>
      <c r="HR19" t="e">
        <f>AND(#REF!,"AAAAAGvfeuE=")</f>
        <v>#REF!</v>
      </c>
      <c r="HS19" t="e">
        <f>IF(#REF!,"AAAAAGvfeuI=",0)</f>
        <v>#REF!</v>
      </c>
      <c r="HT19" t="e">
        <f>AND(#REF!,"AAAAAGvfeuM=")</f>
        <v>#REF!</v>
      </c>
      <c r="HU19" t="e">
        <f>AND(#REF!,"AAAAAGvfeuQ=")</f>
        <v>#REF!</v>
      </c>
      <c r="HV19" t="e">
        <f>AND(#REF!,"AAAAAGvfeuU=")</f>
        <v>#REF!</v>
      </c>
      <c r="HW19" t="e">
        <f>AND(#REF!,"AAAAAGvfeuY=")</f>
        <v>#REF!</v>
      </c>
      <c r="HX19" t="e">
        <f>AND(#REF!,"AAAAAGvfeuc=")</f>
        <v>#REF!</v>
      </c>
      <c r="HY19" t="e">
        <f>AND(#REF!,"AAAAAGvfeug=")</f>
        <v>#REF!</v>
      </c>
      <c r="HZ19" t="e">
        <f>AND(#REF!,"AAAAAGvfeuk=")</f>
        <v>#REF!</v>
      </c>
      <c r="IA19" t="e">
        <f>AND(#REF!,"AAAAAGvfeuo=")</f>
        <v>#REF!</v>
      </c>
      <c r="IB19" t="e">
        <f>AND(#REF!,"AAAAAGvfeus=")</f>
        <v>#REF!</v>
      </c>
      <c r="IC19" t="e">
        <f>IF(#REF!,"AAAAAGvfeuw=",0)</f>
        <v>#REF!</v>
      </c>
      <c r="ID19" t="e">
        <f>AND(#REF!,"AAAAAGvfeu0=")</f>
        <v>#REF!</v>
      </c>
      <c r="IE19" t="e">
        <f>AND(#REF!,"AAAAAGvfeu4=")</f>
        <v>#REF!</v>
      </c>
      <c r="IF19" t="e">
        <f>AND(#REF!,"AAAAAGvfeu8=")</f>
        <v>#REF!</v>
      </c>
      <c r="IG19" t="e">
        <f>AND(#REF!,"AAAAAGvfevA=")</f>
        <v>#REF!</v>
      </c>
      <c r="IH19" t="e">
        <f>AND(#REF!,"AAAAAGvfevE=")</f>
        <v>#REF!</v>
      </c>
      <c r="II19" t="e">
        <f>AND(#REF!,"AAAAAGvfevI=")</f>
        <v>#REF!</v>
      </c>
      <c r="IJ19" t="e">
        <f>AND(#REF!,"AAAAAGvfevM=")</f>
        <v>#REF!</v>
      </c>
      <c r="IK19" t="e">
        <f>AND(#REF!,"AAAAAGvfevQ=")</f>
        <v>#REF!</v>
      </c>
      <c r="IL19" t="e">
        <f>AND(#REF!,"AAAAAGvfevU=")</f>
        <v>#REF!</v>
      </c>
      <c r="IM19" t="e">
        <f>IF(#REF!,"AAAAAGvfevY=",0)</f>
        <v>#REF!</v>
      </c>
      <c r="IN19" t="e">
        <f>AND(#REF!,"AAAAAGvfevc=")</f>
        <v>#REF!</v>
      </c>
      <c r="IO19" t="e">
        <f>AND(#REF!,"AAAAAGvfevg=")</f>
        <v>#REF!</v>
      </c>
      <c r="IP19" t="e">
        <f>AND(#REF!,"AAAAAGvfevk=")</f>
        <v>#REF!</v>
      </c>
      <c r="IQ19" t="e">
        <f>AND(#REF!,"AAAAAGvfevo=")</f>
        <v>#REF!</v>
      </c>
      <c r="IR19" t="e">
        <f>AND(#REF!,"AAAAAGvfevs=")</f>
        <v>#REF!</v>
      </c>
      <c r="IS19" t="e">
        <f>AND(#REF!,"AAAAAGvfevw=")</f>
        <v>#REF!</v>
      </c>
      <c r="IT19" t="e">
        <f>AND(#REF!,"AAAAAGvfev0=")</f>
        <v>#REF!</v>
      </c>
      <c r="IU19" t="e">
        <f>AND(#REF!,"AAAAAGvfev4=")</f>
        <v>#REF!</v>
      </c>
      <c r="IV19" t="e">
        <f>AND(#REF!,"AAAAAGvfev8=")</f>
        <v>#REF!</v>
      </c>
    </row>
    <row r="20" spans="1:256">
      <c r="A20" t="e">
        <f>IF(#REF!,"AAAAADP7rQA=",0)</f>
        <v>#REF!</v>
      </c>
      <c r="B20" t="e">
        <f>AND(#REF!,"AAAAADP7rQE=")</f>
        <v>#REF!</v>
      </c>
      <c r="C20" t="e">
        <f>AND(#REF!,"AAAAADP7rQI=")</f>
        <v>#REF!</v>
      </c>
      <c r="D20" t="e">
        <f>AND(#REF!,"AAAAADP7rQM=")</f>
        <v>#REF!</v>
      </c>
      <c r="E20" t="e">
        <f>AND(#REF!,"AAAAADP7rQQ=")</f>
        <v>#REF!</v>
      </c>
      <c r="F20" t="e">
        <f>AND(#REF!,"AAAAADP7rQU=")</f>
        <v>#REF!</v>
      </c>
      <c r="G20" t="e">
        <f>AND(#REF!,"AAAAADP7rQY=")</f>
        <v>#REF!</v>
      </c>
      <c r="H20" t="e">
        <f>AND(#REF!,"AAAAADP7rQc=")</f>
        <v>#REF!</v>
      </c>
      <c r="I20" t="e">
        <f>AND(#REF!,"AAAAADP7rQg=")</f>
        <v>#REF!</v>
      </c>
      <c r="J20" t="e">
        <f>AND(#REF!,"AAAAADP7rQk=")</f>
        <v>#REF!</v>
      </c>
      <c r="K20" t="e">
        <f>IF(#REF!,"AAAAADP7rQo=",0)</f>
        <v>#REF!</v>
      </c>
      <c r="L20" t="e">
        <f>AND(#REF!,"AAAAADP7rQs=")</f>
        <v>#REF!</v>
      </c>
      <c r="M20" t="e">
        <f>AND(#REF!,"AAAAADP7rQw=")</f>
        <v>#REF!</v>
      </c>
      <c r="N20" t="e">
        <f>AND(#REF!,"AAAAADP7rQ0=")</f>
        <v>#REF!</v>
      </c>
      <c r="O20" t="e">
        <f>AND(#REF!,"AAAAADP7rQ4=")</f>
        <v>#REF!</v>
      </c>
      <c r="P20" t="e">
        <f>AND(#REF!,"AAAAADP7rQ8=")</f>
        <v>#REF!</v>
      </c>
      <c r="Q20" t="e">
        <f>AND(#REF!,"AAAAADP7rRA=")</f>
        <v>#REF!</v>
      </c>
      <c r="R20" t="e">
        <f>AND(#REF!,"AAAAADP7rRE=")</f>
        <v>#REF!</v>
      </c>
      <c r="S20" t="e">
        <f>AND(#REF!,"AAAAADP7rRI=")</f>
        <v>#REF!</v>
      </c>
      <c r="T20" t="e">
        <f>AND(#REF!,"AAAAADP7rRM=")</f>
        <v>#REF!</v>
      </c>
      <c r="U20" t="e">
        <f>IF(#REF!,"AAAAADP7rRQ=",0)</f>
        <v>#REF!</v>
      </c>
      <c r="V20" t="e">
        <f>AND(#REF!,"AAAAADP7rRU=")</f>
        <v>#REF!</v>
      </c>
      <c r="W20" t="e">
        <f>AND(#REF!,"AAAAADP7rRY=")</f>
        <v>#REF!</v>
      </c>
      <c r="X20" t="e">
        <f>AND(#REF!,"AAAAADP7rRc=")</f>
        <v>#REF!</v>
      </c>
      <c r="Y20" t="e">
        <f>AND(#REF!,"AAAAADP7rRg=")</f>
        <v>#REF!</v>
      </c>
      <c r="Z20" t="e">
        <f>AND(#REF!,"AAAAADP7rRk=")</f>
        <v>#REF!</v>
      </c>
      <c r="AA20" t="e">
        <f>AND(#REF!,"AAAAADP7rRo=")</f>
        <v>#REF!</v>
      </c>
      <c r="AB20" t="e">
        <f>AND(#REF!,"AAAAADP7rRs=")</f>
        <v>#REF!</v>
      </c>
      <c r="AC20" t="e">
        <f>AND(#REF!,"AAAAADP7rRw=")</f>
        <v>#REF!</v>
      </c>
      <c r="AD20" t="e">
        <f>AND(#REF!,"AAAAADP7rR0=")</f>
        <v>#REF!</v>
      </c>
      <c r="AE20" t="e">
        <f>IF(#REF!,"AAAAADP7rR4=",0)</f>
        <v>#REF!</v>
      </c>
      <c r="AF20" t="e">
        <f>AND(#REF!,"AAAAADP7rR8=")</f>
        <v>#REF!</v>
      </c>
      <c r="AG20" t="e">
        <f>AND(#REF!,"AAAAADP7rSA=")</f>
        <v>#REF!</v>
      </c>
      <c r="AH20" t="e">
        <f>AND(#REF!,"AAAAADP7rSE=")</f>
        <v>#REF!</v>
      </c>
      <c r="AI20" t="e">
        <f>AND(#REF!,"AAAAADP7rSI=")</f>
        <v>#REF!</v>
      </c>
      <c r="AJ20" t="e">
        <f>AND(#REF!,"AAAAADP7rSM=")</f>
        <v>#REF!</v>
      </c>
      <c r="AK20" t="e">
        <f>AND(#REF!,"AAAAADP7rSQ=")</f>
        <v>#REF!</v>
      </c>
      <c r="AL20" t="e">
        <f>AND(#REF!,"AAAAADP7rSU=")</f>
        <v>#REF!</v>
      </c>
      <c r="AM20" t="e">
        <f>AND(#REF!,"AAAAADP7rSY=")</f>
        <v>#REF!</v>
      </c>
      <c r="AN20" t="e">
        <f>AND(#REF!,"AAAAADP7rSc=")</f>
        <v>#REF!</v>
      </c>
      <c r="AO20" t="e">
        <f>IF(#REF!,"AAAAADP7rSg=",0)</f>
        <v>#REF!</v>
      </c>
      <c r="AP20" t="e">
        <f>AND(#REF!,"AAAAADP7rSk=")</f>
        <v>#REF!</v>
      </c>
      <c r="AQ20" t="e">
        <f>AND(#REF!,"AAAAADP7rSo=")</f>
        <v>#REF!</v>
      </c>
      <c r="AR20" t="e">
        <f>AND(#REF!,"AAAAADP7rSs=")</f>
        <v>#REF!</v>
      </c>
      <c r="AS20" t="e">
        <f>AND(#REF!,"AAAAADP7rSw=")</f>
        <v>#REF!</v>
      </c>
      <c r="AT20" t="e">
        <f>AND(#REF!,"AAAAADP7rS0=")</f>
        <v>#REF!</v>
      </c>
      <c r="AU20" t="e">
        <f>AND(#REF!,"AAAAADP7rS4=")</f>
        <v>#REF!</v>
      </c>
      <c r="AV20" t="e">
        <f>AND(#REF!,"AAAAADP7rS8=")</f>
        <v>#REF!</v>
      </c>
      <c r="AW20" t="e">
        <f>AND(#REF!,"AAAAADP7rTA=")</f>
        <v>#REF!</v>
      </c>
      <c r="AX20" t="e">
        <f>AND(#REF!,"AAAAADP7rTE=")</f>
        <v>#REF!</v>
      </c>
      <c r="AY20" t="e">
        <f>IF(#REF!,"AAAAADP7rTI=",0)</f>
        <v>#REF!</v>
      </c>
      <c r="AZ20" t="e">
        <f>AND(#REF!,"AAAAADP7rTM=")</f>
        <v>#REF!</v>
      </c>
      <c r="BA20" t="e">
        <f>AND(#REF!,"AAAAADP7rTQ=")</f>
        <v>#REF!</v>
      </c>
      <c r="BB20" t="e">
        <f>AND(#REF!,"AAAAADP7rTU=")</f>
        <v>#REF!</v>
      </c>
      <c r="BC20" t="e">
        <f>AND(#REF!,"AAAAADP7rTY=")</f>
        <v>#REF!</v>
      </c>
      <c r="BD20" t="e">
        <f>AND(#REF!,"AAAAADP7rTc=")</f>
        <v>#REF!</v>
      </c>
      <c r="BE20" t="e">
        <f>AND(#REF!,"AAAAADP7rTg=")</f>
        <v>#REF!</v>
      </c>
      <c r="BF20" t="e">
        <f>AND(#REF!,"AAAAADP7rTk=")</f>
        <v>#REF!</v>
      </c>
      <c r="BG20" t="e">
        <f>AND(#REF!,"AAAAADP7rTo=")</f>
        <v>#REF!</v>
      </c>
      <c r="BH20" t="e">
        <f>AND(#REF!,"AAAAADP7rTs=")</f>
        <v>#REF!</v>
      </c>
      <c r="BI20" t="e">
        <f>IF(#REF!,"AAAAADP7rTw=",0)</f>
        <v>#REF!</v>
      </c>
      <c r="BJ20" t="e">
        <f>AND(#REF!,"AAAAADP7rT0=")</f>
        <v>#REF!</v>
      </c>
      <c r="BK20" t="e">
        <f>AND(#REF!,"AAAAADP7rT4=")</f>
        <v>#REF!</v>
      </c>
      <c r="BL20" t="e">
        <f>AND(#REF!,"AAAAADP7rT8=")</f>
        <v>#REF!</v>
      </c>
      <c r="BM20" t="e">
        <f>AND(#REF!,"AAAAADP7rUA=")</f>
        <v>#REF!</v>
      </c>
      <c r="BN20" t="e">
        <f>AND(#REF!,"AAAAADP7rUE=")</f>
        <v>#REF!</v>
      </c>
      <c r="BO20" t="e">
        <f>AND(#REF!,"AAAAADP7rUI=")</f>
        <v>#REF!</v>
      </c>
      <c r="BP20" t="e">
        <f>AND(#REF!,"AAAAADP7rUM=")</f>
        <v>#REF!</v>
      </c>
      <c r="BQ20" t="e">
        <f>AND(#REF!,"AAAAADP7rUQ=")</f>
        <v>#REF!</v>
      </c>
      <c r="BR20" t="e">
        <f>AND(#REF!,"AAAAADP7rUU=")</f>
        <v>#REF!</v>
      </c>
      <c r="BS20" t="e">
        <f>IF(#REF!,"AAAAADP7rUY=",0)</f>
        <v>#REF!</v>
      </c>
      <c r="BT20" t="e">
        <f>AND(#REF!,"AAAAADP7rUc=")</f>
        <v>#REF!</v>
      </c>
      <c r="BU20" t="e">
        <f>AND(#REF!,"AAAAADP7rUg=")</f>
        <v>#REF!</v>
      </c>
      <c r="BV20" t="e">
        <f>AND(#REF!,"AAAAADP7rUk=")</f>
        <v>#REF!</v>
      </c>
      <c r="BW20" t="e">
        <f>AND(#REF!,"AAAAADP7rUo=")</f>
        <v>#REF!</v>
      </c>
      <c r="BX20" t="e">
        <f>AND(#REF!,"AAAAADP7rUs=")</f>
        <v>#REF!</v>
      </c>
      <c r="BY20" t="e">
        <f>AND(#REF!,"AAAAADP7rUw=")</f>
        <v>#REF!</v>
      </c>
      <c r="BZ20" t="e">
        <f>AND(#REF!,"AAAAADP7rU0=")</f>
        <v>#REF!</v>
      </c>
      <c r="CA20" t="e">
        <f>AND(#REF!,"AAAAADP7rU4=")</f>
        <v>#REF!</v>
      </c>
      <c r="CB20" t="e">
        <f>AND(#REF!,"AAAAADP7rU8=")</f>
        <v>#REF!</v>
      </c>
      <c r="CC20" t="e">
        <f>IF(#REF!,"AAAAADP7rVA=",0)</f>
        <v>#REF!</v>
      </c>
      <c r="CD20" t="e">
        <f>AND(#REF!,"AAAAADP7rVE=")</f>
        <v>#REF!</v>
      </c>
      <c r="CE20" t="e">
        <f>AND(#REF!,"AAAAADP7rVI=")</f>
        <v>#REF!</v>
      </c>
      <c r="CF20" t="e">
        <f>AND(#REF!,"AAAAADP7rVM=")</f>
        <v>#REF!</v>
      </c>
      <c r="CG20" t="e">
        <f>AND(#REF!,"AAAAADP7rVQ=")</f>
        <v>#REF!</v>
      </c>
      <c r="CH20" t="e">
        <f>AND(#REF!,"AAAAADP7rVU=")</f>
        <v>#REF!</v>
      </c>
      <c r="CI20" t="e">
        <f>AND(#REF!,"AAAAADP7rVY=")</f>
        <v>#REF!</v>
      </c>
      <c r="CJ20" t="e">
        <f>AND(#REF!,"AAAAADP7rVc=")</f>
        <v>#REF!</v>
      </c>
      <c r="CK20" t="e">
        <f>AND(#REF!,"AAAAADP7rVg=")</f>
        <v>#REF!</v>
      </c>
      <c r="CL20" t="e">
        <f>AND(#REF!,"AAAAADP7rVk=")</f>
        <v>#REF!</v>
      </c>
      <c r="CM20" t="e">
        <f>IF(#REF!,"AAAAADP7rVo=",0)</f>
        <v>#REF!</v>
      </c>
      <c r="CN20" t="e">
        <f>AND(#REF!,"AAAAADP7rVs=")</f>
        <v>#REF!</v>
      </c>
      <c r="CO20" t="e">
        <f>AND(#REF!,"AAAAADP7rVw=")</f>
        <v>#REF!</v>
      </c>
      <c r="CP20" t="e">
        <f>AND(#REF!,"AAAAADP7rV0=")</f>
        <v>#REF!</v>
      </c>
      <c r="CQ20" t="e">
        <f>AND(#REF!,"AAAAADP7rV4=")</f>
        <v>#REF!</v>
      </c>
      <c r="CR20" t="e">
        <f>AND(#REF!,"AAAAADP7rV8=")</f>
        <v>#REF!</v>
      </c>
      <c r="CS20" t="e">
        <f>AND(#REF!,"AAAAADP7rWA=")</f>
        <v>#REF!</v>
      </c>
      <c r="CT20" t="e">
        <f>AND(#REF!,"AAAAADP7rWE=")</f>
        <v>#REF!</v>
      </c>
      <c r="CU20" t="e">
        <f>AND(#REF!,"AAAAADP7rWI=")</f>
        <v>#REF!</v>
      </c>
      <c r="CV20" t="e">
        <f>AND(#REF!,"AAAAADP7rWM=")</f>
        <v>#REF!</v>
      </c>
      <c r="CW20" t="e">
        <f>IF(#REF!,"AAAAADP7rWQ=",0)</f>
        <v>#REF!</v>
      </c>
      <c r="CX20" t="e">
        <f>AND(#REF!,"AAAAADP7rWU=")</f>
        <v>#REF!</v>
      </c>
      <c r="CY20" t="e">
        <f>AND(#REF!,"AAAAADP7rWY=")</f>
        <v>#REF!</v>
      </c>
      <c r="CZ20" t="e">
        <f>AND(#REF!,"AAAAADP7rWc=")</f>
        <v>#REF!</v>
      </c>
      <c r="DA20" t="e">
        <f>AND(#REF!,"AAAAADP7rWg=")</f>
        <v>#REF!</v>
      </c>
      <c r="DB20" t="e">
        <f>AND(#REF!,"AAAAADP7rWk=")</f>
        <v>#REF!</v>
      </c>
      <c r="DC20" t="e">
        <f>AND(#REF!,"AAAAADP7rWo=")</f>
        <v>#REF!</v>
      </c>
      <c r="DD20" t="e">
        <f>AND(#REF!,"AAAAADP7rWs=")</f>
        <v>#REF!</v>
      </c>
      <c r="DE20" t="e">
        <f>AND(#REF!,"AAAAADP7rWw=")</f>
        <v>#REF!</v>
      </c>
      <c r="DF20" t="e">
        <f>AND(#REF!,"AAAAADP7rW0=")</f>
        <v>#REF!</v>
      </c>
      <c r="DG20" t="e">
        <f>IF(#REF!,"AAAAADP7rW4=",0)</f>
        <v>#REF!</v>
      </c>
      <c r="DH20" t="e">
        <f>AND(#REF!,"AAAAADP7rW8=")</f>
        <v>#REF!</v>
      </c>
      <c r="DI20" t="e">
        <f>AND(#REF!,"AAAAADP7rXA=")</f>
        <v>#REF!</v>
      </c>
      <c r="DJ20" t="e">
        <f>AND(#REF!,"AAAAADP7rXE=")</f>
        <v>#REF!</v>
      </c>
      <c r="DK20" t="e">
        <f>AND(#REF!,"AAAAADP7rXI=")</f>
        <v>#REF!</v>
      </c>
      <c r="DL20" t="e">
        <f>AND(#REF!,"AAAAADP7rXM=")</f>
        <v>#REF!</v>
      </c>
      <c r="DM20" t="e">
        <f>AND(#REF!,"AAAAADP7rXQ=")</f>
        <v>#REF!</v>
      </c>
      <c r="DN20" t="e">
        <f>AND(#REF!,"AAAAADP7rXU=")</f>
        <v>#REF!</v>
      </c>
      <c r="DO20" t="e">
        <f>AND(#REF!,"AAAAADP7rXY=")</f>
        <v>#REF!</v>
      </c>
      <c r="DP20" t="e">
        <f>AND(#REF!,"AAAAADP7rXc=")</f>
        <v>#REF!</v>
      </c>
      <c r="DQ20" t="e">
        <f>IF(#REF!,"AAAAADP7rXg=",0)</f>
        <v>#REF!</v>
      </c>
      <c r="DR20" t="e">
        <f>AND(#REF!,"AAAAADP7rXk=")</f>
        <v>#REF!</v>
      </c>
      <c r="DS20" t="e">
        <f>AND(#REF!,"AAAAADP7rXo=")</f>
        <v>#REF!</v>
      </c>
      <c r="DT20" t="e">
        <f>AND(#REF!,"AAAAADP7rXs=")</f>
        <v>#REF!</v>
      </c>
      <c r="DU20" t="e">
        <f>AND(#REF!,"AAAAADP7rXw=")</f>
        <v>#REF!</v>
      </c>
      <c r="DV20" t="e">
        <f>AND(#REF!,"AAAAADP7rX0=")</f>
        <v>#REF!</v>
      </c>
      <c r="DW20" t="e">
        <f>AND(#REF!,"AAAAADP7rX4=")</f>
        <v>#REF!</v>
      </c>
      <c r="DX20" t="e">
        <f>AND(#REF!,"AAAAADP7rX8=")</f>
        <v>#REF!</v>
      </c>
      <c r="DY20" t="e">
        <f>AND(#REF!,"AAAAADP7rYA=")</f>
        <v>#REF!</v>
      </c>
      <c r="DZ20" t="e">
        <f>AND(#REF!,"AAAAADP7rYE=")</f>
        <v>#REF!</v>
      </c>
      <c r="EA20" t="e">
        <f>IF(#REF!,"AAAAADP7rYI=",0)</f>
        <v>#REF!</v>
      </c>
      <c r="EB20" t="e">
        <f>AND(#REF!,"AAAAADP7rYM=")</f>
        <v>#REF!</v>
      </c>
      <c r="EC20" t="e">
        <f>AND(#REF!,"AAAAADP7rYQ=")</f>
        <v>#REF!</v>
      </c>
      <c r="ED20" t="e">
        <f>AND(#REF!,"AAAAADP7rYU=")</f>
        <v>#REF!</v>
      </c>
      <c r="EE20" t="e">
        <f>AND(#REF!,"AAAAADP7rYY=")</f>
        <v>#REF!</v>
      </c>
      <c r="EF20" t="e">
        <f>AND(#REF!,"AAAAADP7rYc=")</f>
        <v>#REF!</v>
      </c>
      <c r="EG20" t="e">
        <f>AND(#REF!,"AAAAADP7rYg=")</f>
        <v>#REF!</v>
      </c>
      <c r="EH20" t="e">
        <f>AND(#REF!,"AAAAADP7rYk=")</f>
        <v>#REF!</v>
      </c>
      <c r="EI20" t="e">
        <f>AND(#REF!,"AAAAADP7rYo=")</f>
        <v>#REF!</v>
      </c>
      <c r="EJ20" t="e">
        <f>AND(#REF!,"AAAAADP7rYs=")</f>
        <v>#REF!</v>
      </c>
      <c r="EK20" t="e">
        <f>IF(#REF!,"AAAAADP7rYw=",0)</f>
        <v>#REF!</v>
      </c>
      <c r="EL20" t="e">
        <f>AND(#REF!,"AAAAADP7rY0=")</f>
        <v>#REF!</v>
      </c>
      <c r="EM20" t="e">
        <f>AND(#REF!,"AAAAADP7rY4=")</f>
        <v>#REF!</v>
      </c>
      <c r="EN20" t="e">
        <f>AND(#REF!,"AAAAADP7rY8=")</f>
        <v>#REF!</v>
      </c>
      <c r="EO20" t="e">
        <f>AND(#REF!,"AAAAADP7rZA=")</f>
        <v>#REF!</v>
      </c>
      <c r="EP20" t="e">
        <f>AND(#REF!,"AAAAADP7rZE=")</f>
        <v>#REF!</v>
      </c>
      <c r="EQ20" t="e">
        <f>AND(#REF!,"AAAAADP7rZI=")</f>
        <v>#REF!</v>
      </c>
      <c r="ER20" t="e">
        <f>AND(#REF!,"AAAAADP7rZM=")</f>
        <v>#REF!</v>
      </c>
      <c r="ES20" t="e">
        <f>AND(#REF!,"AAAAADP7rZQ=")</f>
        <v>#REF!</v>
      </c>
      <c r="ET20" t="e">
        <f>AND(#REF!,"AAAAADP7rZU=")</f>
        <v>#REF!</v>
      </c>
      <c r="EU20" t="e">
        <f>IF(#REF!,"AAAAADP7rZY=",0)</f>
        <v>#REF!</v>
      </c>
      <c r="EV20" t="e">
        <f>AND(#REF!,"AAAAADP7rZc=")</f>
        <v>#REF!</v>
      </c>
      <c r="EW20" t="e">
        <f>AND(#REF!,"AAAAADP7rZg=")</f>
        <v>#REF!</v>
      </c>
      <c r="EX20" t="e">
        <f>AND(#REF!,"AAAAADP7rZk=")</f>
        <v>#REF!</v>
      </c>
      <c r="EY20" t="e">
        <f>AND(#REF!,"AAAAADP7rZo=")</f>
        <v>#REF!</v>
      </c>
      <c r="EZ20" t="e">
        <f>AND(#REF!,"AAAAADP7rZs=")</f>
        <v>#REF!</v>
      </c>
      <c r="FA20" t="e">
        <f>AND(#REF!,"AAAAADP7rZw=")</f>
        <v>#REF!</v>
      </c>
      <c r="FB20" t="e">
        <f>AND(#REF!,"AAAAADP7rZ0=")</f>
        <v>#REF!</v>
      </c>
      <c r="FC20" t="e">
        <f>AND(#REF!,"AAAAADP7rZ4=")</f>
        <v>#REF!</v>
      </c>
      <c r="FD20" t="e">
        <f>AND(#REF!,"AAAAADP7rZ8=")</f>
        <v>#REF!</v>
      </c>
      <c r="FE20" t="e">
        <f>IF(#REF!,"AAAAADP7raA=",0)</f>
        <v>#REF!</v>
      </c>
      <c r="FF20" t="e">
        <f>AND(#REF!,"AAAAADP7raE=")</f>
        <v>#REF!</v>
      </c>
      <c r="FG20" t="e">
        <f>AND(#REF!,"AAAAADP7raI=")</f>
        <v>#REF!</v>
      </c>
      <c r="FH20" t="e">
        <f>AND(#REF!,"AAAAADP7raM=")</f>
        <v>#REF!</v>
      </c>
      <c r="FI20" t="e">
        <f>AND(#REF!,"AAAAADP7raQ=")</f>
        <v>#REF!</v>
      </c>
      <c r="FJ20" t="e">
        <f>AND(#REF!,"AAAAADP7raU=")</f>
        <v>#REF!</v>
      </c>
      <c r="FK20" t="e">
        <f>AND(#REF!,"AAAAADP7raY=")</f>
        <v>#REF!</v>
      </c>
      <c r="FL20" t="e">
        <f>AND(#REF!,"AAAAADP7rac=")</f>
        <v>#REF!</v>
      </c>
      <c r="FM20" t="e">
        <f>AND(#REF!,"AAAAADP7rag=")</f>
        <v>#REF!</v>
      </c>
      <c r="FN20" t="e">
        <f>AND(#REF!,"AAAAADP7rak=")</f>
        <v>#REF!</v>
      </c>
      <c r="FO20" t="e">
        <f>IF(#REF!,"AAAAADP7rao=",0)</f>
        <v>#REF!</v>
      </c>
      <c r="FP20" t="e">
        <f>AND(#REF!,"AAAAADP7ras=")</f>
        <v>#REF!</v>
      </c>
      <c r="FQ20" t="e">
        <f>AND(#REF!,"AAAAADP7raw=")</f>
        <v>#REF!</v>
      </c>
      <c r="FR20" t="e">
        <f>AND(#REF!,"AAAAADP7ra0=")</f>
        <v>#REF!</v>
      </c>
      <c r="FS20" t="e">
        <f>AND(#REF!,"AAAAADP7ra4=")</f>
        <v>#REF!</v>
      </c>
      <c r="FT20" t="e">
        <f>AND(#REF!,"AAAAADP7ra8=")</f>
        <v>#REF!</v>
      </c>
      <c r="FU20" t="e">
        <f>AND(#REF!,"AAAAADP7rbA=")</f>
        <v>#REF!</v>
      </c>
      <c r="FV20" t="e">
        <f>AND(#REF!,"AAAAADP7rbE=")</f>
        <v>#REF!</v>
      </c>
      <c r="FW20" t="e">
        <f>AND(#REF!,"AAAAADP7rbI=")</f>
        <v>#REF!</v>
      </c>
      <c r="FX20" t="e">
        <f>AND(#REF!,"AAAAADP7rbM=")</f>
        <v>#REF!</v>
      </c>
      <c r="FY20" t="e">
        <f>IF(#REF!,"AAAAADP7rbQ=",0)</f>
        <v>#REF!</v>
      </c>
      <c r="FZ20" t="e">
        <f>AND(#REF!,"AAAAADP7rbU=")</f>
        <v>#REF!</v>
      </c>
      <c r="GA20" t="e">
        <f>AND(#REF!,"AAAAADP7rbY=")</f>
        <v>#REF!</v>
      </c>
      <c r="GB20" t="e">
        <f>AND(#REF!,"AAAAADP7rbc=")</f>
        <v>#REF!</v>
      </c>
      <c r="GC20" t="e">
        <f>AND(#REF!,"AAAAADP7rbg=")</f>
        <v>#REF!</v>
      </c>
      <c r="GD20" t="e">
        <f>AND(#REF!,"AAAAADP7rbk=")</f>
        <v>#REF!</v>
      </c>
      <c r="GE20" t="e">
        <f>AND(#REF!,"AAAAADP7rbo=")</f>
        <v>#REF!</v>
      </c>
      <c r="GF20" t="e">
        <f>AND(#REF!,"AAAAADP7rbs=")</f>
        <v>#REF!</v>
      </c>
      <c r="GG20" t="e">
        <f>AND(#REF!,"AAAAADP7rbw=")</f>
        <v>#REF!</v>
      </c>
      <c r="GH20" t="e">
        <f>AND(#REF!,"AAAAADP7rb0=")</f>
        <v>#REF!</v>
      </c>
      <c r="GI20" t="e">
        <f>IF(#REF!,"AAAAADP7rb4=",0)</f>
        <v>#REF!</v>
      </c>
      <c r="GJ20" t="e">
        <f>AND(#REF!,"AAAAADP7rb8=")</f>
        <v>#REF!</v>
      </c>
      <c r="GK20" t="e">
        <f>AND(#REF!,"AAAAADP7rcA=")</f>
        <v>#REF!</v>
      </c>
      <c r="GL20" t="e">
        <f>AND(#REF!,"AAAAADP7rcE=")</f>
        <v>#REF!</v>
      </c>
      <c r="GM20" t="e">
        <f>AND(#REF!,"AAAAADP7rcI=")</f>
        <v>#REF!</v>
      </c>
      <c r="GN20" t="e">
        <f>AND(#REF!,"AAAAADP7rcM=")</f>
        <v>#REF!</v>
      </c>
      <c r="GO20" t="e">
        <f>AND(#REF!,"AAAAADP7rcQ=")</f>
        <v>#REF!</v>
      </c>
      <c r="GP20" t="e">
        <f>AND(#REF!,"AAAAADP7rcU=")</f>
        <v>#REF!</v>
      </c>
      <c r="GQ20" t="e">
        <f>AND(#REF!,"AAAAADP7rcY=")</f>
        <v>#REF!</v>
      </c>
      <c r="GR20" t="e">
        <f>AND(#REF!,"AAAAADP7rcc=")</f>
        <v>#REF!</v>
      </c>
      <c r="GS20" t="e">
        <f>IF(#REF!,"AAAAADP7rcg=",0)</f>
        <v>#REF!</v>
      </c>
      <c r="GT20" t="e">
        <f>AND(#REF!,"AAAAADP7rck=")</f>
        <v>#REF!</v>
      </c>
      <c r="GU20" t="e">
        <f>AND(#REF!,"AAAAADP7rco=")</f>
        <v>#REF!</v>
      </c>
      <c r="GV20" t="e">
        <f>AND(#REF!,"AAAAADP7rcs=")</f>
        <v>#REF!</v>
      </c>
      <c r="GW20" t="e">
        <f>AND(#REF!,"AAAAADP7rcw=")</f>
        <v>#REF!</v>
      </c>
      <c r="GX20" t="e">
        <f>AND(#REF!,"AAAAADP7rc0=")</f>
        <v>#REF!</v>
      </c>
      <c r="GY20" t="e">
        <f>AND(#REF!,"AAAAADP7rc4=")</f>
        <v>#REF!</v>
      </c>
      <c r="GZ20" t="e">
        <f>AND(#REF!,"AAAAADP7rc8=")</f>
        <v>#REF!</v>
      </c>
      <c r="HA20" t="e">
        <f>AND(#REF!,"AAAAADP7rdA=")</f>
        <v>#REF!</v>
      </c>
      <c r="HB20" t="e">
        <f>AND(#REF!,"AAAAADP7rdE=")</f>
        <v>#REF!</v>
      </c>
      <c r="HC20" t="e">
        <f>IF(#REF!,"AAAAADP7rdI=",0)</f>
        <v>#REF!</v>
      </c>
      <c r="HD20" t="e">
        <f>AND(#REF!,"AAAAADP7rdM=")</f>
        <v>#REF!</v>
      </c>
      <c r="HE20" t="e">
        <f>AND(#REF!,"AAAAADP7rdQ=")</f>
        <v>#REF!</v>
      </c>
      <c r="HF20" t="e">
        <f>AND(#REF!,"AAAAADP7rdU=")</f>
        <v>#REF!</v>
      </c>
      <c r="HG20" t="e">
        <f>AND(#REF!,"AAAAADP7rdY=")</f>
        <v>#REF!</v>
      </c>
      <c r="HH20" t="e">
        <f>AND(#REF!,"AAAAADP7rdc=")</f>
        <v>#REF!</v>
      </c>
      <c r="HI20" t="e">
        <f>AND(#REF!,"AAAAADP7rdg=")</f>
        <v>#REF!</v>
      </c>
      <c r="HJ20" t="e">
        <f>AND(#REF!,"AAAAADP7rdk=")</f>
        <v>#REF!</v>
      </c>
      <c r="HK20" t="e">
        <f>AND(#REF!,"AAAAADP7rdo=")</f>
        <v>#REF!</v>
      </c>
      <c r="HL20" t="e">
        <f>AND(#REF!,"AAAAADP7rds=")</f>
        <v>#REF!</v>
      </c>
      <c r="HM20" t="e">
        <f>IF(#REF!,"AAAAADP7rdw=",0)</f>
        <v>#REF!</v>
      </c>
      <c r="HN20" t="e">
        <f>AND(#REF!,"AAAAADP7rd0=")</f>
        <v>#REF!</v>
      </c>
      <c r="HO20" t="e">
        <f>AND(#REF!,"AAAAADP7rd4=")</f>
        <v>#REF!</v>
      </c>
      <c r="HP20" t="e">
        <f>AND(#REF!,"AAAAADP7rd8=")</f>
        <v>#REF!</v>
      </c>
      <c r="HQ20" t="e">
        <f>AND(#REF!,"AAAAADP7reA=")</f>
        <v>#REF!</v>
      </c>
      <c r="HR20" t="e">
        <f>AND(#REF!,"AAAAADP7reE=")</f>
        <v>#REF!</v>
      </c>
      <c r="HS20" t="e">
        <f>AND(#REF!,"AAAAADP7reI=")</f>
        <v>#REF!</v>
      </c>
      <c r="HT20" t="e">
        <f>AND(#REF!,"AAAAADP7reM=")</f>
        <v>#REF!</v>
      </c>
      <c r="HU20" t="e">
        <f>AND(#REF!,"AAAAADP7reQ=")</f>
        <v>#REF!</v>
      </c>
      <c r="HV20" t="e">
        <f>AND(#REF!,"AAAAADP7reU=")</f>
        <v>#REF!</v>
      </c>
      <c r="HW20" t="e">
        <f>IF(#REF!,"AAAAADP7reY=",0)</f>
        <v>#REF!</v>
      </c>
      <c r="HX20" t="e">
        <f>AND(#REF!,"AAAAADP7rec=")</f>
        <v>#REF!</v>
      </c>
      <c r="HY20" t="e">
        <f>AND(#REF!,"AAAAADP7reg=")</f>
        <v>#REF!</v>
      </c>
      <c r="HZ20" t="e">
        <f>AND(#REF!,"AAAAADP7rek=")</f>
        <v>#REF!</v>
      </c>
      <c r="IA20" t="e">
        <f>AND(#REF!,"AAAAADP7reo=")</f>
        <v>#REF!</v>
      </c>
      <c r="IB20" t="e">
        <f>AND(#REF!,"AAAAADP7res=")</f>
        <v>#REF!</v>
      </c>
      <c r="IC20" t="e">
        <f>AND(#REF!,"AAAAADP7rew=")</f>
        <v>#REF!</v>
      </c>
      <c r="ID20" t="e">
        <f>AND(#REF!,"AAAAADP7re0=")</f>
        <v>#REF!</v>
      </c>
      <c r="IE20" t="e">
        <f>AND(#REF!,"AAAAADP7re4=")</f>
        <v>#REF!</v>
      </c>
      <c r="IF20" t="e">
        <f>AND(#REF!,"AAAAADP7re8=")</f>
        <v>#REF!</v>
      </c>
      <c r="IG20" t="e">
        <f>IF(#REF!,"AAAAADP7rfA=",0)</f>
        <v>#REF!</v>
      </c>
      <c r="IH20" t="e">
        <f>AND(#REF!,"AAAAADP7rfE=")</f>
        <v>#REF!</v>
      </c>
      <c r="II20" t="e">
        <f>AND(#REF!,"AAAAADP7rfI=")</f>
        <v>#REF!</v>
      </c>
      <c r="IJ20" t="e">
        <f>AND(#REF!,"AAAAADP7rfM=")</f>
        <v>#REF!</v>
      </c>
      <c r="IK20" t="e">
        <f>AND(#REF!,"AAAAADP7rfQ=")</f>
        <v>#REF!</v>
      </c>
      <c r="IL20" t="e">
        <f>AND(#REF!,"AAAAADP7rfU=")</f>
        <v>#REF!</v>
      </c>
      <c r="IM20" t="e">
        <f>AND(#REF!,"AAAAADP7rfY=")</f>
        <v>#REF!</v>
      </c>
      <c r="IN20" t="e">
        <f>AND(#REF!,"AAAAADP7rfc=")</f>
        <v>#REF!</v>
      </c>
      <c r="IO20" t="e">
        <f>AND(#REF!,"AAAAADP7rfg=")</f>
        <v>#REF!</v>
      </c>
      <c r="IP20" t="e">
        <f>AND(#REF!,"AAAAADP7rfk=")</f>
        <v>#REF!</v>
      </c>
      <c r="IQ20" t="e">
        <f>IF(#REF!,"AAAAADP7rfo=",0)</f>
        <v>#REF!</v>
      </c>
      <c r="IR20" t="e">
        <f>AND(#REF!,"AAAAADP7rfs=")</f>
        <v>#REF!</v>
      </c>
      <c r="IS20" t="e">
        <f>AND(#REF!,"AAAAADP7rfw=")</f>
        <v>#REF!</v>
      </c>
      <c r="IT20" t="e">
        <f>AND(#REF!,"AAAAADP7rf0=")</f>
        <v>#REF!</v>
      </c>
      <c r="IU20" t="e">
        <f>AND(#REF!,"AAAAADP7rf4=")</f>
        <v>#REF!</v>
      </c>
      <c r="IV20" t="e">
        <f>AND(#REF!,"AAAAADP7rf8=")</f>
        <v>#REF!</v>
      </c>
    </row>
    <row r="21" spans="1:256">
      <c r="A21" t="e">
        <f>AND(#REF!,"AAAAAD/r5wA=")</f>
        <v>#REF!</v>
      </c>
      <c r="B21" t="e">
        <f>AND(#REF!,"AAAAAD/r5wE=")</f>
        <v>#REF!</v>
      </c>
      <c r="C21" t="e">
        <f>AND(#REF!,"AAAAAD/r5wI=")</f>
        <v>#REF!</v>
      </c>
      <c r="D21" t="e">
        <f>AND(#REF!,"AAAAAD/r5wM=")</f>
        <v>#REF!</v>
      </c>
      <c r="E21" t="e">
        <f>IF(#REF!,"AAAAAD/r5wQ=",0)</f>
        <v>#REF!</v>
      </c>
      <c r="F21" t="e">
        <f>AND(#REF!,"AAAAAD/r5wU=")</f>
        <v>#REF!</v>
      </c>
      <c r="G21" t="e">
        <f>AND(#REF!,"AAAAAD/r5wY=")</f>
        <v>#REF!</v>
      </c>
      <c r="H21" t="e">
        <f>AND(#REF!,"AAAAAD/r5wc=")</f>
        <v>#REF!</v>
      </c>
      <c r="I21" t="e">
        <f>AND(#REF!,"AAAAAD/r5wg=")</f>
        <v>#REF!</v>
      </c>
      <c r="J21" t="e">
        <f>AND(#REF!,"AAAAAD/r5wk=")</f>
        <v>#REF!</v>
      </c>
      <c r="K21" t="e">
        <f>AND(#REF!,"AAAAAD/r5wo=")</f>
        <v>#REF!</v>
      </c>
      <c r="L21" t="e">
        <f>AND(#REF!,"AAAAAD/r5ws=")</f>
        <v>#REF!</v>
      </c>
      <c r="M21" t="e">
        <f>AND(#REF!,"AAAAAD/r5ww=")</f>
        <v>#REF!</v>
      </c>
      <c r="N21" t="e">
        <f>AND(#REF!,"AAAAAD/r5w0=")</f>
        <v>#REF!</v>
      </c>
      <c r="O21" t="e">
        <f>IF(#REF!,"AAAAAD/r5w4=",0)</f>
        <v>#REF!</v>
      </c>
      <c r="P21" t="e">
        <f>AND(#REF!,"AAAAAD/r5w8=")</f>
        <v>#REF!</v>
      </c>
      <c r="Q21" t="e">
        <f>AND(#REF!,"AAAAAD/r5xA=")</f>
        <v>#REF!</v>
      </c>
      <c r="R21" t="e">
        <f>AND(#REF!,"AAAAAD/r5xE=")</f>
        <v>#REF!</v>
      </c>
      <c r="S21" t="e">
        <f>AND(#REF!,"AAAAAD/r5xI=")</f>
        <v>#REF!</v>
      </c>
      <c r="T21" t="e">
        <f>AND(#REF!,"AAAAAD/r5xM=")</f>
        <v>#REF!</v>
      </c>
      <c r="U21" t="e">
        <f>AND(#REF!,"AAAAAD/r5xQ=")</f>
        <v>#REF!</v>
      </c>
      <c r="V21" t="e">
        <f>AND(#REF!,"AAAAAD/r5xU=")</f>
        <v>#REF!</v>
      </c>
      <c r="W21" t="e">
        <f>AND(#REF!,"AAAAAD/r5xY=")</f>
        <v>#REF!</v>
      </c>
      <c r="X21" t="e">
        <f>AND(#REF!,"AAAAAD/r5xc=")</f>
        <v>#REF!</v>
      </c>
      <c r="Y21" t="e">
        <f>IF(#REF!,"AAAAAD/r5xg=",0)</f>
        <v>#REF!</v>
      </c>
      <c r="Z21" t="e">
        <f>AND(#REF!,"AAAAAD/r5xk=")</f>
        <v>#REF!</v>
      </c>
      <c r="AA21" t="e">
        <f>AND(#REF!,"AAAAAD/r5xo=")</f>
        <v>#REF!</v>
      </c>
      <c r="AB21" t="e">
        <f>AND(#REF!,"AAAAAD/r5xs=")</f>
        <v>#REF!</v>
      </c>
      <c r="AC21" t="e">
        <f>AND(#REF!,"AAAAAD/r5xw=")</f>
        <v>#REF!</v>
      </c>
      <c r="AD21" t="e">
        <f>AND(#REF!,"AAAAAD/r5x0=")</f>
        <v>#REF!</v>
      </c>
      <c r="AE21" t="e">
        <f>AND(#REF!,"AAAAAD/r5x4=")</f>
        <v>#REF!</v>
      </c>
      <c r="AF21" t="e">
        <f>AND(#REF!,"AAAAAD/r5x8=")</f>
        <v>#REF!</v>
      </c>
      <c r="AG21" t="e">
        <f>AND(#REF!,"AAAAAD/r5yA=")</f>
        <v>#REF!</v>
      </c>
      <c r="AH21" t="e">
        <f>AND(#REF!,"AAAAAD/r5yE=")</f>
        <v>#REF!</v>
      </c>
      <c r="AI21" t="e">
        <f>IF(#REF!,"AAAAAD/r5yI=",0)</f>
        <v>#REF!</v>
      </c>
      <c r="AJ21" t="e">
        <f>AND(#REF!,"AAAAAD/r5yM=")</f>
        <v>#REF!</v>
      </c>
      <c r="AK21" t="e">
        <f>AND(#REF!,"AAAAAD/r5yQ=")</f>
        <v>#REF!</v>
      </c>
      <c r="AL21" t="e">
        <f>AND(#REF!,"AAAAAD/r5yU=")</f>
        <v>#REF!</v>
      </c>
      <c r="AM21" t="e">
        <f>AND(#REF!,"AAAAAD/r5yY=")</f>
        <v>#REF!</v>
      </c>
      <c r="AN21" t="e">
        <f>AND(#REF!,"AAAAAD/r5yc=")</f>
        <v>#REF!</v>
      </c>
      <c r="AO21" t="e">
        <f>AND(#REF!,"AAAAAD/r5yg=")</f>
        <v>#REF!</v>
      </c>
      <c r="AP21" t="e">
        <f>AND(#REF!,"AAAAAD/r5yk=")</f>
        <v>#REF!</v>
      </c>
      <c r="AQ21" t="e">
        <f>AND(#REF!,"AAAAAD/r5yo=")</f>
        <v>#REF!</v>
      </c>
      <c r="AR21" t="e">
        <f>AND(#REF!,"AAAAAD/r5ys=")</f>
        <v>#REF!</v>
      </c>
      <c r="AS21" t="e">
        <f>IF(#REF!,"AAAAAD/r5yw=",0)</f>
        <v>#REF!</v>
      </c>
      <c r="AT21" t="e">
        <f>AND(#REF!,"AAAAAD/r5y0=")</f>
        <v>#REF!</v>
      </c>
      <c r="AU21" t="e">
        <f>AND(#REF!,"AAAAAD/r5y4=")</f>
        <v>#REF!</v>
      </c>
      <c r="AV21" t="e">
        <f>AND(#REF!,"AAAAAD/r5y8=")</f>
        <v>#REF!</v>
      </c>
      <c r="AW21" t="e">
        <f>AND(#REF!,"AAAAAD/r5zA=")</f>
        <v>#REF!</v>
      </c>
      <c r="AX21" t="e">
        <f>AND(#REF!,"AAAAAD/r5zE=")</f>
        <v>#REF!</v>
      </c>
      <c r="AY21" t="e">
        <f>AND(#REF!,"AAAAAD/r5zI=")</f>
        <v>#REF!</v>
      </c>
      <c r="AZ21" t="e">
        <f>AND(#REF!,"AAAAAD/r5zM=")</f>
        <v>#REF!</v>
      </c>
      <c r="BA21" t="e">
        <f>AND(#REF!,"AAAAAD/r5zQ=")</f>
        <v>#REF!</v>
      </c>
      <c r="BB21" t="e">
        <f>AND(#REF!,"AAAAAD/r5zU=")</f>
        <v>#REF!</v>
      </c>
      <c r="BC21" t="e">
        <f>IF(#REF!,"AAAAAD/r5zY=",0)</f>
        <v>#REF!</v>
      </c>
      <c r="BD21" t="e">
        <f>AND(#REF!,"AAAAAD/r5zc=")</f>
        <v>#REF!</v>
      </c>
      <c r="BE21" t="e">
        <f>AND(#REF!,"AAAAAD/r5zg=")</f>
        <v>#REF!</v>
      </c>
      <c r="BF21" t="e">
        <f>AND(#REF!,"AAAAAD/r5zk=")</f>
        <v>#REF!</v>
      </c>
      <c r="BG21" t="e">
        <f>AND(#REF!,"AAAAAD/r5zo=")</f>
        <v>#REF!</v>
      </c>
      <c r="BH21" t="e">
        <f>AND(#REF!,"AAAAAD/r5zs=")</f>
        <v>#REF!</v>
      </c>
      <c r="BI21" t="e">
        <f>AND(#REF!,"AAAAAD/r5zw=")</f>
        <v>#REF!</v>
      </c>
      <c r="BJ21" t="e">
        <f>AND(#REF!,"AAAAAD/r5z0=")</f>
        <v>#REF!</v>
      </c>
      <c r="BK21" t="e">
        <f>AND(#REF!,"AAAAAD/r5z4=")</f>
        <v>#REF!</v>
      </c>
      <c r="BL21" t="e">
        <f>AND(#REF!,"AAAAAD/r5z8=")</f>
        <v>#REF!</v>
      </c>
      <c r="BM21" t="e">
        <f>IF(#REF!,"AAAAAD/r50A=",0)</f>
        <v>#REF!</v>
      </c>
      <c r="BN21" t="e">
        <f>AND(#REF!,"AAAAAD/r50E=")</f>
        <v>#REF!</v>
      </c>
      <c r="BO21" t="e">
        <f>AND(#REF!,"AAAAAD/r50I=")</f>
        <v>#REF!</v>
      </c>
      <c r="BP21" t="e">
        <f>AND(#REF!,"AAAAAD/r50M=")</f>
        <v>#REF!</v>
      </c>
      <c r="BQ21" t="e">
        <f>AND(#REF!,"AAAAAD/r50Q=")</f>
        <v>#REF!</v>
      </c>
      <c r="BR21" t="e">
        <f>AND(#REF!,"AAAAAD/r50U=")</f>
        <v>#REF!</v>
      </c>
      <c r="BS21" t="e">
        <f>AND(#REF!,"AAAAAD/r50Y=")</f>
        <v>#REF!</v>
      </c>
      <c r="BT21" t="e">
        <f>AND(#REF!,"AAAAAD/r50c=")</f>
        <v>#REF!</v>
      </c>
      <c r="BU21" t="e">
        <f>AND(#REF!,"AAAAAD/r50g=")</f>
        <v>#REF!</v>
      </c>
      <c r="BV21" t="e">
        <f>AND(#REF!,"AAAAAD/r50k=")</f>
        <v>#REF!</v>
      </c>
      <c r="BW21" t="e">
        <f>IF(#REF!,"AAAAAD/r50o=",0)</f>
        <v>#REF!</v>
      </c>
      <c r="BX21" t="e">
        <f>AND(#REF!,"AAAAAD/r50s=")</f>
        <v>#REF!</v>
      </c>
      <c r="BY21" t="e">
        <f>AND(#REF!,"AAAAAD/r50w=")</f>
        <v>#REF!</v>
      </c>
      <c r="BZ21" t="e">
        <f>AND(#REF!,"AAAAAD/r500=")</f>
        <v>#REF!</v>
      </c>
      <c r="CA21" t="e">
        <f>AND(#REF!,"AAAAAD/r504=")</f>
        <v>#REF!</v>
      </c>
      <c r="CB21" t="e">
        <f>AND(#REF!,"AAAAAD/r508=")</f>
        <v>#REF!</v>
      </c>
      <c r="CC21" t="e">
        <f>AND(#REF!,"AAAAAD/r51A=")</f>
        <v>#REF!</v>
      </c>
      <c r="CD21" t="e">
        <f>AND(#REF!,"AAAAAD/r51E=")</f>
        <v>#REF!</v>
      </c>
      <c r="CE21" t="e">
        <f>AND(#REF!,"AAAAAD/r51I=")</f>
        <v>#REF!</v>
      </c>
      <c r="CF21" t="e">
        <f>AND(#REF!,"AAAAAD/r51M=")</f>
        <v>#REF!</v>
      </c>
      <c r="CG21" t="e">
        <f>IF(#REF!,"AAAAAD/r51Q=",0)</f>
        <v>#REF!</v>
      </c>
      <c r="CH21" t="e">
        <f>AND(#REF!,"AAAAAD/r51U=")</f>
        <v>#REF!</v>
      </c>
      <c r="CI21" t="e">
        <f>AND(#REF!,"AAAAAD/r51Y=")</f>
        <v>#REF!</v>
      </c>
      <c r="CJ21" t="e">
        <f>AND(#REF!,"AAAAAD/r51c=")</f>
        <v>#REF!</v>
      </c>
      <c r="CK21" t="e">
        <f>AND(#REF!,"AAAAAD/r51g=")</f>
        <v>#REF!</v>
      </c>
      <c r="CL21" t="e">
        <f>AND(#REF!,"AAAAAD/r51k=")</f>
        <v>#REF!</v>
      </c>
      <c r="CM21" t="e">
        <f>AND(#REF!,"AAAAAD/r51o=")</f>
        <v>#REF!</v>
      </c>
      <c r="CN21" t="e">
        <f>AND(#REF!,"AAAAAD/r51s=")</f>
        <v>#REF!</v>
      </c>
      <c r="CO21" t="e">
        <f>AND(#REF!,"AAAAAD/r51w=")</f>
        <v>#REF!</v>
      </c>
      <c r="CP21" t="e">
        <f>AND(#REF!,"AAAAAD/r510=")</f>
        <v>#REF!</v>
      </c>
      <c r="CQ21" t="e">
        <f>IF(#REF!,"AAAAAD/r514=",0)</f>
        <v>#REF!</v>
      </c>
      <c r="CR21" t="e">
        <f>AND(#REF!,"AAAAAD/r518=")</f>
        <v>#REF!</v>
      </c>
      <c r="CS21" t="e">
        <f>AND(#REF!,"AAAAAD/r52A=")</f>
        <v>#REF!</v>
      </c>
      <c r="CT21" t="e">
        <f>AND(#REF!,"AAAAAD/r52E=")</f>
        <v>#REF!</v>
      </c>
      <c r="CU21" t="e">
        <f>AND(#REF!,"AAAAAD/r52I=")</f>
        <v>#REF!</v>
      </c>
      <c r="CV21" t="e">
        <f>AND(#REF!,"AAAAAD/r52M=")</f>
        <v>#REF!</v>
      </c>
      <c r="CW21" t="e">
        <f>AND(#REF!,"AAAAAD/r52Q=")</f>
        <v>#REF!</v>
      </c>
      <c r="CX21" t="e">
        <f>AND(#REF!,"AAAAAD/r52U=")</f>
        <v>#REF!</v>
      </c>
      <c r="CY21" t="e">
        <f>AND(#REF!,"AAAAAD/r52Y=")</f>
        <v>#REF!</v>
      </c>
      <c r="CZ21" t="e">
        <f>AND(#REF!,"AAAAAD/r52c=")</f>
        <v>#REF!</v>
      </c>
      <c r="DA21" t="e">
        <f>IF(#REF!,"AAAAAD/r52g=",0)</f>
        <v>#REF!</v>
      </c>
      <c r="DB21" t="e">
        <f>AND(#REF!,"AAAAAD/r52k=")</f>
        <v>#REF!</v>
      </c>
      <c r="DC21" t="e">
        <f>AND(#REF!,"AAAAAD/r52o=")</f>
        <v>#REF!</v>
      </c>
      <c r="DD21" t="e">
        <f>AND(#REF!,"AAAAAD/r52s=")</f>
        <v>#REF!</v>
      </c>
      <c r="DE21" t="e">
        <f>AND(#REF!,"AAAAAD/r52w=")</f>
        <v>#REF!</v>
      </c>
      <c r="DF21" t="e">
        <f>AND(#REF!,"AAAAAD/r520=")</f>
        <v>#REF!</v>
      </c>
      <c r="DG21" t="e">
        <f>AND(#REF!,"AAAAAD/r524=")</f>
        <v>#REF!</v>
      </c>
      <c r="DH21" t="e">
        <f>AND(#REF!,"AAAAAD/r528=")</f>
        <v>#REF!</v>
      </c>
      <c r="DI21" t="e">
        <f>AND(#REF!,"AAAAAD/r53A=")</f>
        <v>#REF!</v>
      </c>
      <c r="DJ21" t="e">
        <f>AND(#REF!,"AAAAAD/r53E=")</f>
        <v>#REF!</v>
      </c>
      <c r="DK21" t="e">
        <f>IF(#REF!,"AAAAAD/r53I=",0)</f>
        <v>#REF!</v>
      </c>
      <c r="DL21" t="e">
        <f>AND(#REF!,"AAAAAD/r53M=")</f>
        <v>#REF!</v>
      </c>
      <c r="DM21" t="e">
        <f>AND(#REF!,"AAAAAD/r53Q=")</f>
        <v>#REF!</v>
      </c>
      <c r="DN21" t="e">
        <f>AND(#REF!,"AAAAAD/r53U=")</f>
        <v>#REF!</v>
      </c>
      <c r="DO21" t="e">
        <f>AND(#REF!,"AAAAAD/r53Y=")</f>
        <v>#REF!</v>
      </c>
      <c r="DP21" t="e">
        <f>AND(#REF!,"AAAAAD/r53c=")</f>
        <v>#REF!</v>
      </c>
      <c r="DQ21" t="e">
        <f>AND(#REF!,"AAAAAD/r53g=")</f>
        <v>#REF!</v>
      </c>
      <c r="DR21" t="e">
        <f>AND(#REF!,"AAAAAD/r53k=")</f>
        <v>#REF!</v>
      </c>
      <c r="DS21" t="e">
        <f>AND(#REF!,"AAAAAD/r53o=")</f>
        <v>#REF!</v>
      </c>
      <c r="DT21" t="e">
        <f>AND(#REF!,"AAAAAD/r53s=")</f>
        <v>#REF!</v>
      </c>
      <c r="DU21" t="e">
        <f>IF(#REF!,"AAAAAD/r53w=",0)</f>
        <v>#REF!</v>
      </c>
      <c r="DV21" t="e">
        <f>AND(#REF!,"AAAAAD/r530=")</f>
        <v>#REF!</v>
      </c>
      <c r="DW21" t="e">
        <f>AND(#REF!,"AAAAAD/r534=")</f>
        <v>#REF!</v>
      </c>
      <c r="DX21" t="e">
        <f>AND(#REF!,"AAAAAD/r538=")</f>
        <v>#REF!</v>
      </c>
      <c r="DY21" t="e">
        <f>AND(#REF!,"AAAAAD/r54A=")</f>
        <v>#REF!</v>
      </c>
      <c r="DZ21" t="e">
        <f>AND(#REF!,"AAAAAD/r54E=")</f>
        <v>#REF!</v>
      </c>
      <c r="EA21" t="e">
        <f>AND(#REF!,"AAAAAD/r54I=")</f>
        <v>#REF!</v>
      </c>
      <c r="EB21" t="e">
        <f>AND(#REF!,"AAAAAD/r54M=")</f>
        <v>#REF!</v>
      </c>
      <c r="EC21" t="e">
        <f>AND(#REF!,"AAAAAD/r54Q=")</f>
        <v>#REF!</v>
      </c>
      <c r="ED21" t="e">
        <f>AND(#REF!,"AAAAAD/r54U=")</f>
        <v>#REF!</v>
      </c>
      <c r="EE21" t="e">
        <f>IF(#REF!,"AAAAAD/r54Y=",0)</f>
        <v>#REF!</v>
      </c>
      <c r="EF21" t="e">
        <f>AND(#REF!,"AAAAAD/r54c=")</f>
        <v>#REF!</v>
      </c>
      <c r="EG21" t="e">
        <f>AND(#REF!,"AAAAAD/r54g=")</f>
        <v>#REF!</v>
      </c>
      <c r="EH21" t="e">
        <f>AND(#REF!,"AAAAAD/r54k=")</f>
        <v>#REF!</v>
      </c>
      <c r="EI21" t="e">
        <f>AND(#REF!,"AAAAAD/r54o=")</f>
        <v>#REF!</v>
      </c>
      <c r="EJ21" t="e">
        <f>AND(#REF!,"AAAAAD/r54s=")</f>
        <v>#REF!</v>
      </c>
      <c r="EK21" t="e">
        <f>AND(#REF!,"AAAAAD/r54w=")</f>
        <v>#REF!</v>
      </c>
      <c r="EL21" t="e">
        <f>AND(#REF!,"AAAAAD/r540=")</f>
        <v>#REF!</v>
      </c>
      <c r="EM21" t="e">
        <f>AND(#REF!,"AAAAAD/r544=")</f>
        <v>#REF!</v>
      </c>
      <c r="EN21" t="e">
        <f>AND(#REF!,"AAAAAD/r548=")</f>
        <v>#REF!</v>
      </c>
      <c r="EO21" t="e">
        <f>IF(#REF!,"AAAAAD/r55A=",0)</f>
        <v>#REF!</v>
      </c>
      <c r="EP21" t="e">
        <f>AND(#REF!,"AAAAAD/r55E=")</f>
        <v>#REF!</v>
      </c>
      <c r="EQ21" t="e">
        <f>AND(#REF!,"AAAAAD/r55I=")</f>
        <v>#REF!</v>
      </c>
      <c r="ER21" t="e">
        <f>AND(#REF!,"AAAAAD/r55M=")</f>
        <v>#REF!</v>
      </c>
      <c r="ES21" t="e">
        <f>AND(#REF!,"AAAAAD/r55Q=")</f>
        <v>#REF!</v>
      </c>
      <c r="ET21" t="e">
        <f>AND(#REF!,"AAAAAD/r55U=")</f>
        <v>#REF!</v>
      </c>
      <c r="EU21" t="e">
        <f>AND(#REF!,"AAAAAD/r55Y=")</f>
        <v>#REF!</v>
      </c>
      <c r="EV21" t="e">
        <f>AND(#REF!,"AAAAAD/r55c=")</f>
        <v>#REF!</v>
      </c>
      <c r="EW21" t="e">
        <f>AND(#REF!,"AAAAAD/r55g=")</f>
        <v>#REF!</v>
      </c>
      <c r="EX21" t="e">
        <f>AND(#REF!,"AAAAAD/r55k=")</f>
        <v>#REF!</v>
      </c>
      <c r="EY21" t="e">
        <f>IF(#REF!,"AAAAAD/r55o=",0)</f>
        <v>#REF!</v>
      </c>
      <c r="EZ21" t="e">
        <f>AND(#REF!,"AAAAAD/r55s=")</f>
        <v>#REF!</v>
      </c>
      <c r="FA21" t="e">
        <f>AND(#REF!,"AAAAAD/r55w=")</f>
        <v>#REF!</v>
      </c>
      <c r="FB21" t="e">
        <f>AND(#REF!,"AAAAAD/r550=")</f>
        <v>#REF!</v>
      </c>
      <c r="FC21" t="e">
        <f>AND(#REF!,"AAAAAD/r554=")</f>
        <v>#REF!</v>
      </c>
      <c r="FD21" t="e">
        <f>AND(#REF!,"AAAAAD/r558=")</f>
        <v>#REF!</v>
      </c>
      <c r="FE21" t="e">
        <f>AND(#REF!,"AAAAAD/r56A=")</f>
        <v>#REF!</v>
      </c>
      <c r="FF21" t="e">
        <f>AND(#REF!,"AAAAAD/r56E=")</f>
        <v>#REF!</v>
      </c>
      <c r="FG21" t="e">
        <f>AND(#REF!,"AAAAAD/r56I=")</f>
        <v>#REF!</v>
      </c>
      <c r="FH21" t="e">
        <f>AND(#REF!,"AAAAAD/r56M=")</f>
        <v>#REF!</v>
      </c>
      <c r="FI21" t="e">
        <f>IF(#REF!,"AAAAAD/r56Q=",0)</f>
        <v>#REF!</v>
      </c>
      <c r="FJ21" t="e">
        <f>AND(#REF!,"AAAAAD/r56U=")</f>
        <v>#REF!</v>
      </c>
      <c r="FK21" t="e">
        <f>AND(#REF!,"AAAAAD/r56Y=")</f>
        <v>#REF!</v>
      </c>
      <c r="FL21" t="e">
        <f>AND(#REF!,"AAAAAD/r56c=")</f>
        <v>#REF!</v>
      </c>
      <c r="FM21" t="e">
        <f>AND(#REF!,"AAAAAD/r56g=")</f>
        <v>#REF!</v>
      </c>
      <c r="FN21" t="e">
        <f>AND(#REF!,"AAAAAD/r56k=")</f>
        <v>#REF!</v>
      </c>
      <c r="FO21" t="e">
        <f>AND(#REF!,"AAAAAD/r56o=")</f>
        <v>#REF!</v>
      </c>
      <c r="FP21" t="e">
        <f>AND(#REF!,"AAAAAD/r56s=")</f>
        <v>#REF!</v>
      </c>
      <c r="FQ21" t="e">
        <f>AND(#REF!,"AAAAAD/r56w=")</f>
        <v>#REF!</v>
      </c>
      <c r="FR21" t="e">
        <f>AND(#REF!,"AAAAAD/r560=")</f>
        <v>#REF!</v>
      </c>
      <c r="FS21" t="e">
        <f>IF(#REF!,"AAAAAD/r564=",0)</f>
        <v>#REF!</v>
      </c>
      <c r="FT21" t="e">
        <f>AND(#REF!,"AAAAAD/r568=")</f>
        <v>#REF!</v>
      </c>
      <c r="FU21" t="e">
        <f>AND(#REF!,"AAAAAD/r57A=")</f>
        <v>#REF!</v>
      </c>
      <c r="FV21" t="e">
        <f>AND(#REF!,"AAAAAD/r57E=")</f>
        <v>#REF!</v>
      </c>
      <c r="FW21" t="e">
        <f>AND(#REF!,"AAAAAD/r57I=")</f>
        <v>#REF!</v>
      </c>
      <c r="FX21" t="e">
        <f>AND(#REF!,"AAAAAD/r57M=")</f>
        <v>#REF!</v>
      </c>
      <c r="FY21" t="e">
        <f>AND(#REF!,"AAAAAD/r57Q=")</f>
        <v>#REF!</v>
      </c>
      <c r="FZ21" t="e">
        <f>AND(#REF!,"AAAAAD/r57U=")</f>
        <v>#REF!</v>
      </c>
      <c r="GA21" t="e">
        <f>AND(#REF!,"AAAAAD/r57Y=")</f>
        <v>#REF!</v>
      </c>
      <c r="GB21" t="e">
        <f>AND(#REF!,"AAAAAD/r57c=")</f>
        <v>#REF!</v>
      </c>
      <c r="GC21" t="e">
        <f>IF(#REF!,"AAAAAD/r57g=",0)</f>
        <v>#REF!</v>
      </c>
      <c r="GD21" t="e">
        <f>AND(#REF!,"AAAAAD/r57k=")</f>
        <v>#REF!</v>
      </c>
      <c r="GE21" t="e">
        <f>AND(#REF!,"AAAAAD/r57o=")</f>
        <v>#REF!</v>
      </c>
      <c r="GF21" t="e">
        <f>AND(#REF!,"AAAAAD/r57s=")</f>
        <v>#REF!</v>
      </c>
      <c r="GG21" t="e">
        <f>AND(#REF!,"AAAAAD/r57w=")</f>
        <v>#REF!</v>
      </c>
      <c r="GH21" t="e">
        <f>AND(#REF!,"AAAAAD/r570=")</f>
        <v>#REF!</v>
      </c>
      <c r="GI21" t="e">
        <f>AND(#REF!,"AAAAAD/r574=")</f>
        <v>#REF!</v>
      </c>
      <c r="GJ21" t="e">
        <f>AND(#REF!,"AAAAAD/r578=")</f>
        <v>#REF!</v>
      </c>
      <c r="GK21" t="e">
        <f>AND(#REF!,"AAAAAD/r58A=")</f>
        <v>#REF!</v>
      </c>
      <c r="GL21" t="e">
        <f>AND(#REF!,"AAAAAD/r58E=")</f>
        <v>#REF!</v>
      </c>
      <c r="GM21" t="e">
        <f>IF(#REF!,"AAAAAD/r58I=",0)</f>
        <v>#REF!</v>
      </c>
      <c r="GN21" t="e">
        <f>AND(#REF!,"AAAAAD/r58M=")</f>
        <v>#REF!</v>
      </c>
      <c r="GO21" t="e">
        <f>AND(#REF!,"AAAAAD/r58Q=")</f>
        <v>#REF!</v>
      </c>
      <c r="GP21" t="e">
        <f>AND(#REF!,"AAAAAD/r58U=")</f>
        <v>#REF!</v>
      </c>
      <c r="GQ21" t="e">
        <f>AND(#REF!,"AAAAAD/r58Y=")</f>
        <v>#REF!</v>
      </c>
      <c r="GR21" t="e">
        <f>AND(#REF!,"AAAAAD/r58c=")</f>
        <v>#REF!</v>
      </c>
      <c r="GS21" t="e">
        <f>AND(#REF!,"AAAAAD/r58g=")</f>
        <v>#REF!</v>
      </c>
      <c r="GT21" t="e">
        <f>AND(#REF!,"AAAAAD/r58k=")</f>
        <v>#REF!</v>
      </c>
      <c r="GU21" t="e">
        <f>AND(#REF!,"AAAAAD/r58o=")</f>
        <v>#REF!</v>
      </c>
      <c r="GV21" t="e">
        <f>AND(#REF!,"AAAAAD/r58s=")</f>
        <v>#REF!</v>
      </c>
      <c r="GW21" t="e">
        <f>IF(#REF!,"AAAAAD/r58w=",0)</f>
        <v>#REF!</v>
      </c>
      <c r="GX21" t="e">
        <f>AND(#REF!,"AAAAAD/r580=")</f>
        <v>#REF!</v>
      </c>
      <c r="GY21" t="e">
        <f>AND(#REF!,"AAAAAD/r584=")</f>
        <v>#REF!</v>
      </c>
      <c r="GZ21" t="e">
        <f>AND(#REF!,"AAAAAD/r588=")</f>
        <v>#REF!</v>
      </c>
      <c r="HA21" t="e">
        <f>AND(#REF!,"AAAAAD/r59A=")</f>
        <v>#REF!</v>
      </c>
      <c r="HB21" t="e">
        <f>AND(#REF!,"AAAAAD/r59E=")</f>
        <v>#REF!</v>
      </c>
      <c r="HC21" t="e">
        <f>AND(#REF!,"AAAAAD/r59I=")</f>
        <v>#REF!</v>
      </c>
      <c r="HD21" t="e">
        <f>AND(#REF!,"AAAAAD/r59M=")</f>
        <v>#REF!</v>
      </c>
      <c r="HE21" t="e">
        <f>AND(#REF!,"AAAAAD/r59Q=")</f>
        <v>#REF!</v>
      </c>
      <c r="HF21" t="e">
        <f>AND(#REF!,"AAAAAD/r59U=")</f>
        <v>#REF!</v>
      </c>
      <c r="HG21" t="e">
        <f>IF(#REF!,"AAAAAD/r59Y=",0)</f>
        <v>#REF!</v>
      </c>
      <c r="HH21" t="e">
        <f>AND(#REF!,"AAAAAD/r59c=")</f>
        <v>#REF!</v>
      </c>
      <c r="HI21" t="e">
        <f>AND(#REF!,"AAAAAD/r59g=")</f>
        <v>#REF!</v>
      </c>
      <c r="HJ21" t="e">
        <f>AND(#REF!,"AAAAAD/r59k=")</f>
        <v>#REF!</v>
      </c>
      <c r="HK21" t="e">
        <f>AND(#REF!,"AAAAAD/r59o=")</f>
        <v>#REF!</v>
      </c>
      <c r="HL21" t="e">
        <f>AND(#REF!,"AAAAAD/r59s=")</f>
        <v>#REF!</v>
      </c>
      <c r="HM21" t="e">
        <f>AND(#REF!,"AAAAAD/r59w=")</f>
        <v>#REF!</v>
      </c>
      <c r="HN21" t="e">
        <f>AND(#REF!,"AAAAAD/r590=")</f>
        <v>#REF!</v>
      </c>
      <c r="HO21" t="e">
        <f>AND(#REF!,"AAAAAD/r594=")</f>
        <v>#REF!</v>
      </c>
      <c r="HP21" t="e">
        <f>AND(#REF!,"AAAAAD/r598=")</f>
        <v>#REF!</v>
      </c>
      <c r="HQ21" t="e">
        <f>IF(#REF!,"AAAAAD/r5+A=",0)</f>
        <v>#REF!</v>
      </c>
      <c r="HR21" t="e">
        <f>AND(#REF!,"AAAAAD/r5+E=")</f>
        <v>#REF!</v>
      </c>
      <c r="HS21" t="e">
        <f>AND(#REF!,"AAAAAD/r5+I=")</f>
        <v>#REF!</v>
      </c>
      <c r="HT21" t="e">
        <f>AND(#REF!,"AAAAAD/r5+M=")</f>
        <v>#REF!</v>
      </c>
      <c r="HU21" t="e">
        <f>AND(#REF!,"AAAAAD/r5+Q=")</f>
        <v>#REF!</v>
      </c>
      <c r="HV21" t="e">
        <f>AND(#REF!,"AAAAAD/r5+U=")</f>
        <v>#REF!</v>
      </c>
      <c r="HW21" t="e">
        <f>AND(#REF!,"AAAAAD/r5+Y=")</f>
        <v>#REF!</v>
      </c>
      <c r="HX21" t="e">
        <f>AND(#REF!,"AAAAAD/r5+c=")</f>
        <v>#REF!</v>
      </c>
      <c r="HY21" t="e">
        <f>AND(#REF!,"AAAAAD/r5+g=")</f>
        <v>#REF!</v>
      </c>
      <c r="HZ21" t="e">
        <f>AND(#REF!,"AAAAAD/r5+k=")</f>
        <v>#REF!</v>
      </c>
      <c r="IA21" t="e">
        <f>IF(#REF!,"AAAAAD/r5+o=",0)</f>
        <v>#REF!</v>
      </c>
      <c r="IB21" t="e">
        <f>AND(#REF!,"AAAAAD/r5+s=")</f>
        <v>#REF!</v>
      </c>
      <c r="IC21" t="e">
        <f>AND(#REF!,"AAAAAD/r5+w=")</f>
        <v>#REF!</v>
      </c>
      <c r="ID21" t="e">
        <f>AND(#REF!,"AAAAAD/r5+0=")</f>
        <v>#REF!</v>
      </c>
      <c r="IE21" t="e">
        <f>AND(#REF!,"AAAAAD/r5+4=")</f>
        <v>#REF!</v>
      </c>
      <c r="IF21" t="e">
        <f>AND(#REF!,"AAAAAD/r5+8=")</f>
        <v>#REF!</v>
      </c>
      <c r="IG21" t="e">
        <f>AND(#REF!,"AAAAAD/r5/A=")</f>
        <v>#REF!</v>
      </c>
      <c r="IH21" t="e">
        <f>AND(#REF!,"AAAAAD/r5/E=")</f>
        <v>#REF!</v>
      </c>
      <c r="II21" t="e">
        <f>AND(#REF!,"AAAAAD/r5/I=")</f>
        <v>#REF!</v>
      </c>
      <c r="IJ21" t="e">
        <f>AND(#REF!,"AAAAAD/r5/M=")</f>
        <v>#REF!</v>
      </c>
      <c r="IK21" t="e">
        <f>IF(#REF!,"AAAAAD/r5/Q=",0)</f>
        <v>#REF!</v>
      </c>
      <c r="IL21" t="e">
        <f>AND(#REF!,"AAAAAD/r5/U=")</f>
        <v>#REF!</v>
      </c>
      <c r="IM21" t="e">
        <f>AND(#REF!,"AAAAAD/r5/Y=")</f>
        <v>#REF!</v>
      </c>
      <c r="IN21" t="e">
        <f>AND(#REF!,"AAAAAD/r5/c=")</f>
        <v>#REF!</v>
      </c>
      <c r="IO21" t="e">
        <f>AND(#REF!,"AAAAAD/r5/g=")</f>
        <v>#REF!</v>
      </c>
      <c r="IP21" t="e">
        <f>AND(#REF!,"AAAAAD/r5/k=")</f>
        <v>#REF!</v>
      </c>
      <c r="IQ21" t="e">
        <f>AND(#REF!,"AAAAAD/r5/o=")</f>
        <v>#REF!</v>
      </c>
      <c r="IR21" t="e">
        <f>AND(#REF!,"AAAAAD/r5/s=")</f>
        <v>#REF!</v>
      </c>
      <c r="IS21" t="e">
        <f>AND(#REF!,"AAAAAD/r5/w=")</f>
        <v>#REF!</v>
      </c>
      <c r="IT21" t="e">
        <f>AND(#REF!,"AAAAAD/r5/0=")</f>
        <v>#REF!</v>
      </c>
      <c r="IU21" t="e">
        <f>IF(#REF!,"AAAAAD/r5/4=",0)</f>
        <v>#REF!</v>
      </c>
      <c r="IV21" t="e">
        <f>AND(#REF!,"AAAAAD/r5/8=")</f>
        <v>#REF!</v>
      </c>
    </row>
    <row r="22" spans="1:256">
      <c r="A22" t="e">
        <f>AND(#REF!,"AAAAAH3b+wA=")</f>
        <v>#REF!</v>
      </c>
      <c r="B22" t="e">
        <f>AND(#REF!,"AAAAAH3b+wE=")</f>
        <v>#REF!</v>
      </c>
      <c r="C22" t="e">
        <f>AND(#REF!,"AAAAAH3b+wI=")</f>
        <v>#REF!</v>
      </c>
      <c r="D22" t="e">
        <f>AND(#REF!,"AAAAAH3b+wM=")</f>
        <v>#REF!</v>
      </c>
      <c r="E22" t="e">
        <f>AND(#REF!,"AAAAAH3b+wQ=")</f>
        <v>#REF!</v>
      </c>
      <c r="F22" t="e">
        <f>AND(#REF!,"AAAAAH3b+wU=")</f>
        <v>#REF!</v>
      </c>
      <c r="G22" t="e">
        <f>AND(#REF!,"AAAAAH3b+wY=")</f>
        <v>#REF!</v>
      </c>
      <c r="H22" t="e">
        <f>AND(#REF!,"AAAAAH3b+wc=")</f>
        <v>#REF!</v>
      </c>
      <c r="I22" t="e">
        <f>IF(#REF!,"AAAAAH3b+wg=",0)</f>
        <v>#REF!</v>
      </c>
      <c r="J22" t="e">
        <f>AND(#REF!,"AAAAAH3b+wk=")</f>
        <v>#REF!</v>
      </c>
      <c r="K22" t="e">
        <f>AND(#REF!,"AAAAAH3b+wo=")</f>
        <v>#REF!</v>
      </c>
      <c r="L22" t="e">
        <f>AND(#REF!,"AAAAAH3b+ws=")</f>
        <v>#REF!</v>
      </c>
      <c r="M22" t="e">
        <f>AND(#REF!,"AAAAAH3b+ww=")</f>
        <v>#REF!</v>
      </c>
      <c r="N22" t="e">
        <f>AND(#REF!,"AAAAAH3b+w0=")</f>
        <v>#REF!</v>
      </c>
      <c r="O22" t="e">
        <f>AND(#REF!,"AAAAAH3b+w4=")</f>
        <v>#REF!</v>
      </c>
      <c r="P22" t="e">
        <f>AND(#REF!,"AAAAAH3b+w8=")</f>
        <v>#REF!</v>
      </c>
      <c r="Q22" t="e">
        <f>AND(#REF!,"AAAAAH3b+xA=")</f>
        <v>#REF!</v>
      </c>
      <c r="R22" t="e">
        <f>AND(#REF!,"AAAAAH3b+xE=")</f>
        <v>#REF!</v>
      </c>
      <c r="S22" t="e">
        <f>IF(#REF!,"AAAAAH3b+xI=",0)</f>
        <v>#REF!</v>
      </c>
      <c r="T22" t="e">
        <f>AND(#REF!,"AAAAAH3b+xM=")</f>
        <v>#REF!</v>
      </c>
      <c r="U22" t="e">
        <f>AND(#REF!,"AAAAAH3b+xQ=")</f>
        <v>#REF!</v>
      </c>
      <c r="V22" t="e">
        <f>AND(#REF!,"AAAAAH3b+xU=")</f>
        <v>#REF!</v>
      </c>
      <c r="W22" t="e">
        <f>AND(#REF!,"AAAAAH3b+xY=")</f>
        <v>#REF!</v>
      </c>
      <c r="X22" t="e">
        <f>AND(#REF!,"AAAAAH3b+xc=")</f>
        <v>#REF!</v>
      </c>
      <c r="Y22" t="e">
        <f>AND(#REF!,"AAAAAH3b+xg=")</f>
        <v>#REF!</v>
      </c>
      <c r="Z22" t="e">
        <f>AND(#REF!,"AAAAAH3b+xk=")</f>
        <v>#REF!</v>
      </c>
      <c r="AA22" t="e">
        <f>AND(#REF!,"AAAAAH3b+xo=")</f>
        <v>#REF!</v>
      </c>
      <c r="AB22" t="e">
        <f>AND(#REF!,"AAAAAH3b+xs=")</f>
        <v>#REF!</v>
      </c>
      <c r="AC22" t="e">
        <f>IF(#REF!,"AAAAAH3b+xw=",0)</f>
        <v>#REF!</v>
      </c>
      <c r="AD22" t="e">
        <f>AND(#REF!,"AAAAAH3b+x0=")</f>
        <v>#REF!</v>
      </c>
      <c r="AE22" t="e">
        <f>AND(#REF!,"AAAAAH3b+x4=")</f>
        <v>#REF!</v>
      </c>
      <c r="AF22" t="e">
        <f>AND(#REF!,"AAAAAH3b+x8=")</f>
        <v>#REF!</v>
      </c>
      <c r="AG22" t="e">
        <f>AND(#REF!,"AAAAAH3b+yA=")</f>
        <v>#REF!</v>
      </c>
      <c r="AH22" t="e">
        <f>AND(#REF!,"AAAAAH3b+yE=")</f>
        <v>#REF!</v>
      </c>
      <c r="AI22" t="e">
        <f>AND(#REF!,"AAAAAH3b+yI=")</f>
        <v>#REF!</v>
      </c>
      <c r="AJ22" t="e">
        <f>AND(#REF!,"AAAAAH3b+yM=")</f>
        <v>#REF!</v>
      </c>
      <c r="AK22" t="e">
        <f>AND(#REF!,"AAAAAH3b+yQ=")</f>
        <v>#REF!</v>
      </c>
      <c r="AL22" t="e">
        <f>AND(#REF!,"AAAAAH3b+yU=")</f>
        <v>#REF!</v>
      </c>
      <c r="AM22" t="e">
        <f>IF(#REF!,"AAAAAH3b+yY=",0)</f>
        <v>#REF!</v>
      </c>
      <c r="AN22" t="e">
        <f>AND(#REF!,"AAAAAH3b+yc=")</f>
        <v>#REF!</v>
      </c>
      <c r="AO22" t="e">
        <f>AND(#REF!,"AAAAAH3b+yg=")</f>
        <v>#REF!</v>
      </c>
      <c r="AP22" t="e">
        <f>AND(#REF!,"AAAAAH3b+yk=")</f>
        <v>#REF!</v>
      </c>
      <c r="AQ22" t="e">
        <f>AND(#REF!,"AAAAAH3b+yo=")</f>
        <v>#REF!</v>
      </c>
      <c r="AR22" t="e">
        <f>AND(#REF!,"AAAAAH3b+ys=")</f>
        <v>#REF!</v>
      </c>
      <c r="AS22" t="e">
        <f>AND(#REF!,"AAAAAH3b+yw=")</f>
        <v>#REF!</v>
      </c>
      <c r="AT22" t="e">
        <f>AND(#REF!,"AAAAAH3b+y0=")</f>
        <v>#REF!</v>
      </c>
      <c r="AU22" t="e">
        <f>AND(#REF!,"AAAAAH3b+y4=")</f>
        <v>#REF!</v>
      </c>
      <c r="AV22" t="e">
        <f>AND(#REF!,"AAAAAH3b+y8=")</f>
        <v>#REF!</v>
      </c>
      <c r="AW22" t="e">
        <f>IF(#REF!,"AAAAAH3b+zA=",0)</f>
        <v>#REF!</v>
      </c>
      <c r="AX22" t="e">
        <f>AND(#REF!,"AAAAAH3b+zE=")</f>
        <v>#REF!</v>
      </c>
      <c r="AY22" t="e">
        <f>AND(#REF!,"AAAAAH3b+zI=")</f>
        <v>#REF!</v>
      </c>
      <c r="AZ22" t="e">
        <f>AND(#REF!,"AAAAAH3b+zM=")</f>
        <v>#REF!</v>
      </c>
      <c r="BA22" t="e">
        <f>AND(#REF!,"AAAAAH3b+zQ=")</f>
        <v>#REF!</v>
      </c>
      <c r="BB22" t="e">
        <f>AND(#REF!,"AAAAAH3b+zU=")</f>
        <v>#REF!</v>
      </c>
      <c r="BC22" t="e">
        <f>AND(#REF!,"AAAAAH3b+zY=")</f>
        <v>#REF!</v>
      </c>
      <c r="BD22" t="e">
        <f>AND(#REF!,"AAAAAH3b+zc=")</f>
        <v>#REF!</v>
      </c>
      <c r="BE22" t="e">
        <f>AND(#REF!,"AAAAAH3b+zg=")</f>
        <v>#REF!</v>
      </c>
      <c r="BF22" t="e">
        <f>AND(#REF!,"AAAAAH3b+zk=")</f>
        <v>#REF!</v>
      </c>
      <c r="BG22" t="e">
        <f>IF(#REF!,"AAAAAH3b+zo=",0)</f>
        <v>#REF!</v>
      </c>
      <c r="BH22" t="e">
        <f>AND(#REF!,"AAAAAH3b+zs=")</f>
        <v>#REF!</v>
      </c>
      <c r="BI22" t="e">
        <f>AND(#REF!,"AAAAAH3b+zw=")</f>
        <v>#REF!</v>
      </c>
      <c r="BJ22" t="e">
        <f>AND(#REF!,"AAAAAH3b+z0=")</f>
        <v>#REF!</v>
      </c>
      <c r="BK22" t="e">
        <f>AND(#REF!,"AAAAAH3b+z4=")</f>
        <v>#REF!</v>
      </c>
      <c r="BL22" t="e">
        <f>AND(#REF!,"AAAAAH3b+z8=")</f>
        <v>#REF!</v>
      </c>
      <c r="BM22" t="e">
        <f>AND(#REF!,"AAAAAH3b+0A=")</f>
        <v>#REF!</v>
      </c>
      <c r="BN22" t="e">
        <f>AND(#REF!,"AAAAAH3b+0E=")</f>
        <v>#REF!</v>
      </c>
      <c r="BO22" t="e">
        <f>AND(#REF!,"AAAAAH3b+0I=")</f>
        <v>#REF!</v>
      </c>
      <c r="BP22" t="e">
        <f>AND(#REF!,"AAAAAH3b+0M=")</f>
        <v>#REF!</v>
      </c>
      <c r="BQ22" t="e">
        <f>IF(#REF!,"AAAAAH3b+0Q=",0)</f>
        <v>#REF!</v>
      </c>
      <c r="BR22" t="e">
        <f>AND(#REF!,"AAAAAH3b+0U=")</f>
        <v>#REF!</v>
      </c>
      <c r="BS22" t="e">
        <f>AND(#REF!,"AAAAAH3b+0Y=")</f>
        <v>#REF!</v>
      </c>
      <c r="BT22" t="e">
        <f>AND(#REF!,"AAAAAH3b+0c=")</f>
        <v>#REF!</v>
      </c>
      <c r="BU22" t="e">
        <f>AND(#REF!,"AAAAAH3b+0g=")</f>
        <v>#REF!</v>
      </c>
      <c r="BV22" t="e">
        <f>AND(#REF!,"AAAAAH3b+0k=")</f>
        <v>#REF!</v>
      </c>
      <c r="BW22" t="e">
        <f>AND(#REF!,"AAAAAH3b+0o=")</f>
        <v>#REF!</v>
      </c>
      <c r="BX22" t="e">
        <f>AND(#REF!,"AAAAAH3b+0s=")</f>
        <v>#REF!</v>
      </c>
      <c r="BY22" t="e">
        <f>AND(#REF!,"AAAAAH3b+0w=")</f>
        <v>#REF!</v>
      </c>
      <c r="BZ22" t="e">
        <f>AND(#REF!,"AAAAAH3b+00=")</f>
        <v>#REF!</v>
      </c>
      <c r="CA22" t="e">
        <f>IF(#REF!,"AAAAAH3b+04=",0)</f>
        <v>#REF!</v>
      </c>
      <c r="CB22" t="e">
        <f>AND(#REF!,"AAAAAH3b+08=")</f>
        <v>#REF!</v>
      </c>
      <c r="CC22" t="e">
        <f>AND(#REF!,"AAAAAH3b+1A=")</f>
        <v>#REF!</v>
      </c>
      <c r="CD22" t="e">
        <f>AND(#REF!,"AAAAAH3b+1E=")</f>
        <v>#REF!</v>
      </c>
      <c r="CE22" t="e">
        <f>AND(#REF!,"AAAAAH3b+1I=")</f>
        <v>#REF!</v>
      </c>
      <c r="CF22" t="e">
        <f>AND(#REF!,"AAAAAH3b+1M=")</f>
        <v>#REF!</v>
      </c>
      <c r="CG22" t="e">
        <f>AND(#REF!,"AAAAAH3b+1Q=")</f>
        <v>#REF!</v>
      </c>
      <c r="CH22" t="e">
        <f>AND(#REF!,"AAAAAH3b+1U=")</f>
        <v>#REF!</v>
      </c>
      <c r="CI22" t="e">
        <f>AND(#REF!,"AAAAAH3b+1Y=")</f>
        <v>#REF!</v>
      </c>
      <c r="CJ22" t="e">
        <f>AND(#REF!,"AAAAAH3b+1c=")</f>
        <v>#REF!</v>
      </c>
      <c r="CK22" t="e">
        <f>IF(#REF!,"AAAAAH3b+1g=",0)</f>
        <v>#REF!</v>
      </c>
      <c r="CL22" t="e">
        <f>AND(#REF!,"AAAAAH3b+1k=")</f>
        <v>#REF!</v>
      </c>
      <c r="CM22" t="e">
        <f>AND(#REF!,"AAAAAH3b+1o=")</f>
        <v>#REF!</v>
      </c>
      <c r="CN22" t="e">
        <f>AND(#REF!,"AAAAAH3b+1s=")</f>
        <v>#REF!</v>
      </c>
      <c r="CO22" t="e">
        <f>AND(#REF!,"AAAAAH3b+1w=")</f>
        <v>#REF!</v>
      </c>
      <c r="CP22" t="e">
        <f>AND(#REF!,"AAAAAH3b+10=")</f>
        <v>#REF!</v>
      </c>
      <c r="CQ22" t="e">
        <f>AND(#REF!,"AAAAAH3b+14=")</f>
        <v>#REF!</v>
      </c>
      <c r="CR22" t="e">
        <f>AND(#REF!,"AAAAAH3b+18=")</f>
        <v>#REF!</v>
      </c>
      <c r="CS22" t="e">
        <f>AND(#REF!,"AAAAAH3b+2A=")</f>
        <v>#REF!</v>
      </c>
      <c r="CT22" t="e">
        <f>AND(#REF!,"AAAAAH3b+2E=")</f>
        <v>#REF!</v>
      </c>
      <c r="CU22" t="e">
        <f>IF(#REF!,"AAAAAH3b+2I=",0)</f>
        <v>#REF!</v>
      </c>
      <c r="CV22" t="e">
        <f>AND(#REF!,"AAAAAH3b+2M=")</f>
        <v>#REF!</v>
      </c>
      <c r="CW22" t="e">
        <f>AND(#REF!,"AAAAAH3b+2Q=")</f>
        <v>#REF!</v>
      </c>
      <c r="CX22" t="e">
        <f>AND(#REF!,"AAAAAH3b+2U=")</f>
        <v>#REF!</v>
      </c>
      <c r="CY22" t="e">
        <f>AND(#REF!,"AAAAAH3b+2Y=")</f>
        <v>#REF!</v>
      </c>
      <c r="CZ22" t="e">
        <f>AND(#REF!,"AAAAAH3b+2c=")</f>
        <v>#REF!</v>
      </c>
      <c r="DA22" t="e">
        <f>AND(#REF!,"AAAAAH3b+2g=")</f>
        <v>#REF!</v>
      </c>
      <c r="DB22" t="e">
        <f>AND(#REF!,"AAAAAH3b+2k=")</f>
        <v>#REF!</v>
      </c>
      <c r="DC22" t="e">
        <f>AND(#REF!,"AAAAAH3b+2o=")</f>
        <v>#REF!</v>
      </c>
      <c r="DD22" t="e">
        <f>AND(#REF!,"AAAAAH3b+2s=")</f>
        <v>#REF!</v>
      </c>
      <c r="DE22" t="e">
        <f>IF(#REF!,"AAAAAH3b+2w=",0)</f>
        <v>#REF!</v>
      </c>
      <c r="DF22" t="e">
        <f>AND(#REF!,"AAAAAH3b+20=")</f>
        <v>#REF!</v>
      </c>
      <c r="DG22" t="e">
        <f>AND(#REF!,"AAAAAH3b+24=")</f>
        <v>#REF!</v>
      </c>
      <c r="DH22" t="e">
        <f>AND(#REF!,"AAAAAH3b+28=")</f>
        <v>#REF!</v>
      </c>
      <c r="DI22" t="e">
        <f>AND(#REF!,"AAAAAH3b+3A=")</f>
        <v>#REF!</v>
      </c>
      <c r="DJ22" t="e">
        <f>AND(#REF!,"AAAAAH3b+3E=")</f>
        <v>#REF!</v>
      </c>
      <c r="DK22" t="e">
        <f>AND(#REF!,"AAAAAH3b+3I=")</f>
        <v>#REF!</v>
      </c>
      <c r="DL22" t="e">
        <f>AND(#REF!,"AAAAAH3b+3M=")</f>
        <v>#REF!</v>
      </c>
      <c r="DM22" t="e">
        <f>AND(#REF!,"AAAAAH3b+3Q=")</f>
        <v>#REF!</v>
      </c>
      <c r="DN22" t="e">
        <f>AND(#REF!,"AAAAAH3b+3U=")</f>
        <v>#REF!</v>
      </c>
      <c r="DO22" t="e">
        <f>IF(#REF!,"AAAAAH3b+3Y=",0)</f>
        <v>#REF!</v>
      </c>
      <c r="DP22" t="e">
        <f>AND(#REF!,"AAAAAH3b+3c=")</f>
        <v>#REF!</v>
      </c>
      <c r="DQ22" t="e">
        <f>AND(#REF!,"AAAAAH3b+3g=")</f>
        <v>#REF!</v>
      </c>
      <c r="DR22" t="e">
        <f>AND(#REF!,"AAAAAH3b+3k=")</f>
        <v>#REF!</v>
      </c>
      <c r="DS22" t="e">
        <f>AND(#REF!,"AAAAAH3b+3o=")</f>
        <v>#REF!</v>
      </c>
      <c r="DT22" t="e">
        <f>AND(#REF!,"AAAAAH3b+3s=")</f>
        <v>#REF!</v>
      </c>
      <c r="DU22" t="e">
        <f>AND(#REF!,"AAAAAH3b+3w=")</f>
        <v>#REF!</v>
      </c>
      <c r="DV22" t="e">
        <f>AND(#REF!,"AAAAAH3b+30=")</f>
        <v>#REF!</v>
      </c>
      <c r="DW22" t="e">
        <f>AND(#REF!,"AAAAAH3b+34=")</f>
        <v>#REF!</v>
      </c>
      <c r="DX22" t="e">
        <f>AND(#REF!,"AAAAAH3b+38=")</f>
        <v>#REF!</v>
      </c>
      <c r="DY22" t="e">
        <f>IF(#REF!,"AAAAAH3b+4A=",0)</f>
        <v>#REF!</v>
      </c>
      <c r="DZ22" t="e">
        <f>AND(#REF!,"AAAAAH3b+4E=")</f>
        <v>#REF!</v>
      </c>
      <c r="EA22" t="e">
        <f>AND(#REF!,"AAAAAH3b+4I=")</f>
        <v>#REF!</v>
      </c>
      <c r="EB22" t="e">
        <f>AND(#REF!,"AAAAAH3b+4M=")</f>
        <v>#REF!</v>
      </c>
      <c r="EC22" t="e">
        <f>AND(#REF!,"AAAAAH3b+4Q=")</f>
        <v>#REF!</v>
      </c>
      <c r="ED22" t="e">
        <f>AND(#REF!,"AAAAAH3b+4U=")</f>
        <v>#REF!</v>
      </c>
      <c r="EE22" t="e">
        <f>AND(#REF!,"AAAAAH3b+4Y=")</f>
        <v>#REF!</v>
      </c>
      <c r="EF22" t="e">
        <f>AND(#REF!,"AAAAAH3b+4c=")</f>
        <v>#REF!</v>
      </c>
      <c r="EG22" t="e">
        <f>AND(#REF!,"AAAAAH3b+4g=")</f>
        <v>#REF!</v>
      </c>
      <c r="EH22" t="e">
        <f>AND(#REF!,"AAAAAH3b+4k=")</f>
        <v>#REF!</v>
      </c>
      <c r="EI22" t="e">
        <f>IF(#REF!,"AAAAAH3b+4o=",0)</f>
        <v>#REF!</v>
      </c>
      <c r="EJ22" t="e">
        <f>AND(#REF!,"AAAAAH3b+4s=")</f>
        <v>#REF!</v>
      </c>
      <c r="EK22" t="e">
        <f>AND(#REF!,"AAAAAH3b+4w=")</f>
        <v>#REF!</v>
      </c>
      <c r="EL22" t="e">
        <f>AND(#REF!,"AAAAAH3b+40=")</f>
        <v>#REF!</v>
      </c>
      <c r="EM22" t="e">
        <f>AND(#REF!,"AAAAAH3b+44=")</f>
        <v>#REF!</v>
      </c>
      <c r="EN22" t="e">
        <f>AND(#REF!,"AAAAAH3b+48=")</f>
        <v>#REF!</v>
      </c>
      <c r="EO22" t="e">
        <f>AND(#REF!,"AAAAAH3b+5A=")</f>
        <v>#REF!</v>
      </c>
      <c r="EP22" t="e">
        <f>AND(#REF!,"AAAAAH3b+5E=")</f>
        <v>#REF!</v>
      </c>
      <c r="EQ22" t="e">
        <f>AND(#REF!,"AAAAAH3b+5I=")</f>
        <v>#REF!</v>
      </c>
      <c r="ER22" t="e">
        <f>AND(#REF!,"AAAAAH3b+5M=")</f>
        <v>#REF!</v>
      </c>
      <c r="ES22" t="e">
        <f>IF(#REF!,"AAAAAH3b+5Q=",0)</f>
        <v>#REF!</v>
      </c>
      <c r="ET22" t="e">
        <f>AND(#REF!,"AAAAAH3b+5U=")</f>
        <v>#REF!</v>
      </c>
      <c r="EU22" t="e">
        <f>AND(#REF!,"AAAAAH3b+5Y=")</f>
        <v>#REF!</v>
      </c>
      <c r="EV22" t="e">
        <f>AND(#REF!,"AAAAAH3b+5c=")</f>
        <v>#REF!</v>
      </c>
      <c r="EW22" t="e">
        <f>AND(#REF!,"AAAAAH3b+5g=")</f>
        <v>#REF!</v>
      </c>
      <c r="EX22" t="e">
        <f>AND(#REF!,"AAAAAH3b+5k=")</f>
        <v>#REF!</v>
      </c>
      <c r="EY22" t="e">
        <f>AND(#REF!,"AAAAAH3b+5o=")</f>
        <v>#REF!</v>
      </c>
      <c r="EZ22" t="e">
        <f>AND(#REF!,"AAAAAH3b+5s=")</f>
        <v>#REF!</v>
      </c>
      <c r="FA22" t="e">
        <f>AND(#REF!,"AAAAAH3b+5w=")</f>
        <v>#REF!</v>
      </c>
      <c r="FB22" t="e">
        <f>AND(#REF!,"AAAAAH3b+50=")</f>
        <v>#REF!</v>
      </c>
      <c r="FC22" t="e">
        <f>IF(#REF!,"AAAAAH3b+54=",0)</f>
        <v>#REF!</v>
      </c>
      <c r="FD22" t="e">
        <f>AND(#REF!,"AAAAAH3b+58=")</f>
        <v>#REF!</v>
      </c>
      <c r="FE22" t="e">
        <f>AND(#REF!,"AAAAAH3b+6A=")</f>
        <v>#REF!</v>
      </c>
      <c r="FF22" t="e">
        <f>AND(#REF!,"AAAAAH3b+6E=")</f>
        <v>#REF!</v>
      </c>
      <c r="FG22" t="e">
        <f>AND(#REF!,"AAAAAH3b+6I=")</f>
        <v>#REF!</v>
      </c>
      <c r="FH22" t="e">
        <f>AND(#REF!,"AAAAAH3b+6M=")</f>
        <v>#REF!</v>
      </c>
      <c r="FI22" t="e">
        <f>AND(#REF!,"AAAAAH3b+6Q=")</f>
        <v>#REF!</v>
      </c>
      <c r="FJ22" t="e">
        <f>AND(#REF!,"AAAAAH3b+6U=")</f>
        <v>#REF!</v>
      </c>
      <c r="FK22" t="e">
        <f>AND(#REF!,"AAAAAH3b+6Y=")</f>
        <v>#REF!</v>
      </c>
      <c r="FL22" t="e">
        <f>AND(#REF!,"AAAAAH3b+6c=")</f>
        <v>#REF!</v>
      </c>
      <c r="FM22" t="e">
        <f>IF(#REF!,"AAAAAH3b+6g=",0)</f>
        <v>#REF!</v>
      </c>
      <c r="FN22" t="e">
        <f>AND(#REF!,"AAAAAH3b+6k=")</f>
        <v>#REF!</v>
      </c>
      <c r="FO22" t="e">
        <f>AND(#REF!,"AAAAAH3b+6o=")</f>
        <v>#REF!</v>
      </c>
      <c r="FP22" t="e">
        <f>AND(#REF!,"AAAAAH3b+6s=")</f>
        <v>#REF!</v>
      </c>
      <c r="FQ22" t="e">
        <f>AND(#REF!,"AAAAAH3b+6w=")</f>
        <v>#REF!</v>
      </c>
      <c r="FR22" t="e">
        <f>AND(#REF!,"AAAAAH3b+60=")</f>
        <v>#REF!</v>
      </c>
      <c r="FS22" t="e">
        <f>AND(#REF!,"AAAAAH3b+64=")</f>
        <v>#REF!</v>
      </c>
      <c r="FT22" t="e">
        <f>AND(#REF!,"AAAAAH3b+68=")</f>
        <v>#REF!</v>
      </c>
      <c r="FU22" t="e">
        <f>AND(#REF!,"AAAAAH3b+7A=")</f>
        <v>#REF!</v>
      </c>
      <c r="FV22" t="e">
        <f>AND(#REF!,"AAAAAH3b+7E=")</f>
        <v>#REF!</v>
      </c>
      <c r="FW22" t="e">
        <f>IF(#REF!,"AAAAAH3b+7I=",0)</f>
        <v>#REF!</v>
      </c>
      <c r="FX22" t="e">
        <f>AND(#REF!,"AAAAAH3b+7M=")</f>
        <v>#REF!</v>
      </c>
      <c r="FY22" t="e">
        <f>AND(#REF!,"AAAAAH3b+7Q=")</f>
        <v>#REF!</v>
      </c>
      <c r="FZ22" t="e">
        <f>AND(#REF!,"AAAAAH3b+7U=")</f>
        <v>#REF!</v>
      </c>
      <c r="GA22" t="e">
        <f>AND(#REF!,"AAAAAH3b+7Y=")</f>
        <v>#REF!</v>
      </c>
      <c r="GB22" t="e">
        <f>AND(#REF!,"AAAAAH3b+7c=")</f>
        <v>#REF!</v>
      </c>
      <c r="GC22" t="e">
        <f>AND(#REF!,"AAAAAH3b+7g=")</f>
        <v>#REF!</v>
      </c>
      <c r="GD22" t="e">
        <f>AND(#REF!,"AAAAAH3b+7k=")</f>
        <v>#REF!</v>
      </c>
      <c r="GE22" t="e">
        <f>AND(#REF!,"AAAAAH3b+7o=")</f>
        <v>#REF!</v>
      </c>
      <c r="GF22" t="e">
        <f>AND(#REF!,"AAAAAH3b+7s=")</f>
        <v>#REF!</v>
      </c>
      <c r="GG22" t="e">
        <f>IF(#REF!,"AAAAAH3b+7w=",0)</f>
        <v>#REF!</v>
      </c>
      <c r="GH22" t="e">
        <f>AND(#REF!,"AAAAAH3b+70=")</f>
        <v>#REF!</v>
      </c>
      <c r="GI22" t="e">
        <f>AND(#REF!,"AAAAAH3b+74=")</f>
        <v>#REF!</v>
      </c>
      <c r="GJ22" t="e">
        <f>AND(#REF!,"AAAAAH3b+78=")</f>
        <v>#REF!</v>
      </c>
      <c r="GK22" t="e">
        <f>AND(#REF!,"AAAAAH3b+8A=")</f>
        <v>#REF!</v>
      </c>
      <c r="GL22" t="e">
        <f>AND(#REF!,"AAAAAH3b+8E=")</f>
        <v>#REF!</v>
      </c>
      <c r="GM22" t="e">
        <f>AND(#REF!,"AAAAAH3b+8I=")</f>
        <v>#REF!</v>
      </c>
      <c r="GN22" t="e">
        <f>AND(#REF!,"AAAAAH3b+8M=")</f>
        <v>#REF!</v>
      </c>
      <c r="GO22" t="e">
        <f>AND(#REF!,"AAAAAH3b+8Q=")</f>
        <v>#REF!</v>
      </c>
      <c r="GP22" t="e">
        <f>AND(#REF!,"AAAAAH3b+8U=")</f>
        <v>#REF!</v>
      </c>
      <c r="GQ22" t="e">
        <f>IF(#REF!,"AAAAAH3b+8Y=",0)</f>
        <v>#REF!</v>
      </c>
      <c r="GR22" t="e">
        <f>AND(#REF!,"AAAAAH3b+8c=")</f>
        <v>#REF!</v>
      </c>
      <c r="GS22" t="e">
        <f>AND(#REF!,"AAAAAH3b+8g=")</f>
        <v>#REF!</v>
      </c>
      <c r="GT22" t="e">
        <f>AND(#REF!,"AAAAAH3b+8k=")</f>
        <v>#REF!</v>
      </c>
      <c r="GU22" t="e">
        <f>AND(#REF!,"AAAAAH3b+8o=")</f>
        <v>#REF!</v>
      </c>
      <c r="GV22" t="e">
        <f>AND(#REF!,"AAAAAH3b+8s=")</f>
        <v>#REF!</v>
      </c>
      <c r="GW22" t="e">
        <f>AND(#REF!,"AAAAAH3b+8w=")</f>
        <v>#REF!</v>
      </c>
      <c r="GX22" t="e">
        <f>AND(#REF!,"AAAAAH3b+80=")</f>
        <v>#REF!</v>
      </c>
      <c r="GY22" t="e">
        <f>AND(#REF!,"AAAAAH3b+84=")</f>
        <v>#REF!</v>
      </c>
      <c r="GZ22" t="e">
        <f>AND(#REF!,"AAAAAH3b+88=")</f>
        <v>#REF!</v>
      </c>
      <c r="HA22" t="e">
        <f>IF(#REF!,"AAAAAH3b+9A=",0)</f>
        <v>#REF!</v>
      </c>
      <c r="HB22" t="e">
        <f>AND(#REF!,"AAAAAH3b+9E=")</f>
        <v>#REF!</v>
      </c>
      <c r="HC22" t="e">
        <f>AND(#REF!,"AAAAAH3b+9I=")</f>
        <v>#REF!</v>
      </c>
      <c r="HD22" t="e">
        <f>AND(#REF!,"AAAAAH3b+9M=")</f>
        <v>#REF!</v>
      </c>
      <c r="HE22" t="e">
        <f>AND(#REF!,"AAAAAH3b+9Q=")</f>
        <v>#REF!</v>
      </c>
      <c r="HF22" t="e">
        <f>AND(#REF!,"AAAAAH3b+9U=")</f>
        <v>#REF!</v>
      </c>
      <c r="HG22" t="e">
        <f>AND(#REF!,"AAAAAH3b+9Y=")</f>
        <v>#REF!</v>
      </c>
      <c r="HH22" t="e">
        <f>AND(#REF!,"AAAAAH3b+9c=")</f>
        <v>#REF!</v>
      </c>
      <c r="HI22" t="e">
        <f>AND(#REF!,"AAAAAH3b+9g=")</f>
        <v>#REF!</v>
      </c>
      <c r="HJ22" t="e">
        <f>AND(#REF!,"AAAAAH3b+9k=")</f>
        <v>#REF!</v>
      </c>
      <c r="HK22" t="e">
        <f>IF(#REF!,"AAAAAH3b+9o=",0)</f>
        <v>#REF!</v>
      </c>
      <c r="HL22" t="e">
        <f>AND(#REF!,"AAAAAH3b+9s=")</f>
        <v>#REF!</v>
      </c>
      <c r="HM22" t="e">
        <f>AND(#REF!,"AAAAAH3b+9w=")</f>
        <v>#REF!</v>
      </c>
      <c r="HN22" t="e">
        <f>AND(#REF!,"AAAAAH3b+90=")</f>
        <v>#REF!</v>
      </c>
      <c r="HO22" t="e">
        <f>AND(#REF!,"AAAAAH3b+94=")</f>
        <v>#REF!</v>
      </c>
      <c r="HP22" t="e">
        <f>AND(#REF!,"AAAAAH3b+98=")</f>
        <v>#REF!</v>
      </c>
      <c r="HQ22" t="e">
        <f>AND(#REF!,"AAAAAH3b++A=")</f>
        <v>#REF!</v>
      </c>
      <c r="HR22" t="e">
        <f>AND(#REF!,"AAAAAH3b++E=")</f>
        <v>#REF!</v>
      </c>
      <c r="HS22" t="e">
        <f>AND(#REF!,"AAAAAH3b++I=")</f>
        <v>#REF!</v>
      </c>
      <c r="HT22" t="e">
        <f>AND(#REF!,"AAAAAH3b++M=")</f>
        <v>#REF!</v>
      </c>
      <c r="HU22" t="e">
        <f>IF(#REF!,"AAAAAH3b++Q=",0)</f>
        <v>#REF!</v>
      </c>
      <c r="HV22" t="e">
        <f>AND(#REF!,"AAAAAH3b++U=")</f>
        <v>#REF!</v>
      </c>
      <c r="HW22" t="e">
        <f>AND(#REF!,"AAAAAH3b++Y=")</f>
        <v>#REF!</v>
      </c>
      <c r="HX22" t="e">
        <f>AND(#REF!,"AAAAAH3b++c=")</f>
        <v>#REF!</v>
      </c>
      <c r="HY22" t="e">
        <f>AND(#REF!,"AAAAAH3b++g=")</f>
        <v>#REF!</v>
      </c>
      <c r="HZ22" t="e">
        <f>AND(#REF!,"AAAAAH3b++k=")</f>
        <v>#REF!</v>
      </c>
      <c r="IA22" t="e">
        <f>AND(#REF!,"AAAAAH3b++o=")</f>
        <v>#REF!</v>
      </c>
      <c r="IB22" t="e">
        <f>AND(#REF!,"AAAAAH3b++s=")</f>
        <v>#REF!</v>
      </c>
      <c r="IC22" t="e">
        <f>AND(#REF!,"AAAAAH3b++w=")</f>
        <v>#REF!</v>
      </c>
      <c r="ID22" t="e">
        <f>AND(#REF!,"AAAAAH3b++0=")</f>
        <v>#REF!</v>
      </c>
      <c r="IE22" t="e">
        <f>IF(#REF!,"AAAAAH3b++4=",0)</f>
        <v>#REF!</v>
      </c>
      <c r="IF22" t="e">
        <f>AND(#REF!,"AAAAAH3b++8=")</f>
        <v>#REF!</v>
      </c>
      <c r="IG22" t="e">
        <f>AND(#REF!,"AAAAAH3b+/A=")</f>
        <v>#REF!</v>
      </c>
      <c r="IH22" t="e">
        <f>AND(#REF!,"AAAAAH3b+/E=")</f>
        <v>#REF!</v>
      </c>
      <c r="II22" t="e">
        <f>AND(#REF!,"AAAAAH3b+/I=")</f>
        <v>#REF!</v>
      </c>
      <c r="IJ22" t="e">
        <f>AND(#REF!,"AAAAAH3b+/M=")</f>
        <v>#REF!</v>
      </c>
      <c r="IK22" t="e">
        <f>AND(#REF!,"AAAAAH3b+/Q=")</f>
        <v>#REF!</v>
      </c>
      <c r="IL22" t="e">
        <f>AND(#REF!,"AAAAAH3b+/U=")</f>
        <v>#REF!</v>
      </c>
      <c r="IM22" t="e">
        <f>AND(#REF!,"AAAAAH3b+/Y=")</f>
        <v>#REF!</v>
      </c>
      <c r="IN22" t="e">
        <f>AND(#REF!,"AAAAAH3b+/c=")</f>
        <v>#REF!</v>
      </c>
      <c r="IO22" t="e">
        <f>IF(#REF!,"AAAAAH3b+/g=",0)</f>
        <v>#REF!</v>
      </c>
      <c r="IP22" t="e">
        <f>AND(#REF!,"AAAAAH3b+/k=")</f>
        <v>#REF!</v>
      </c>
      <c r="IQ22" t="e">
        <f>AND(#REF!,"AAAAAH3b+/o=")</f>
        <v>#REF!</v>
      </c>
      <c r="IR22" t="e">
        <f>AND(#REF!,"AAAAAH3b+/s=")</f>
        <v>#REF!</v>
      </c>
      <c r="IS22" t="e">
        <f>AND(#REF!,"AAAAAH3b+/w=")</f>
        <v>#REF!</v>
      </c>
      <c r="IT22" t="e">
        <f>AND(#REF!,"AAAAAH3b+/0=")</f>
        <v>#REF!</v>
      </c>
      <c r="IU22" t="e">
        <f>AND(#REF!,"AAAAAH3b+/4=")</f>
        <v>#REF!</v>
      </c>
      <c r="IV22" t="e">
        <f>AND(#REF!,"AAAAAH3b+/8=")</f>
        <v>#REF!</v>
      </c>
    </row>
    <row r="23" spans="1:256">
      <c r="A23" t="e">
        <f>AND(#REF!,"AAAAAD5qvwA=")</f>
        <v>#REF!</v>
      </c>
      <c r="B23" t="e">
        <f>AND(#REF!,"AAAAAD5qvwE=")</f>
        <v>#REF!</v>
      </c>
      <c r="C23" t="e">
        <f>IF(#REF!,"AAAAAD5qvwI=",0)</f>
        <v>#REF!</v>
      </c>
      <c r="D23" t="e">
        <f>AND(#REF!,"AAAAAD5qvwM=")</f>
        <v>#REF!</v>
      </c>
      <c r="E23" t="e">
        <f>AND(#REF!,"AAAAAD5qvwQ=")</f>
        <v>#REF!</v>
      </c>
      <c r="F23" t="e">
        <f>AND(#REF!,"AAAAAD5qvwU=")</f>
        <v>#REF!</v>
      </c>
      <c r="G23" t="e">
        <f>AND(#REF!,"AAAAAD5qvwY=")</f>
        <v>#REF!</v>
      </c>
      <c r="H23" t="e">
        <f>AND(#REF!,"AAAAAD5qvwc=")</f>
        <v>#REF!</v>
      </c>
      <c r="I23" t="e">
        <f>AND(#REF!,"AAAAAD5qvwg=")</f>
        <v>#REF!</v>
      </c>
      <c r="J23" t="e">
        <f>AND(#REF!,"AAAAAD5qvwk=")</f>
        <v>#REF!</v>
      </c>
      <c r="K23" t="e">
        <f>AND(#REF!,"AAAAAD5qvwo=")</f>
        <v>#REF!</v>
      </c>
      <c r="L23" t="e">
        <f>AND(#REF!,"AAAAAD5qvws=")</f>
        <v>#REF!</v>
      </c>
      <c r="M23" t="e">
        <f>IF(#REF!,"AAAAAD5qvww=",0)</f>
        <v>#REF!</v>
      </c>
      <c r="N23" t="e">
        <f>AND(#REF!,"AAAAAD5qvw0=")</f>
        <v>#REF!</v>
      </c>
      <c r="O23" t="e">
        <f>AND(#REF!,"AAAAAD5qvw4=")</f>
        <v>#REF!</v>
      </c>
      <c r="P23" t="e">
        <f>AND(#REF!,"AAAAAD5qvw8=")</f>
        <v>#REF!</v>
      </c>
      <c r="Q23" t="e">
        <f>AND(#REF!,"AAAAAD5qvxA=")</f>
        <v>#REF!</v>
      </c>
      <c r="R23" t="e">
        <f>AND(#REF!,"AAAAAD5qvxE=")</f>
        <v>#REF!</v>
      </c>
      <c r="S23" t="e">
        <f>AND(#REF!,"AAAAAD5qvxI=")</f>
        <v>#REF!</v>
      </c>
      <c r="T23" t="e">
        <f>AND(#REF!,"AAAAAD5qvxM=")</f>
        <v>#REF!</v>
      </c>
      <c r="U23" t="e">
        <f>AND(#REF!,"AAAAAD5qvxQ=")</f>
        <v>#REF!</v>
      </c>
      <c r="V23" t="e">
        <f>AND(#REF!,"AAAAAD5qvxU=")</f>
        <v>#REF!</v>
      </c>
      <c r="W23" t="e">
        <f>IF(#REF!,"AAAAAD5qvxY=",0)</f>
        <v>#REF!</v>
      </c>
      <c r="X23" t="e">
        <f>AND(#REF!,"AAAAAD5qvxc=")</f>
        <v>#REF!</v>
      </c>
      <c r="Y23" t="e">
        <f>AND(#REF!,"AAAAAD5qvxg=")</f>
        <v>#REF!</v>
      </c>
      <c r="Z23" t="e">
        <f>AND(#REF!,"AAAAAD5qvxk=")</f>
        <v>#REF!</v>
      </c>
      <c r="AA23" t="e">
        <f>AND(#REF!,"AAAAAD5qvxo=")</f>
        <v>#REF!</v>
      </c>
      <c r="AB23" t="e">
        <f>AND(#REF!,"AAAAAD5qvxs=")</f>
        <v>#REF!</v>
      </c>
      <c r="AC23" t="e">
        <f>AND(#REF!,"AAAAAD5qvxw=")</f>
        <v>#REF!</v>
      </c>
      <c r="AD23" t="e">
        <f>AND(#REF!,"AAAAAD5qvx0=")</f>
        <v>#REF!</v>
      </c>
      <c r="AE23" t="e">
        <f>AND(#REF!,"AAAAAD5qvx4=")</f>
        <v>#REF!</v>
      </c>
      <c r="AF23" t="e">
        <f>AND(#REF!,"AAAAAD5qvx8=")</f>
        <v>#REF!</v>
      </c>
      <c r="AG23" t="e">
        <f>IF(#REF!,"AAAAAD5qvyA=",0)</f>
        <v>#REF!</v>
      </c>
      <c r="AH23" t="e">
        <f>AND(#REF!,"AAAAAD5qvyE=")</f>
        <v>#REF!</v>
      </c>
      <c r="AI23" t="e">
        <f>AND(#REF!,"AAAAAD5qvyI=")</f>
        <v>#REF!</v>
      </c>
      <c r="AJ23" t="e">
        <f>AND(#REF!,"AAAAAD5qvyM=")</f>
        <v>#REF!</v>
      </c>
      <c r="AK23" t="e">
        <f>AND(#REF!,"AAAAAD5qvyQ=")</f>
        <v>#REF!</v>
      </c>
      <c r="AL23" t="e">
        <f>AND(#REF!,"AAAAAD5qvyU=")</f>
        <v>#REF!</v>
      </c>
      <c r="AM23" t="e">
        <f>AND(#REF!,"AAAAAD5qvyY=")</f>
        <v>#REF!</v>
      </c>
      <c r="AN23" t="e">
        <f>AND(#REF!,"AAAAAD5qvyc=")</f>
        <v>#REF!</v>
      </c>
      <c r="AO23" t="e">
        <f>AND(#REF!,"AAAAAD5qvyg=")</f>
        <v>#REF!</v>
      </c>
      <c r="AP23" t="e">
        <f>AND(#REF!,"AAAAAD5qvyk=")</f>
        <v>#REF!</v>
      </c>
      <c r="AQ23" t="e">
        <f>IF(#REF!,"AAAAAD5qvyo=",0)</f>
        <v>#REF!</v>
      </c>
      <c r="AR23" t="e">
        <f>AND(#REF!,"AAAAAD5qvys=")</f>
        <v>#REF!</v>
      </c>
      <c r="AS23" t="e">
        <f>AND(#REF!,"AAAAAD5qvyw=")</f>
        <v>#REF!</v>
      </c>
      <c r="AT23" t="e">
        <f>AND(#REF!,"AAAAAD5qvy0=")</f>
        <v>#REF!</v>
      </c>
      <c r="AU23" t="e">
        <f>AND(#REF!,"AAAAAD5qvy4=")</f>
        <v>#REF!</v>
      </c>
      <c r="AV23" t="e">
        <f>AND(#REF!,"AAAAAD5qvy8=")</f>
        <v>#REF!</v>
      </c>
      <c r="AW23" t="e">
        <f>AND(#REF!,"AAAAAD5qvzA=")</f>
        <v>#REF!</v>
      </c>
      <c r="AX23" t="e">
        <f>AND(#REF!,"AAAAAD5qvzE=")</f>
        <v>#REF!</v>
      </c>
      <c r="AY23" t="e">
        <f>AND(#REF!,"AAAAAD5qvzI=")</f>
        <v>#REF!</v>
      </c>
      <c r="AZ23" t="e">
        <f>AND(#REF!,"AAAAAD5qvzM=")</f>
        <v>#REF!</v>
      </c>
      <c r="BA23" t="e">
        <f>IF(#REF!,"AAAAAD5qvzQ=",0)</f>
        <v>#REF!</v>
      </c>
      <c r="BB23" t="e">
        <f>AND(#REF!,"AAAAAD5qvzU=")</f>
        <v>#REF!</v>
      </c>
      <c r="BC23" t="e">
        <f>AND(#REF!,"AAAAAD5qvzY=")</f>
        <v>#REF!</v>
      </c>
      <c r="BD23" t="e">
        <f>AND(#REF!,"AAAAAD5qvzc=")</f>
        <v>#REF!</v>
      </c>
      <c r="BE23" t="e">
        <f>AND(#REF!,"AAAAAD5qvzg=")</f>
        <v>#REF!</v>
      </c>
      <c r="BF23" t="e">
        <f>AND(#REF!,"AAAAAD5qvzk=")</f>
        <v>#REF!</v>
      </c>
      <c r="BG23" t="e">
        <f>AND(#REF!,"AAAAAD5qvzo=")</f>
        <v>#REF!</v>
      </c>
      <c r="BH23" t="e">
        <f>AND(#REF!,"AAAAAD5qvzs=")</f>
        <v>#REF!</v>
      </c>
      <c r="BI23" t="e">
        <f>AND(#REF!,"AAAAAD5qvzw=")</f>
        <v>#REF!</v>
      </c>
      <c r="BJ23" t="e">
        <f>AND(#REF!,"AAAAAD5qvz0=")</f>
        <v>#REF!</v>
      </c>
      <c r="BK23" t="e">
        <f>IF(#REF!,"AAAAAD5qvz4=",0)</f>
        <v>#REF!</v>
      </c>
      <c r="BL23" t="e">
        <f>AND(#REF!,"AAAAAD5qvz8=")</f>
        <v>#REF!</v>
      </c>
      <c r="BM23" t="e">
        <f>AND(#REF!,"AAAAAD5qv0A=")</f>
        <v>#REF!</v>
      </c>
      <c r="BN23" t="e">
        <f>AND(#REF!,"AAAAAD5qv0E=")</f>
        <v>#REF!</v>
      </c>
      <c r="BO23" t="e">
        <f>AND(#REF!,"AAAAAD5qv0I=")</f>
        <v>#REF!</v>
      </c>
      <c r="BP23" t="e">
        <f>AND(#REF!,"AAAAAD5qv0M=")</f>
        <v>#REF!</v>
      </c>
      <c r="BQ23" t="e">
        <f>AND(#REF!,"AAAAAD5qv0Q=")</f>
        <v>#REF!</v>
      </c>
      <c r="BR23" t="e">
        <f>AND(#REF!,"AAAAAD5qv0U=")</f>
        <v>#REF!</v>
      </c>
      <c r="BS23" t="e">
        <f>AND(#REF!,"AAAAAD5qv0Y=")</f>
        <v>#REF!</v>
      </c>
      <c r="BT23" t="e">
        <f>AND(#REF!,"AAAAAD5qv0c=")</f>
        <v>#REF!</v>
      </c>
      <c r="BU23" t="e">
        <f>IF(#REF!,"AAAAAD5qv0g=",0)</f>
        <v>#REF!</v>
      </c>
      <c r="BV23" t="e">
        <f>AND(#REF!,"AAAAAD5qv0k=")</f>
        <v>#REF!</v>
      </c>
      <c r="BW23" t="e">
        <f>AND(#REF!,"AAAAAD5qv0o=")</f>
        <v>#REF!</v>
      </c>
      <c r="BX23" t="e">
        <f>AND(#REF!,"AAAAAD5qv0s=")</f>
        <v>#REF!</v>
      </c>
      <c r="BY23" t="e">
        <f>AND(#REF!,"AAAAAD5qv0w=")</f>
        <v>#REF!</v>
      </c>
      <c r="BZ23" t="e">
        <f>AND(#REF!,"AAAAAD5qv00=")</f>
        <v>#REF!</v>
      </c>
      <c r="CA23" t="e">
        <f>AND(#REF!,"AAAAAD5qv04=")</f>
        <v>#REF!</v>
      </c>
      <c r="CB23" t="e">
        <f>AND(#REF!,"AAAAAD5qv08=")</f>
        <v>#REF!</v>
      </c>
      <c r="CC23" t="e">
        <f>AND(#REF!,"AAAAAD5qv1A=")</f>
        <v>#REF!</v>
      </c>
      <c r="CD23" t="e">
        <f>AND(#REF!,"AAAAAD5qv1E=")</f>
        <v>#REF!</v>
      </c>
      <c r="CE23" t="e">
        <f>IF(#REF!,"AAAAAD5qv1I=",0)</f>
        <v>#REF!</v>
      </c>
      <c r="CF23" t="e">
        <f>AND(#REF!,"AAAAAD5qv1M=")</f>
        <v>#REF!</v>
      </c>
      <c r="CG23" t="e">
        <f>AND(#REF!,"AAAAAD5qv1Q=")</f>
        <v>#REF!</v>
      </c>
      <c r="CH23" t="e">
        <f>AND(#REF!,"AAAAAD5qv1U=")</f>
        <v>#REF!</v>
      </c>
      <c r="CI23" t="e">
        <f>AND(#REF!,"AAAAAD5qv1Y=")</f>
        <v>#REF!</v>
      </c>
      <c r="CJ23" t="e">
        <f>AND(#REF!,"AAAAAD5qv1c=")</f>
        <v>#REF!</v>
      </c>
      <c r="CK23" t="e">
        <f>AND(#REF!,"AAAAAD5qv1g=")</f>
        <v>#REF!</v>
      </c>
      <c r="CL23" t="e">
        <f>AND(#REF!,"AAAAAD5qv1k=")</f>
        <v>#REF!</v>
      </c>
      <c r="CM23" t="e">
        <f>AND(#REF!,"AAAAAD5qv1o=")</f>
        <v>#REF!</v>
      </c>
      <c r="CN23" t="e">
        <f>AND(#REF!,"AAAAAD5qv1s=")</f>
        <v>#REF!</v>
      </c>
      <c r="CO23" t="e">
        <f>IF(#REF!,"AAAAAD5qv1w=",0)</f>
        <v>#REF!</v>
      </c>
      <c r="CP23" t="e">
        <f>AND(#REF!,"AAAAAD5qv10=")</f>
        <v>#REF!</v>
      </c>
      <c r="CQ23" t="e">
        <f>AND(#REF!,"AAAAAD5qv14=")</f>
        <v>#REF!</v>
      </c>
      <c r="CR23" t="e">
        <f>AND(#REF!,"AAAAAD5qv18=")</f>
        <v>#REF!</v>
      </c>
      <c r="CS23" t="e">
        <f>AND(#REF!,"AAAAAD5qv2A=")</f>
        <v>#REF!</v>
      </c>
      <c r="CT23" t="e">
        <f>AND(#REF!,"AAAAAD5qv2E=")</f>
        <v>#REF!</v>
      </c>
      <c r="CU23" t="e">
        <f>AND(#REF!,"AAAAAD5qv2I=")</f>
        <v>#REF!</v>
      </c>
      <c r="CV23" t="e">
        <f>AND(#REF!,"AAAAAD5qv2M=")</f>
        <v>#REF!</v>
      </c>
      <c r="CW23" t="e">
        <f>AND(#REF!,"AAAAAD5qv2Q=")</f>
        <v>#REF!</v>
      </c>
      <c r="CX23" t="e">
        <f>AND(#REF!,"AAAAAD5qv2U=")</f>
        <v>#REF!</v>
      </c>
      <c r="CY23" t="e">
        <f>IF(#REF!,"AAAAAD5qv2Y=",0)</f>
        <v>#REF!</v>
      </c>
      <c r="CZ23" t="e">
        <f>AND(#REF!,"AAAAAD5qv2c=")</f>
        <v>#REF!</v>
      </c>
      <c r="DA23" t="e">
        <f>AND(#REF!,"AAAAAD5qv2g=")</f>
        <v>#REF!</v>
      </c>
      <c r="DB23" t="e">
        <f>AND(#REF!,"AAAAAD5qv2k=")</f>
        <v>#REF!</v>
      </c>
      <c r="DC23" t="e">
        <f>AND(#REF!,"AAAAAD5qv2o=")</f>
        <v>#REF!</v>
      </c>
      <c r="DD23" t="e">
        <f>AND(#REF!,"AAAAAD5qv2s=")</f>
        <v>#REF!</v>
      </c>
      <c r="DE23" t="e">
        <f>AND(#REF!,"AAAAAD5qv2w=")</f>
        <v>#REF!</v>
      </c>
      <c r="DF23" t="e">
        <f>AND(#REF!,"AAAAAD5qv20=")</f>
        <v>#REF!</v>
      </c>
      <c r="DG23" t="e">
        <f>AND(#REF!,"AAAAAD5qv24=")</f>
        <v>#REF!</v>
      </c>
      <c r="DH23" t="e">
        <f>AND(#REF!,"AAAAAD5qv28=")</f>
        <v>#REF!</v>
      </c>
      <c r="DI23" t="e">
        <f>IF(#REF!,"AAAAAD5qv3A=",0)</f>
        <v>#REF!</v>
      </c>
      <c r="DJ23" t="e">
        <f>AND(#REF!,"AAAAAD5qv3E=")</f>
        <v>#REF!</v>
      </c>
      <c r="DK23" t="e">
        <f>AND(#REF!,"AAAAAD5qv3I=")</f>
        <v>#REF!</v>
      </c>
      <c r="DL23" t="e">
        <f>AND(#REF!,"AAAAAD5qv3M=")</f>
        <v>#REF!</v>
      </c>
      <c r="DM23" t="e">
        <f>AND(#REF!,"AAAAAD5qv3Q=")</f>
        <v>#REF!</v>
      </c>
      <c r="DN23" t="e">
        <f>AND(#REF!,"AAAAAD5qv3U=")</f>
        <v>#REF!</v>
      </c>
      <c r="DO23" t="e">
        <f>AND(#REF!,"AAAAAD5qv3Y=")</f>
        <v>#REF!</v>
      </c>
      <c r="DP23" t="e">
        <f>AND(#REF!,"AAAAAD5qv3c=")</f>
        <v>#REF!</v>
      </c>
      <c r="DQ23" t="e">
        <f>AND(#REF!,"AAAAAD5qv3g=")</f>
        <v>#REF!</v>
      </c>
      <c r="DR23" t="e">
        <f>AND(#REF!,"AAAAAD5qv3k=")</f>
        <v>#REF!</v>
      </c>
      <c r="DS23" t="e">
        <f>IF(#REF!,"AAAAAD5qv3o=",0)</f>
        <v>#REF!</v>
      </c>
      <c r="DT23" t="e">
        <f>AND(#REF!,"AAAAAD5qv3s=")</f>
        <v>#REF!</v>
      </c>
      <c r="DU23" t="e">
        <f>AND(#REF!,"AAAAAD5qv3w=")</f>
        <v>#REF!</v>
      </c>
      <c r="DV23" t="e">
        <f>AND(#REF!,"AAAAAD5qv30=")</f>
        <v>#REF!</v>
      </c>
      <c r="DW23" t="e">
        <f>AND(#REF!,"AAAAAD5qv34=")</f>
        <v>#REF!</v>
      </c>
      <c r="DX23" t="e">
        <f>AND(#REF!,"AAAAAD5qv38=")</f>
        <v>#REF!</v>
      </c>
      <c r="DY23" t="e">
        <f>AND(#REF!,"AAAAAD5qv4A=")</f>
        <v>#REF!</v>
      </c>
      <c r="DZ23" t="e">
        <f>AND(#REF!,"AAAAAD5qv4E=")</f>
        <v>#REF!</v>
      </c>
      <c r="EA23" t="e">
        <f>AND(#REF!,"AAAAAD5qv4I=")</f>
        <v>#REF!</v>
      </c>
      <c r="EB23" t="e">
        <f>AND(#REF!,"AAAAAD5qv4M=")</f>
        <v>#REF!</v>
      </c>
      <c r="EC23" t="e">
        <f>IF(#REF!,"AAAAAD5qv4Q=",0)</f>
        <v>#REF!</v>
      </c>
      <c r="ED23" t="e">
        <f>AND(#REF!,"AAAAAD5qv4U=")</f>
        <v>#REF!</v>
      </c>
      <c r="EE23" t="e">
        <f>AND(#REF!,"AAAAAD5qv4Y=")</f>
        <v>#REF!</v>
      </c>
      <c r="EF23" t="e">
        <f>AND(#REF!,"AAAAAD5qv4c=")</f>
        <v>#REF!</v>
      </c>
      <c r="EG23" t="e">
        <f>AND(#REF!,"AAAAAD5qv4g=")</f>
        <v>#REF!</v>
      </c>
      <c r="EH23" t="e">
        <f>AND(#REF!,"AAAAAD5qv4k=")</f>
        <v>#REF!</v>
      </c>
      <c r="EI23" t="e">
        <f>AND(#REF!,"AAAAAD5qv4o=")</f>
        <v>#REF!</v>
      </c>
      <c r="EJ23" t="e">
        <f>AND(#REF!,"AAAAAD5qv4s=")</f>
        <v>#REF!</v>
      </c>
      <c r="EK23" t="e">
        <f>AND(#REF!,"AAAAAD5qv4w=")</f>
        <v>#REF!</v>
      </c>
      <c r="EL23" t="e">
        <f>AND(#REF!,"AAAAAD5qv40=")</f>
        <v>#REF!</v>
      </c>
      <c r="EM23" t="e">
        <f>IF(#REF!,"AAAAAD5qv44=",0)</f>
        <v>#REF!</v>
      </c>
      <c r="EN23" t="e">
        <f>AND(#REF!,"AAAAAD5qv48=")</f>
        <v>#REF!</v>
      </c>
      <c r="EO23" t="e">
        <f>AND(#REF!,"AAAAAD5qv5A=")</f>
        <v>#REF!</v>
      </c>
      <c r="EP23" t="e">
        <f>AND(#REF!,"AAAAAD5qv5E=")</f>
        <v>#REF!</v>
      </c>
      <c r="EQ23" t="e">
        <f>AND(#REF!,"AAAAAD5qv5I=")</f>
        <v>#REF!</v>
      </c>
      <c r="ER23" t="e">
        <f>AND(#REF!,"AAAAAD5qv5M=")</f>
        <v>#REF!</v>
      </c>
      <c r="ES23" t="e">
        <f>AND(#REF!,"AAAAAD5qv5Q=")</f>
        <v>#REF!</v>
      </c>
      <c r="ET23" t="e">
        <f>AND(#REF!,"AAAAAD5qv5U=")</f>
        <v>#REF!</v>
      </c>
      <c r="EU23" t="e">
        <f>AND(#REF!,"AAAAAD5qv5Y=")</f>
        <v>#REF!</v>
      </c>
      <c r="EV23" t="e">
        <f>AND(#REF!,"AAAAAD5qv5c=")</f>
        <v>#REF!</v>
      </c>
      <c r="EW23" t="e">
        <f>IF(#REF!,"AAAAAD5qv5g=",0)</f>
        <v>#REF!</v>
      </c>
      <c r="EX23" t="e">
        <f>AND(#REF!,"AAAAAD5qv5k=")</f>
        <v>#REF!</v>
      </c>
      <c r="EY23" t="e">
        <f>AND(#REF!,"AAAAAD5qv5o=")</f>
        <v>#REF!</v>
      </c>
      <c r="EZ23" t="e">
        <f>AND(#REF!,"AAAAAD5qv5s=")</f>
        <v>#REF!</v>
      </c>
      <c r="FA23" t="e">
        <f>AND(#REF!,"AAAAAD5qv5w=")</f>
        <v>#REF!</v>
      </c>
      <c r="FB23" t="e">
        <f>AND(#REF!,"AAAAAD5qv50=")</f>
        <v>#REF!</v>
      </c>
      <c r="FC23" t="e">
        <f>AND(#REF!,"AAAAAD5qv54=")</f>
        <v>#REF!</v>
      </c>
      <c r="FD23" t="e">
        <f>AND(#REF!,"AAAAAD5qv58=")</f>
        <v>#REF!</v>
      </c>
      <c r="FE23" t="e">
        <f>AND(#REF!,"AAAAAD5qv6A=")</f>
        <v>#REF!</v>
      </c>
      <c r="FF23" t="e">
        <f>AND(#REF!,"AAAAAD5qv6E=")</f>
        <v>#REF!</v>
      </c>
      <c r="FG23" t="e">
        <f>IF(#REF!,"AAAAAD5qv6I=",0)</f>
        <v>#REF!</v>
      </c>
      <c r="FH23" t="e">
        <f>AND(#REF!,"AAAAAD5qv6M=")</f>
        <v>#REF!</v>
      </c>
      <c r="FI23" t="e">
        <f>AND(#REF!,"AAAAAD5qv6Q=")</f>
        <v>#REF!</v>
      </c>
      <c r="FJ23" t="e">
        <f>AND(#REF!,"AAAAAD5qv6U=")</f>
        <v>#REF!</v>
      </c>
      <c r="FK23" t="e">
        <f>AND(#REF!,"AAAAAD5qv6Y=")</f>
        <v>#REF!</v>
      </c>
      <c r="FL23" t="e">
        <f>AND(#REF!,"AAAAAD5qv6c=")</f>
        <v>#REF!</v>
      </c>
      <c r="FM23" t="e">
        <f>AND(#REF!,"AAAAAD5qv6g=")</f>
        <v>#REF!</v>
      </c>
      <c r="FN23" t="e">
        <f>AND(#REF!,"AAAAAD5qv6k=")</f>
        <v>#REF!</v>
      </c>
      <c r="FO23" t="e">
        <f>AND(#REF!,"AAAAAD5qv6o=")</f>
        <v>#REF!</v>
      </c>
      <c r="FP23" t="e">
        <f>AND(#REF!,"AAAAAD5qv6s=")</f>
        <v>#REF!</v>
      </c>
      <c r="FQ23" t="e">
        <f>IF(#REF!,"AAAAAD5qv6w=",0)</f>
        <v>#REF!</v>
      </c>
      <c r="FR23" t="e">
        <f>AND(#REF!,"AAAAAD5qv60=")</f>
        <v>#REF!</v>
      </c>
      <c r="FS23" t="e">
        <f>AND(#REF!,"AAAAAD5qv64=")</f>
        <v>#REF!</v>
      </c>
      <c r="FT23" t="e">
        <f>AND(#REF!,"AAAAAD5qv68=")</f>
        <v>#REF!</v>
      </c>
      <c r="FU23" t="e">
        <f>AND(#REF!,"AAAAAD5qv7A=")</f>
        <v>#REF!</v>
      </c>
      <c r="FV23" t="e">
        <f>AND(#REF!,"AAAAAD5qv7E=")</f>
        <v>#REF!</v>
      </c>
      <c r="FW23" t="e">
        <f>AND(#REF!,"AAAAAD5qv7I=")</f>
        <v>#REF!</v>
      </c>
      <c r="FX23" t="e">
        <f>AND(#REF!,"AAAAAD5qv7M=")</f>
        <v>#REF!</v>
      </c>
      <c r="FY23" t="e">
        <f>AND(#REF!,"AAAAAD5qv7Q=")</f>
        <v>#REF!</v>
      </c>
      <c r="FZ23" t="e">
        <f>AND(#REF!,"AAAAAD5qv7U=")</f>
        <v>#REF!</v>
      </c>
      <c r="GA23" t="e">
        <f>IF(#REF!,"AAAAAD5qv7Y=",0)</f>
        <v>#REF!</v>
      </c>
      <c r="GB23" t="e">
        <f>AND(#REF!,"AAAAAD5qv7c=")</f>
        <v>#REF!</v>
      </c>
      <c r="GC23" t="e">
        <f>AND(#REF!,"AAAAAD5qv7g=")</f>
        <v>#REF!</v>
      </c>
      <c r="GD23" t="e">
        <f>AND(#REF!,"AAAAAD5qv7k=")</f>
        <v>#REF!</v>
      </c>
      <c r="GE23" t="e">
        <f>AND(#REF!,"AAAAAD5qv7o=")</f>
        <v>#REF!</v>
      </c>
      <c r="GF23" t="e">
        <f>AND(#REF!,"AAAAAD5qv7s=")</f>
        <v>#REF!</v>
      </c>
      <c r="GG23" t="e">
        <f>AND(#REF!,"AAAAAD5qv7w=")</f>
        <v>#REF!</v>
      </c>
      <c r="GH23" t="e">
        <f>AND(#REF!,"AAAAAD5qv70=")</f>
        <v>#REF!</v>
      </c>
      <c r="GI23" t="e">
        <f>AND(#REF!,"AAAAAD5qv74=")</f>
        <v>#REF!</v>
      </c>
      <c r="GJ23" t="e">
        <f>AND(#REF!,"AAAAAD5qv78=")</f>
        <v>#REF!</v>
      </c>
      <c r="GK23" t="e">
        <f>IF(#REF!,"AAAAAD5qv8A=",0)</f>
        <v>#REF!</v>
      </c>
      <c r="GL23" t="e">
        <f>AND(#REF!,"AAAAAD5qv8E=")</f>
        <v>#REF!</v>
      </c>
      <c r="GM23" t="e">
        <f>AND(#REF!,"AAAAAD5qv8I=")</f>
        <v>#REF!</v>
      </c>
      <c r="GN23" t="e">
        <f>AND(#REF!,"AAAAAD5qv8M=")</f>
        <v>#REF!</v>
      </c>
      <c r="GO23" t="e">
        <f>AND(#REF!,"AAAAAD5qv8Q=")</f>
        <v>#REF!</v>
      </c>
      <c r="GP23" t="e">
        <f>AND(#REF!,"AAAAAD5qv8U=")</f>
        <v>#REF!</v>
      </c>
      <c r="GQ23" t="e">
        <f>AND(#REF!,"AAAAAD5qv8Y=")</f>
        <v>#REF!</v>
      </c>
      <c r="GR23" t="e">
        <f>AND(#REF!,"AAAAAD5qv8c=")</f>
        <v>#REF!</v>
      </c>
      <c r="GS23" t="e">
        <f>AND(#REF!,"AAAAAD5qv8g=")</f>
        <v>#REF!</v>
      </c>
      <c r="GT23" t="e">
        <f>AND(#REF!,"AAAAAD5qv8k=")</f>
        <v>#REF!</v>
      </c>
      <c r="GU23" t="e">
        <f>IF(#REF!,"AAAAAD5qv8o=",0)</f>
        <v>#REF!</v>
      </c>
      <c r="GV23" t="e">
        <f>AND(#REF!,"AAAAAD5qv8s=")</f>
        <v>#REF!</v>
      </c>
      <c r="GW23" t="e">
        <f>AND(#REF!,"AAAAAD5qv8w=")</f>
        <v>#REF!</v>
      </c>
      <c r="GX23" t="e">
        <f>AND(#REF!,"AAAAAD5qv80=")</f>
        <v>#REF!</v>
      </c>
      <c r="GY23" t="e">
        <f>AND(#REF!,"AAAAAD5qv84=")</f>
        <v>#REF!</v>
      </c>
      <c r="GZ23" t="e">
        <f>AND(#REF!,"AAAAAD5qv88=")</f>
        <v>#REF!</v>
      </c>
      <c r="HA23" t="e">
        <f>AND(#REF!,"AAAAAD5qv9A=")</f>
        <v>#REF!</v>
      </c>
      <c r="HB23" t="e">
        <f>AND(#REF!,"AAAAAD5qv9E=")</f>
        <v>#REF!</v>
      </c>
      <c r="HC23" t="e">
        <f>AND(#REF!,"AAAAAD5qv9I=")</f>
        <v>#REF!</v>
      </c>
      <c r="HD23" t="e">
        <f>AND(#REF!,"AAAAAD5qv9M=")</f>
        <v>#REF!</v>
      </c>
      <c r="HE23" t="e">
        <f>IF(#REF!,"AAAAAD5qv9Q=",0)</f>
        <v>#REF!</v>
      </c>
      <c r="HF23" t="e">
        <f>AND(#REF!,"AAAAAD5qv9U=")</f>
        <v>#REF!</v>
      </c>
      <c r="HG23" t="e">
        <f>AND(#REF!,"AAAAAD5qv9Y=")</f>
        <v>#REF!</v>
      </c>
      <c r="HH23" t="e">
        <f>AND(#REF!,"AAAAAD5qv9c=")</f>
        <v>#REF!</v>
      </c>
      <c r="HI23" t="e">
        <f>AND(#REF!,"AAAAAD5qv9g=")</f>
        <v>#REF!</v>
      </c>
      <c r="HJ23" t="e">
        <f>AND(#REF!,"AAAAAD5qv9k=")</f>
        <v>#REF!</v>
      </c>
      <c r="HK23" t="e">
        <f>AND(#REF!,"AAAAAD5qv9o=")</f>
        <v>#REF!</v>
      </c>
      <c r="HL23" t="e">
        <f>AND(#REF!,"AAAAAD5qv9s=")</f>
        <v>#REF!</v>
      </c>
      <c r="HM23" t="e">
        <f>AND(#REF!,"AAAAAD5qv9w=")</f>
        <v>#REF!</v>
      </c>
      <c r="HN23" t="e">
        <f>AND(#REF!,"AAAAAD5qv90=")</f>
        <v>#REF!</v>
      </c>
      <c r="HO23" t="e">
        <f>IF(#REF!,"AAAAAD5qv94=",0)</f>
        <v>#REF!</v>
      </c>
      <c r="HP23" t="e">
        <f>AND(#REF!,"AAAAAD5qv98=")</f>
        <v>#REF!</v>
      </c>
      <c r="HQ23" t="e">
        <f>AND(#REF!,"AAAAAD5qv+A=")</f>
        <v>#REF!</v>
      </c>
      <c r="HR23" t="e">
        <f>AND(#REF!,"AAAAAD5qv+E=")</f>
        <v>#REF!</v>
      </c>
      <c r="HS23" t="e">
        <f>AND(#REF!,"AAAAAD5qv+I=")</f>
        <v>#REF!</v>
      </c>
      <c r="HT23" t="e">
        <f>AND(#REF!,"AAAAAD5qv+M=")</f>
        <v>#REF!</v>
      </c>
      <c r="HU23" t="e">
        <f>AND(#REF!,"AAAAAD5qv+Q=")</f>
        <v>#REF!</v>
      </c>
      <c r="HV23" t="e">
        <f>AND(#REF!,"AAAAAD5qv+U=")</f>
        <v>#REF!</v>
      </c>
      <c r="HW23" t="e">
        <f>AND(#REF!,"AAAAAD5qv+Y=")</f>
        <v>#REF!</v>
      </c>
      <c r="HX23" t="e">
        <f>AND(#REF!,"AAAAAD5qv+c=")</f>
        <v>#REF!</v>
      </c>
      <c r="HY23" t="e">
        <f>IF(#REF!,"AAAAAD5qv+g=",0)</f>
        <v>#REF!</v>
      </c>
      <c r="HZ23" t="e">
        <f>AND(#REF!,"AAAAAD5qv+k=")</f>
        <v>#REF!</v>
      </c>
      <c r="IA23" t="e">
        <f>AND(#REF!,"AAAAAD5qv+o=")</f>
        <v>#REF!</v>
      </c>
      <c r="IB23" t="e">
        <f>AND(#REF!,"AAAAAD5qv+s=")</f>
        <v>#REF!</v>
      </c>
      <c r="IC23" t="e">
        <f>AND(#REF!,"AAAAAD5qv+w=")</f>
        <v>#REF!</v>
      </c>
      <c r="ID23" t="e">
        <f>AND(#REF!,"AAAAAD5qv+0=")</f>
        <v>#REF!</v>
      </c>
      <c r="IE23" t="e">
        <f>AND(#REF!,"AAAAAD5qv+4=")</f>
        <v>#REF!</v>
      </c>
      <c r="IF23" t="e">
        <f>AND(#REF!,"AAAAAD5qv+8=")</f>
        <v>#REF!</v>
      </c>
      <c r="IG23" t="e">
        <f>AND(#REF!,"AAAAAD5qv/A=")</f>
        <v>#REF!</v>
      </c>
      <c r="IH23" t="e">
        <f>AND(#REF!,"AAAAAD5qv/E=")</f>
        <v>#REF!</v>
      </c>
      <c r="II23" t="e">
        <f>IF(#REF!,"AAAAAD5qv/I=",0)</f>
        <v>#REF!</v>
      </c>
      <c r="IJ23" t="e">
        <f>AND(#REF!,"AAAAAD5qv/M=")</f>
        <v>#REF!</v>
      </c>
      <c r="IK23" t="e">
        <f>AND(#REF!,"AAAAAD5qv/Q=")</f>
        <v>#REF!</v>
      </c>
      <c r="IL23" t="e">
        <f>AND(#REF!,"AAAAAD5qv/U=")</f>
        <v>#REF!</v>
      </c>
      <c r="IM23" t="e">
        <f>AND(#REF!,"AAAAAD5qv/Y=")</f>
        <v>#REF!</v>
      </c>
      <c r="IN23" t="e">
        <f>AND(#REF!,"AAAAAD5qv/c=")</f>
        <v>#REF!</v>
      </c>
      <c r="IO23" t="e">
        <f>AND(#REF!,"AAAAAD5qv/g=")</f>
        <v>#REF!</v>
      </c>
      <c r="IP23" t="e">
        <f>AND(#REF!,"AAAAAD5qv/k=")</f>
        <v>#REF!</v>
      </c>
      <c r="IQ23" t="e">
        <f>AND(#REF!,"AAAAAD5qv/o=")</f>
        <v>#REF!</v>
      </c>
      <c r="IR23" t="e">
        <f>AND(#REF!,"AAAAAD5qv/s=")</f>
        <v>#REF!</v>
      </c>
      <c r="IS23" t="e">
        <f>IF(#REF!,"AAAAAD5qv/w=",0)</f>
        <v>#REF!</v>
      </c>
      <c r="IT23" t="e">
        <f>AND(#REF!,"AAAAAD5qv/0=")</f>
        <v>#REF!</v>
      </c>
      <c r="IU23" t="e">
        <f>AND(#REF!,"AAAAAD5qv/4=")</f>
        <v>#REF!</v>
      </c>
      <c r="IV23" t="e">
        <f>AND(#REF!,"AAAAAD5qv/8=")</f>
        <v>#REF!</v>
      </c>
    </row>
    <row r="24" spans="1:256">
      <c r="A24" t="e">
        <f>AND(#REF!,"AAAAAH+4fwA=")</f>
        <v>#REF!</v>
      </c>
      <c r="B24" t="e">
        <f>AND(#REF!,"AAAAAH+4fwE=")</f>
        <v>#REF!</v>
      </c>
      <c r="C24" t="e">
        <f>AND(#REF!,"AAAAAH+4fwI=")</f>
        <v>#REF!</v>
      </c>
      <c r="D24" t="e">
        <f>AND(#REF!,"AAAAAH+4fwM=")</f>
        <v>#REF!</v>
      </c>
      <c r="E24" t="e">
        <f>AND(#REF!,"AAAAAH+4fwQ=")</f>
        <v>#REF!</v>
      </c>
      <c r="F24" t="e">
        <f>AND(#REF!,"AAAAAH+4fwU=")</f>
        <v>#REF!</v>
      </c>
      <c r="G24" t="e">
        <f>IF(#REF!,"AAAAAH+4fwY=",0)</f>
        <v>#REF!</v>
      </c>
      <c r="H24" t="e">
        <f>AND(#REF!,"AAAAAH+4fwc=")</f>
        <v>#REF!</v>
      </c>
      <c r="I24" t="e">
        <f>AND(#REF!,"AAAAAH+4fwg=")</f>
        <v>#REF!</v>
      </c>
      <c r="J24" t="e">
        <f>AND(#REF!,"AAAAAH+4fwk=")</f>
        <v>#REF!</v>
      </c>
      <c r="K24" t="e">
        <f>AND(#REF!,"AAAAAH+4fwo=")</f>
        <v>#REF!</v>
      </c>
      <c r="L24" t="e">
        <f>AND(#REF!,"AAAAAH+4fws=")</f>
        <v>#REF!</v>
      </c>
      <c r="M24" t="e">
        <f>AND(#REF!,"AAAAAH+4fww=")</f>
        <v>#REF!</v>
      </c>
      <c r="N24" t="e">
        <f>AND(#REF!,"AAAAAH+4fw0=")</f>
        <v>#REF!</v>
      </c>
      <c r="O24" t="e">
        <f>AND(#REF!,"AAAAAH+4fw4=")</f>
        <v>#REF!</v>
      </c>
      <c r="P24" t="e">
        <f>AND(#REF!,"AAAAAH+4fw8=")</f>
        <v>#REF!</v>
      </c>
      <c r="Q24" t="e">
        <f>IF(#REF!,"AAAAAH+4fxA=",0)</f>
        <v>#REF!</v>
      </c>
      <c r="R24" t="e">
        <f>AND(#REF!,"AAAAAH+4fxE=")</f>
        <v>#REF!</v>
      </c>
      <c r="S24" t="e">
        <f>AND(#REF!,"AAAAAH+4fxI=")</f>
        <v>#REF!</v>
      </c>
      <c r="T24" t="e">
        <f>AND(#REF!,"AAAAAH+4fxM=")</f>
        <v>#REF!</v>
      </c>
      <c r="U24" t="e">
        <f>AND(#REF!,"AAAAAH+4fxQ=")</f>
        <v>#REF!</v>
      </c>
      <c r="V24" t="e">
        <f>AND(#REF!,"AAAAAH+4fxU=")</f>
        <v>#REF!</v>
      </c>
      <c r="W24" t="e">
        <f>AND(#REF!,"AAAAAH+4fxY=")</f>
        <v>#REF!</v>
      </c>
      <c r="X24" t="e">
        <f>AND(#REF!,"AAAAAH+4fxc=")</f>
        <v>#REF!</v>
      </c>
      <c r="Y24" t="e">
        <f>AND(#REF!,"AAAAAH+4fxg=")</f>
        <v>#REF!</v>
      </c>
      <c r="Z24" t="e">
        <f>AND(#REF!,"AAAAAH+4fxk=")</f>
        <v>#REF!</v>
      </c>
      <c r="AA24" t="e">
        <f>IF(#REF!,"AAAAAH+4fxo=",0)</f>
        <v>#REF!</v>
      </c>
      <c r="AB24" t="e">
        <f>AND(#REF!,"AAAAAH+4fxs=")</f>
        <v>#REF!</v>
      </c>
      <c r="AC24" t="e">
        <f>AND(#REF!,"AAAAAH+4fxw=")</f>
        <v>#REF!</v>
      </c>
      <c r="AD24" t="e">
        <f>AND(#REF!,"AAAAAH+4fx0=")</f>
        <v>#REF!</v>
      </c>
      <c r="AE24" t="e">
        <f>AND(#REF!,"AAAAAH+4fx4=")</f>
        <v>#REF!</v>
      </c>
      <c r="AF24" t="e">
        <f>AND(#REF!,"AAAAAH+4fx8=")</f>
        <v>#REF!</v>
      </c>
      <c r="AG24" t="e">
        <f>AND(#REF!,"AAAAAH+4fyA=")</f>
        <v>#REF!</v>
      </c>
      <c r="AH24" t="e">
        <f>AND(#REF!,"AAAAAH+4fyE=")</f>
        <v>#REF!</v>
      </c>
      <c r="AI24" t="e">
        <f>AND(#REF!,"AAAAAH+4fyI=")</f>
        <v>#REF!</v>
      </c>
      <c r="AJ24" t="e">
        <f>AND(#REF!,"AAAAAH+4fyM=")</f>
        <v>#REF!</v>
      </c>
      <c r="AK24" t="e">
        <f>IF(#REF!,"AAAAAH+4fyQ=",0)</f>
        <v>#REF!</v>
      </c>
      <c r="AL24" t="e">
        <f>AND(#REF!,"AAAAAH+4fyU=")</f>
        <v>#REF!</v>
      </c>
      <c r="AM24" t="e">
        <f>AND(#REF!,"AAAAAH+4fyY=")</f>
        <v>#REF!</v>
      </c>
      <c r="AN24" t="e">
        <f>AND(#REF!,"AAAAAH+4fyc=")</f>
        <v>#REF!</v>
      </c>
      <c r="AO24" t="e">
        <f>AND(#REF!,"AAAAAH+4fyg=")</f>
        <v>#REF!</v>
      </c>
      <c r="AP24" t="e">
        <f>AND(#REF!,"AAAAAH+4fyk=")</f>
        <v>#REF!</v>
      </c>
      <c r="AQ24" t="e">
        <f>AND(#REF!,"AAAAAH+4fyo=")</f>
        <v>#REF!</v>
      </c>
      <c r="AR24" t="e">
        <f>AND(#REF!,"AAAAAH+4fys=")</f>
        <v>#REF!</v>
      </c>
      <c r="AS24" t="e">
        <f>AND(#REF!,"AAAAAH+4fyw=")</f>
        <v>#REF!</v>
      </c>
      <c r="AT24" t="e">
        <f>AND(#REF!,"AAAAAH+4fy0=")</f>
        <v>#REF!</v>
      </c>
      <c r="AU24" t="e">
        <f>IF(#REF!,"AAAAAH+4fy4=",0)</f>
        <v>#REF!</v>
      </c>
      <c r="AV24" t="e">
        <f>AND(#REF!,"AAAAAH+4fy8=")</f>
        <v>#REF!</v>
      </c>
      <c r="AW24" t="e">
        <f>AND(#REF!,"AAAAAH+4fzA=")</f>
        <v>#REF!</v>
      </c>
      <c r="AX24" t="e">
        <f>AND(#REF!,"AAAAAH+4fzE=")</f>
        <v>#REF!</v>
      </c>
      <c r="AY24" t="e">
        <f>AND(#REF!,"AAAAAH+4fzI=")</f>
        <v>#REF!</v>
      </c>
      <c r="AZ24" t="e">
        <f>AND(#REF!,"AAAAAH+4fzM=")</f>
        <v>#REF!</v>
      </c>
      <c r="BA24" t="e">
        <f>AND(#REF!,"AAAAAH+4fzQ=")</f>
        <v>#REF!</v>
      </c>
      <c r="BB24" t="e">
        <f>AND(#REF!,"AAAAAH+4fzU=")</f>
        <v>#REF!</v>
      </c>
      <c r="BC24" t="e">
        <f>AND(#REF!,"AAAAAH+4fzY=")</f>
        <v>#REF!</v>
      </c>
      <c r="BD24" t="e">
        <f>AND(#REF!,"AAAAAH+4fzc=")</f>
        <v>#REF!</v>
      </c>
      <c r="BE24" t="e">
        <f>IF(#REF!,"AAAAAH+4fzg=",0)</f>
        <v>#REF!</v>
      </c>
      <c r="BF24" t="e">
        <f>AND(#REF!,"AAAAAH+4fzk=")</f>
        <v>#REF!</v>
      </c>
      <c r="BG24" t="e">
        <f>AND(#REF!,"AAAAAH+4fzo=")</f>
        <v>#REF!</v>
      </c>
      <c r="BH24" t="e">
        <f>AND(#REF!,"AAAAAH+4fzs=")</f>
        <v>#REF!</v>
      </c>
      <c r="BI24" t="e">
        <f>AND(#REF!,"AAAAAH+4fzw=")</f>
        <v>#REF!</v>
      </c>
      <c r="BJ24" t="e">
        <f>AND(#REF!,"AAAAAH+4fz0=")</f>
        <v>#REF!</v>
      </c>
      <c r="BK24" t="e">
        <f>AND(#REF!,"AAAAAH+4fz4=")</f>
        <v>#REF!</v>
      </c>
      <c r="BL24" t="e">
        <f>AND(#REF!,"AAAAAH+4fz8=")</f>
        <v>#REF!</v>
      </c>
      <c r="BM24" t="e">
        <f>AND(#REF!,"AAAAAH+4f0A=")</f>
        <v>#REF!</v>
      </c>
      <c r="BN24" t="e">
        <f>AND(#REF!,"AAAAAH+4f0E=")</f>
        <v>#REF!</v>
      </c>
      <c r="BO24" t="e">
        <f>IF(#REF!,"AAAAAH+4f0I=",0)</f>
        <v>#REF!</v>
      </c>
      <c r="BP24" t="e">
        <f>AND(#REF!,"AAAAAH+4f0M=")</f>
        <v>#REF!</v>
      </c>
      <c r="BQ24" t="e">
        <f>AND(#REF!,"AAAAAH+4f0Q=")</f>
        <v>#REF!</v>
      </c>
      <c r="BR24" t="e">
        <f>AND(#REF!,"AAAAAH+4f0U=")</f>
        <v>#REF!</v>
      </c>
      <c r="BS24" t="e">
        <f>AND(#REF!,"AAAAAH+4f0Y=")</f>
        <v>#REF!</v>
      </c>
      <c r="BT24" t="e">
        <f>AND(#REF!,"AAAAAH+4f0c=")</f>
        <v>#REF!</v>
      </c>
      <c r="BU24" t="e">
        <f>AND(#REF!,"AAAAAH+4f0g=")</f>
        <v>#REF!</v>
      </c>
      <c r="BV24" t="e">
        <f>AND(#REF!,"AAAAAH+4f0k=")</f>
        <v>#REF!</v>
      </c>
      <c r="BW24" t="e">
        <f>AND(#REF!,"AAAAAH+4f0o=")</f>
        <v>#REF!</v>
      </c>
      <c r="BX24" t="e">
        <f>AND(#REF!,"AAAAAH+4f0s=")</f>
        <v>#REF!</v>
      </c>
      <c r="BY24" t="e">
        <f>IF(#REF!,"AAAAAH+4f0w=",0)</f>
        <v>#REF!</v>
      </c>
      <c r="BZ24" t="e">
        <f>AND(#REF!,"AAAAAH+4f00=")</f>
        <v>#REF!</v>
      </c>
      <c r="CA24" t="e">
        <f>AND(#REF!,"AAAAAH+4f04=")</f>
        <v>#REF!</v>
      </c>
      <c r="CB24" t="e">
        <f>AND(#REF!,"AAAAAH+4f08=")</f>
        <v>#REF!</v>
      </c>
      <c r="CC24" t="e">
        <f>AND(#REF!,"AAAAAH+4f1A=")</f>
        <v>#REF!</v>
      </c>
      <c r="CD24" t="e">
        <f>AND(#REF!,"AAAAAH+4f1E=")</f>
        <v>#REF!</v>
      </c>
      <c r="CE24" t="e">
        <f>AND(#REF!,"AAAAAH+4f1I=")</f>
        <v>#REF!</v>
      </c>
      <c r="CF24" t="e">
        <f>AND(#REF!,"AAAAAH+4f1M=")</f>
        <v>#REF!</v>
      </c>
      <c r="CG24" t="e">
        <f>AND(#REF!,"AAAAAH+4f1Q=")</f>
        <v>#REF!</v>
      </c>
      <c r="CH24" t="e">
        <f>AND(#REF!,"AAAAAH+4f1U=")</f>
        <v>#REF!</v>
      </c>
      <c r="CI24" t="e">
        <f>IF(#REF!,"AAAAAH+4f1Y=",0)</f>
        <v>#REF!</v>
      </c>
      <c r="CJ24" t="e">
        <f>AND(#REF!,"AAAAAH+4f1c=")</f>
        <v>#REF!</v>
      </c>
      <c r="CK24" t="e">
        <f>AND(#REF!,"AAAAAH+4f1g=")</f>
        <v>#REF!</v>
      </c>
      <c r="CL24" t="e">
        <f>AND(#REF!,"AAAAAH+4f1k=")</f>
        <v>#REF!</v>
      </c>
      <c r="CM24" t="e">
        <f>AND(#REF!,"AAAAAH+4f1o=")</f>
        <v>#REF!</v>
      </c>
      <c r="CN24" t="e">
        <f>AND(#REF!,"AAAAAH+4f1s=")</f>
        <v>#REF!</v>
      </c>
      <c r="CO24" t="e">
        <f>AND(#REF!,"AAAAAH+4f1w=")</f>
        <v>#REF!</v>
      </c>
      <c r="CP24" t="e">
        <f>AND(#REF!,"AAAAAH+4f10=")</f>
        <v>#REF!</v>
      </c>
      <c r="CQ24" t="e">
        <f>AND(#REF!,"AAAAAH+4f14=")</f>
        <v>#REF!</v>
      </c>
      <c r="CR24" t="e">
        <f>AND(#REF!,"AAAAAH+4f18=")</f>
        <v>#REF!</v>
      </c>
      <c r="CS24" t="e">
        <f>IF(#REF!,"AAAAAH+4f2A=",0)</f>
        <v>#REF!</v>
      </c>
      <c r="CT24" t="e">
        <f>AND(#REF!,"AAAAAH+4f2E=")</f>
        <v>#REF!</v>
      </c>
      <c r="CU24" t="e">
        <f>AND(#REF!,"AAAAAH+4f2I=")</f>
        <v>#REF!</v>
      </c>
      <c r="CV24" t="e">
        <f>AND(#REF!,"AAAAAH+4f2M=")</f>
        <v>#REF!</v>
      </c>
      <c r="CW24" t="e">
        <f>AND(#REF!,"AAAAAH+4f2Q=")</f>
        <v>#REF!</v>
      </c>
      <c r="CX24" t="e">
        <f>AND(#REF!,"AAAAAH+4f2U=")</f>
        <v>#REF!</v>
      </c>
      <c r="CY24" t="e">
        <f>AND(#REF!,"AAAAAH+4f2Y=")</f>
        <v>#REF!</v>
      </c>
      <c r="CZ24" t="e">
        <f>AND(#REF!,"AAAAAH+4f2c=")</f>
        <v>#REF!</v>
      </c>
      <c r="DA24" t="e">
        <f>AND(#REF!,"AAAAAH+4f2g=")</f>
        <v>#REF!</v>
      </c>
      <c r="DB24" t="e">
        <f>AND(#REF!,"AAAAAH+4f2k=")</f>
        <v>#REF!</v>
      </c>
      <c r="DC24" t="e">
        <f>IF(#REF!,"AAAAAH+4f2o=",0)</f>
        <v>#REF!</v>
      </c>
      <c r="DD24" t="e">
        <f>AND(#REF!,"AAAAAH+4f2s=")</f>
        <v>#REF!</v>
      </c>
      <c r="DE24" t="e">
        <f>AND(#REF!,"AAAAAH+4f2w=")</f>
        <v>#REF!</v>
      </c>
      <c r="DF24" t="e">
        <f>AND(#REF!,"AAAAAH+4f20=")</f>
        <v>#REF!</v>
      </c>
      <c r="DG24" t="e">
        <f>AND(#REF!,"AAAAAH+4f24=")</f>
        <v>#REF!</v>
      </c>
      <c r="DH24" t="e">
        <f>AND(#REF!,"AAAAAH+4f28=")</f>
        <v>#REF!</v>
      </c>
      <c r="DI24" t="e">
        <f>AND(#REF!,"AAAAAH+4f3A=")</f>
        <v>#REF!</v>
      </c>
      <c r="DJ24" t="e">
        <f>AND(#REF!,"AAAAAH+4f3E=")</f>
        <v>#REF!</v>
      </c>
      <c r="DK24" t="e">
        <f>AND(#REF!,"AAAAAH+4f3I=")</f>
        <v>#REF!</v>
      </c>
      <c r="DL24" t="e">
        <f>AND(#REF!,"AAAAAH+4f3M=")</f>
        <v>#REF!</v>
      </c>
      <c r="DM24" t="e">
        <f>IF(#REF!,"AAAAAH+4f3Q=",0)</f>
        <v>#REF!</v>
      </c>
      <c r="DN24" t="e">
        <f>AND(#REF!,"AAAAAH+4f3U=")</f>
        <v>#REF!</v>
      </c>
      <c r="DO24" t="e">
        <f>AND(#REF!,"AAAAAH+4f3Y=")</f>
        <v>#REF!</v>
      </c>
      <c r="DP24" t="e">
        <f>AND(#REF!,"AAAAAH+4f3c=")</f>
        <v>#REF!</v>
      </c>
      <c r="DQ24" t="e">
        <f>AND(#REF!,"AAAAAH+4f3g=")</f>
        <v>#REF!</v>
      </c>
      <c r="DR24" t="e">
        <f>AND(#REF!,"AAAAAH+4f3k=")</f>
        <v>#REF!</v>
      </c>
      <c r="DS24" t="e">
        <f>AND(#REF!,"AAAAAH+4f3o=")</f>
        <v>#REF!</v>
      </c>
      <c r="DT24" t="e">
        <f>AND(#REF!,"AAAAAH+4f3s=")</f>
        <v>#REF!</v>
      </c>
      <c r="DU24" t="e">
        <f>AND(#REF!,"AAAAAH+4f3w=")</f>
        <v>#REF!</v>
      </c>
      <c r="DV24" t="e">
        <f>AND(#REF!,"AAAAAH+4f30=")</f>
        <v>#REF!</v>
      </c>
      <c r="DW24" t="e">
        <f>IF(#REF!,"AAAAAH+4f34=",0)</f>
        <v>#REF!</v>
      </c>
      <c r="DX24" t="e">
        <f>AND(#REF!,"AAAAAH+4f38=")</f>
        <v>#REF!</v>
      </c>
      <c r="DY24" t="e">
        <f>AND(#REF!,"AAAAAH+4f4A=")</f>
        <v>#REF!</v>
      </c>
      <c r="DZ24" t="e">
        <f>AND(#REF!,"AAAAAH+4f4E=")</f>
        <v>#REF!</v>
      </c>
      <c r="EA24" t="e">
        <f>AND(#REF!,"AAAAAH+4f4I=")</f>
        <v>#REF!</v>
      </c>
      <c r="EB24" t="e">
        <f>AND(#REF!,"AAAAAH+4f4M=")</f>
        <v>#REF!</v>
      </c>
      <c r="EC24" t="e">
        <f>AND(#REF!,"AAAAAH+4f4Q=")</f>
        <v>#REF!</v>
      </c>
      <c r="ED24" t="e">
        <f>AND(#REF!,"AAAAAH+4f4U=")</f>
        <v>#REF!</v>
      </c>
      <c r="EE24" t="e">
        <f>AND(#REF!,"AAAAAH+4f4Y=")</f>
        <v>#REF!</v>
      </c>
      <c r="EF24" t="e">
        <f>AND(#REF!,"AAAAAH+4f4c=")</f>
        <v>#REF!</v>
      </c>
      <c r="EG24" t="e">
        <f>IF(#REF!,"AAAAAH+4f4g=",0)</f>
        <v>#REF!</v>
      </c>
      <c r="EH24" t="e">
        <f>AND(#REF!,"AAAAAH+4f4k=")</f>
        <v>#REF!</v>
      </c>
      <c r="EI24" t="e">
        <f>AND(#REF!,"AAAAAH+4f4o=")</f>
        <v>#REF!</v>
      </c>
      <c r="EJ24" t="e">
        <f>AND(#REF!,"AAAAAH+4f4s=")</f>
        <v>#REF!</v>
      </c>
      <c r="EK24" t="e">
        <f>AND(#REF!,"AAAAAH+4f4w=")</f>
        <v>#REF!</v>
      </c>
      <c r="EL24" t="e">
        <f>AND(#REF!,"AAAAAH+4f40=")</f>
        <v>#REF!</v>
      </c>
      <c r="EM24" t="e">
        <f>AND(#REF!,"AAAAAH+4f44=")</f>
        <v>#REF!</v>
      </c>
      <c r="EN24" t="e">
        <f>AND(#REF!,"AAAAAH+4f48=")</f>
        <v>#REF!</v>
      </c>
      <c r="EO24" t="e">
        <f>AND(#REF!,"AAAAAH+4f5A=")</f>
        <v>#REF!</v>
      </c>
      <c r="EP24" t="e">
        <f>AND(#REF!,"AAAAAH+4f5E=")</f>
        <v>#REF!</v>
      </c>
      <c r="EQ24" t="e">
        <f>IF(#REF!,"AAAAAH+4f5I=",0)</f>
        <v>#REF!</v>
      </c>
      <c r="ER24" t="e">
        <f>AND(#REF!,"AAAAAH+4f5M=")</f>
        <v>#REF!</v>
      </c>
      <c r="ES24" t="e">
        <f>AND(#REF!,"AAAAAH+4f5Q=")</f>
        <v>#REF!</v>
      </c>
      <c r="ET24" t="e">
        <f>AND(#REF!,"AAAAAH+4f5U=")</f>
        <v>#REF!</v>
      </c>
      <c r="EU24" t="e">
        <f>AND(#REF!,"AAAAAH+4f5Y=")</f>
        <v>#REF!</v>
      </c>
      <c r="EV24" t="e">
        <f>AND(#REF!,"AAAAAH+4f5c=")</f>
        <v>#REF!</v>
      </c>
      <c r="EW24" t="e">
        <f>AND(#REF!,"AAAAAH+4f5g=")</f>
        <v>#REF!</v>
      </c>
      <c r="EX24" t="e">
        <f>AND(#REF!,"AAAAAH+4f5k=")</f>
        <v>#REF!</v>
      </c>
      <c r="EY24" t="e">
        <f>AND(#REF!,"AAAAAH+4f5o=")</f>
        <v>#REF!</v>
      </c>
      <c r="EZ24" t="e">
        <f>AND(#REF!,"AAAAAH+4f5s=")</f>
        <v>#REF!</v>
      </c>
      <c r="FA24" t="e">
        <f>IF(#REF!,"AAAAAH+4f5w=",0)</f>
        <v>#REF!</v>
      </c>
      <c r="FB24" t="e">
        <f>AND(#REF!,"AAAAAH+4f50=")</f>
        <v>#REF!</v>
      </c>
      <c r="FC24" t="e">
        <f>AND(#REF!,"AAAAAH+4f54=")</f>
        <v>#REF!</v>
      </c>
      <c r="FD24" t="e">
        <f>AND(#REF!,"AAAAAH+4f58=")</f>
        <v>#REF!</v>
      </c>
      <c r="FE24" t="e">
        <f>AND(#REF!,"AAAAAH+4f6A=")</f>
        <v>#REF!</v>
      </c>
      <c r="FF24" t="e">
        <f>AND(#REF!,"AAAAAH+4f6E=")</f>
        <v>#REF!</v>
      </c>
      <c r="FG24" t="e">
        <f>AND(#REF!,"AAAAAH+4f6I=")</f>
        <v>#REF!</v>
      </c>
      <c r="FH24" t="e">
        <f>AND(#REF!,"AAAAAH+4f6M=")</f>
        <v>#REF!</v>
      </c>
      <c r="FI24" t="e">
        <f>AND(#REF!,"AAAAAH+4f6Q=")</f>
        <v>#REF!</v>
      </c>
      <c r="FJ24" t="e">
        <f>AND(#REF!,"AAAAAH+4f6U=")</f>
        <v>#REF!</v>
      </c>
      <c r="FK24" t="e">
        <f>IF(#REF!,"AAAAAH+4f6Y=",0)</f>
        <v>#REF!</v>
      </c>
      <c r="FL24" t="e">
        <f>AND(#REF!,"AAAAAH+4f6c=")</f>
        <v>#REF!</v>
      </c>
      <c r="FM24" t="e">
        <f>AND(#REF!,"AAAAAH+4f6g=")</f>
        <v>#REF!</v>
      </c>
      <c r="FN24" t="e">
        <f>AND(#REF!,"AAAAAH+4f6k=")</f>
        <v>#REF!</v>
      </c>
      <c r="FO24" t="e">
        <f>AND(#REF!,"AAAAAH+4f6o=")</f>
        <v>#REF!</v>
      </c>
      <c r="FP24" t="e">
        <f>AND(#REF!,"AAAAAH+4f6s=")</f>
        <v>#REF!</v>
      </c>
      <c r="FQ24" t="e">
        <f>AND(#REF!,"AAAAAH+4f6w=")</f>
        <v>#REF!</v>
      </c>
      <c r="FR24" t="e">
        <f>AND(#REF!,"AAAAAH+4f60=")</f>
        <v>#REF!</v>
      </c>
      <c r="FS24" t="e">
        <f>AND(#REF!,"AAAAAH+4f64=")</f>
        <v>#REF!</v>
      </c>
      <c r="FT24" t="e">
        <f>AND(#REF!,"AAAAAH+4f68=")</f>
        <v>#REF!</v>
      </c>
      <c r="FU24" t="e">
        <f>IF(#REF!,"AAAAAH+4f7A=",0)</f>
        <v>#REF!</v>
      </c>
      <c r="FV24" t="e">
        <f>AND(#REF!,"AAAAAH+4f7E=")</f>
        <v>#REF!</v>
      </c>
      <c r="FW24" t="e">
        <f>AND(#REF!,"AAAAAH+4f7I=")</f>
        <v>#REF!</v>
      </c>
      <c r="FX24" t="e">
        <f>AND(#REF!,"AAAAAH+4f7M=")</f>
        <v>#REF!</v>
      </c>
      <c r="FY24" t="e">
        <f>AND(#REF!,"AAAAAH+4f7Q=")</f>
        <v>#REF!</v>
      </c>
      <c r="FZ24" t="e">
        <f>AND(#REF!,"AAAAAH+4f7U=")</f>
        <v>#REF!</v>
      </c>
      <c r="GA24" t="e">
        <f>AND(#REF!,"AAAAAH+4f7Y=")</f>
        <v>#REF!</v>
      </c>
      <c r="GB24" t="e">
        <f>AND(#REF!,"AAAAAH+4f7c=")</f>
        <v>#REF!</v>
      </c>
      <c r="GC24" t="e">
        <f>AND(#REF!,"AAAAAH+4f7g=")</f>
        <v>#REF!</v>
      </c>
      <c r="GD24" t="e">
        <f>AND(#REF!,"AAAAAH+4f7k=")</f>
        <v>#REF!</v>
      </c>
      <c r="GE24" t="e">
        <f>IF(#REF!,"AAAAAH+4f7o=",0)</f>
        <v>#REF!</v>
      </c>
      <c r="GF24" t="e">
        <f>AND(#REF!,"AAAAAH+4f7s=")</f>
        <v>#REF!</v>
      </c>
      <c r="GG24" t="e">
        <f>AND(#REF!,"AAAAAH+4f7w=")</f>
        <v>#REF!</v>
      </c>
      <c r="GH24" t="e">
        <f>AND(#REF!,"AAAAAH+4f70=")</f>
        <v>#REF!</v>
      </c>
      <c r="GI24" t="e">
        <f>AND(#REF!,"AAAAAH+4f74=")</f>
        <v>#REF!</v>
      </c>
      <c r="GJ24" t="e">
        <f>AND(#REF!,"AAAAAH+4f78=")</f>
        <v>#REF!</v>
      </c>
      <c r="GK24" t="e">
        <f>AND(#REF!,"AAAAAH+4f8A=")</f>
        <v>#REF!</v>
      </c>
      <c r="GL24" t="e">
        <f>AND(#REF!,"AAAAAH+4f8E=")</f>
        <v>#REF!</v>
      </c>
      <c r="GM24" t="e">
        <f>AND(#REF!,"AAAAAH+4f8I=")</f>
        <v>#REF!</v>
      </c>
      <c r="GN24" t="e">
        <f>AND(#REF!,"AAAAAH+4f8M=")</f>
        <v>#REF!</v>
      </c>
      <c r="GO24" t="e">
        <f>IF(#REF!,"AAAAAH+4f8Q=",0)</f>
        <v>#REF!</v>
      </c>
      <c r="GP24" t="e">
        <f>AND(#REF!,"AAAAAH+4f8U=")</f>
        <v>#REF!</v>
      </c>
      <c r="GQ24" t="e">
        <f>AND(#REF!,"AAAAAH+4f8Y=")</f>
        <v>#REF!</v>
      </c>
      <c r="GR24" t="e">
        <f>AND(#REF!,"AAAAAH+4f8c=")</f>
        <v>#REF!</v>
      </c>
      <c r="GS24" t="e">
        <f>AND(#REF!,"AAAAAH+4f8g=")</f>
        <v>#REF!</v>
      </c>
      <c r="GT24" t="e">
        <f>AND(#REF!,"AAAAAH+4f8k=")</f>
        <v>#REF!</v>
      </c>
      <c r="GU24" t="e">
        <f>AND(#REF!,"AAAAAH+4f8o=")</f>
        <v>#REF!</v>
      </c>
      <c r="GV24" t="e">
        <f>AND(#REF!,"AAAAAH+4f8s=")</f>
        <v>#REF!</v>
      </c>
      <c r="GW24" t="e">
        <f>AND(#REF!,"AAAAAH+4f8w=")</f>
        <v>#REF!</v>
      </c>
      <c r="GX24" t="e">
        <f>AND(#REF!,"AAAAAH+4f80=")</f>
        <v>#REF!</v>
      </c>
      <c r="GY24" t="e">
        <f>IF(#REF!,"AAAAAH+4f84=",0)</f>
        <v>#REF!</v>
      </c>
      <c r="GZ24" t="e">
        <f>AND(#REF!,"AAAAAH+4f88=")</f>
        <v>#REF!</v>
      </c>
      <c r="HA24" t="e">
        <f>AND(#REF!,"AAAAAH+4f9A=")</f>
        <v>#REF!</v>
      </c>
      <c r="HB24" t="e">
        <f>AND(#REF!,"AAAAAH+4f9E=")</f>
        <v>#REF!</v>
      </c>
      <c r="HC24" t="e">
        <f>AND(#REF!,"AAAAAH+4f9I=")</f>
        <v>#REF!</v>
      </c>
      <c r="HD24" t="e">
        <f>AND(#REF!,"AAAAAH+4f9M=")</f>
        <v>#REF!</v>
      </c>
      <c r="HE24" t="e">
        <f>AND(#REF!,"AAAAAH+4f9Q=")</f>
        <v>#REF!</v>
      </c>
      <c r="HF24" t="e">
        <f>AND(#REF!,"AAAAAH+4f9U=")</f>
        <v>#REF!</v>
      </c>
      <c r="HG24" t="e">
        <f>AND(#REF!,"AAAAAH+4f9Y=")</f>
        <v>#REF!</v>
      </c>
      <c r="HH24" t="e">
        <f>AND(#REF!,"AAAAAH+4f9c=")</f>
        <v>#REF!</v>
      </c>
      <c r="HI24" t="e">
        <f>IF(#REF!,"AAAAAH+4f9g=",0)</f>
        <v>#REF!</v>
      </c>
      <c r="HJ24" t="e">
        <f>AND(#REF!,"AAAAAH+4f9k=")</f>
        <v>#REF!</v>
      </c>
      <c r="HK24" t="e">
        <f>AND(#REF!,"AAAAAH+4f9o=")</f>
        <v>#REF!</v>
      </c>
      <c r="HL24" t="e">
        <f>AND(#REF!,"AAAAAH+4f9s=")</f>
        <v>#REF!</v>
      </c>
      <c r="HM24" t="e">
        <f>AND(#REF!,"AAAAAH+4f9w=")</f>
        <v>#REF!</v>
      </c>
      <c r="HN24" t="e">
        <f>AND(#REF!,"AAAAAH+4f90=")</f>
        <v>#REF!</v>
      </c>
      <c r="HO24" t="e">
        <f>AND(#REF!,"AAAAAH+4f94=")</f>
        <v>#REF!</v>
      </c>
      <c r="HP24" t="e">
        <f>AND(#REF!,"AAAAAH+4f98=")</f>
        <v>#REF!</v>
      </c>
      <c r="HQ24" t="e">
        <f>AND(#REF!,"AAAAAH+4f+A=")</f>
        <v>#REF!</v>
      </c>
      <c r="HR24" t="e">
        <f>AND(#REF!,"AAAAAH+4f+E=")</f>
        <v>#REF!</v>
      </c>
      <c r="HS24" t="e">
        <f>IF(#REF!,"AAAAAH+4f+I=",0)</f>
        <v>#REF!</v>
      </c>
      <c r="HT24" t="e">
        <f>AND(#REF!,"AAAAAH+4f+M=")</f>
        <v>#REF!</v>
      </c>
      <c r="HU24" t="e">
        <f>AND(#REF!,"AAAAAH+4f+Q=")</f>
        <v>#REF!</v>
      </c>
      <c r="HV24" t="e">
        <f>AND(#REF!,"AAAAAH+4f+U=")</f>
        <v>#REF!</v>
      </c>
      <c r="HW24" t="e">
        <f>AND(#REF!,"AAAAAH+4f+Y=")</f>
        <v>#REF!</v>
      </c>
      <c r="HX24" t="e">
        <f>AND(#REF!,"AAAAAH+4f+c=")</f>
        <v>#REF!</v>
      </c>
      <c r="HY24" t="e">
        <f>AND(#REF!,"AAAAAH+4f+g=")</f>
        <v>#REF!</v>
      </c>
      <c r="HZ24" t="e">
        <f>AND(#REF!,"AAAAAH+4f+k=")</f>
        <v>#REF!</v>
      </c>
      <c r="IA24" t="e">
        <f>AND(#REF!,"AAAAAH+4f+o=")</f>
        <v>#REF!</v>
      </c>
      <c r="IB24" t="e">
        <f>AND(#REF!,"AAAAAH+4f+s=")</f>
        <v>#REF!</v>
      </c>
      <c r="IC24" t="e">
        <f>IF(#REF!,"AAAAAH+4f+w=",0)</f>
        <v>#REF!</v>
      </c>
      <c r="ID24" t="e">
        <f>AND(#REF!,"AAAAAH+4f+0=")</f>
        <v>#REF!</v>
      </c>
      <c r="IE24" t="e">
        <f>AND(#REF!,"AAAAAH+4f+4=")</f>
        <v>#REF!</v>
      </c>
      <c r="IF24" t="e">
        <f>AND(#REF!,"AAAAAH+4f+8=")</f>
        <v>#REF!</v>
      </c>
      <c r="IG24" t="e">
        <f>AND(#REF!,"AAAAAH+4f/A=")</f>
        <v>#REF!</v>
      </c>
      <c r="IH24" t="e">
        <f>AND(#REF!,"AAAAAH+4f/E=")</f>
        <v>#REF!</v>
      </c>
      <c r="II24" t="e">
        <f>AND(#REF!,"AAAAAH+4f/I=")</f>
        <v>#REF!</v>
      </c>
      <c r="IJ24" t="e">
        <f>AND(#REF!,"AAAAAH+4f/M=")</f>
        <v>#REF!</v>
      </c>
      <c r="IK24" t="e">
        <f>AND(#REF!,"AAAAAH+4f/Q=")</f>
        <v>#REF!</v>
      </c>
      <c r="IL24" t="e">
        <f>AND(#REF!,"AAAAAH+4f/U=")</f>
        <v>#REF!</v>
      </c>
      <c r="IM24" t="e">
        <f>IF(#REF!,"AAAAAH+4f/Y=",0)</f>
        <v>#REF!</v>
      </c>
      <c r="IN24" t="e">
        <f>AND(#REF!,"AAAAAH+4f/c=")</f>
        <v>#REF!</v>
      </c>
      <c r="IO24" t="e">
        <f>AND(#REF!,"AAAAAH+4f/g=")</f>
        <v>#REF!</v>
      </c>
      <c r="IP24" t="e">
        <f>AND(#REF!,"AAAAAH+4f/k=")</f>
        <v>#REF!</v>
      </c>
      <c r="IQ24" t="e">
        <f>AND(#REF!,"AAAAAH+4f/o=")</f>
        <v>#REF!</v>
      </c>
      <c r="IR24" t="e">
        <f>AND(#REF!,"AAAAAH+4f/s=")</f>
        <v>#REF!</v>
      </c>
      <c r="IS24" t="e">
        <f>AND(#REF!,"AAAAAH+4f/w=")</f>
        <v>#REF!</v>
      </c>
      <c r="IT24" t="e">
        <f>AND(#REF!,"AAAAAH+4f/0=")</f>
        <v>#REF!</v>
      </c>
      <c r="IU24" t="e">
        <f>AND(#REF!,"AAAAAH+4f/4=")</f>
        <v>#REF!</v>
      </c>
      <c r="IV24" t="e">
        <f>AND(#REF!,"AAAAAH+4f/8=")</f>
        <v>#REF!</v>
      </c>
    </row>
    <row r="25" spans="1:256">
      <c r="A25" t="e">
        <f>IF(#REF!,"AAAAABf/3QA=",0)</f>
        <v>#REF!</v>
      </c>
      <c r="B25" t="e">
        <f>AND(#REF!,"AAAAABf/3QE=")</f>
        <v>#REF!</v>
      </c>
      <c r="C25" t="e">
        <f>AND(#REF!,"AAAAABf/3QI=")</f>
        <v>#REF!</v>
      </c>
      <c r="D25" t="e">
        <f>AND(#REF!,"AAAAABf/3QM=")</f>
        <v>#REF!</v>
      </c>
      <c r="E25" t="e">
        <f>AND(#REF!,"AAAAABf/3QQ=")</f>
        <v>#REF!</v>
      </c>
      <c r="F25" t="e">
        <f>AND(#REF!,"AAAAABf/3QU=")</f>
        <v>#REF!</v>
      </c>
      <c r="G25" t="e">
        <f>AND(#REF!,"AAAAABf/3QY=")</f>
        <v>#REF!</v>
      </c>
      <c r="H25" t="e">
        <f>AND(#REF!,"AAAAABf/3Qc=")</f>
        <v>#REF!</v>
      </c>
      <c r="I25" t="e">
        <f>AND(#REF!,"AAAAABf/3Qg=")</f>
        <v>#REF!</v>
      </c>
      <c r="J25" t="e">
        <f>AND(#REF!,"AAAAABf/3Qk=")</f>
        <v>#REF!</v>
      </c>
      <c r="K25" t="e">
        <f>IF(#REF!,"AAAAABf/3Qo=",0)</f>
        <v>#REF!</v>
      </c>
      <c r="L25" t="e">
        <f>AND(#REF!,"AAAAABf/3Qs=")</f>
        <v>#REF!</v>
      </c>
      <c r="M25" t="e">
        <f>AND(#REF!,"AAAAABf/3Qw=")</f>
        <v>#REF!</v>
      </c>
      <c r="N25" t="e">
        <f>AND(#REF!,"AAAAABf/3Q0=")</f>
        <v>#REF!</v>
      </c>
      <c r="O25" t="e">
        <f>AND(#REF!,"AAAAABf/3Q4=")</f>
        <v>#REF!</v>
      </c>
      <c r="P25" t="e">
        <f>AND(#REF!,"AAAAABf/3Q8=")</f>
        <v>#REF!</v>
      </c>
      <c r="Q25" t="e">
        <f>AND(#REF!,"AAAAABf/3RA=")</f>
        <v>#REF!</v>
      </c>
      <c r="R25" t="e">
        <f>AND(#REF!,"AAAAABf/3RE=")</f>
        <v>#REF!</v>
      </c>
      <c r="S25" t="e">
        <f>AND(#REF!,"AAAAABf/3RI=")</f>
        <v>#REF!</v>
      </c>
      <c r="T25" t="e">
        <f>AND(#REF!,"AAAAABf/3RM=")</f>
        <v>#REF!</v>
      </c>
      <c r="U25" t="e">
        <f>IF(#REF!,"AAAAABf/3RQ=",0)</f>
        <v>#REF!</v>
      </c>
      <c r="V25" t="e">
        <f>AND(#REF!,"AAAAABf/3RU=")</f>
        <v>#REF!</v>
      </c>
      <c r="W25" t="e">
        <f>AND(#REF!,"AAAAABf/3RY=")</f>
        <v>#REF!</v>
      </c>
      <c r="X25" t="e">
        <f>AND(#REF!,"AAAAABf/3Rc=")</f>
        <v>#REF!</v>
      </c>
      <c r="Y25" t="e">
        <f>AND(#REF!,"AAAAABf/3Rg=")</f>
        <v>#REF!</v>
      </c>
      <c r="Z25" t="e">
        <f>AND(#REF!,"AAAAABf/3Rk=")</f>
        <v>#REF!</v>
      </c>
      <c r="AA25" t="e">
        <f>AND(#REF!,"AAAAABf/3Ro=")</f>
        <v>#REF!</v>
      </c>
      <c r="AB25" t="e">
        <f>AND(#REF!,"AAAAABf/3Rs=")</f>
        <v>#REF!</v>
      </c>
      <c r="AC25" t="e">
        <f>AND(#REF!,"AAAAABf/3Rw=")</f>
        <v>#REF!</v>
      </c>
      <c r="AD25" t="e">
        <f>AND(#REF!,"AAAAABf/3R0=")</f>
        <v>#REF!</v>
      </c>
      <c r="AE25" t="e">
        <f>IF(#REF!,"AAAAABf/3R4=",0)</f>
        <v>#REF!</v>
      </c>
      <c r="AF25" t="e">
        <f>AND(#REF!,"AAAAABf/3R8=")</f>
        <v>#REF!</v>
      </c>
      <c r="AG25" t="e">
        <f>AND(#REF!,"AAAAABf/3SA=")</f>
        <v>#REF!</v>
      </c>
      <c r="AH25" t="e">
        <f>AND(#REF!,"AAAAABf/3SE=")</f>
        <v>#REF!</v>
      </c>
      <c r="AI25" t="e">
        <f>AND(#REF!,"AAAAABf/3SI=")</f>
        <v>#REF!</v>
      </c>
      <c r="AJ25" t="e">
        <f>AND(#REF!,"AAAAABf/3SM=")</f>
        <v>#REF!</v>
      </c>
      <c r="AK25" t="e">
        <f>AND(#REF!,"AAAAABf/3SQ=")</f>
        <v>#REF!</v>
      </c>
      <c r="AL25" t="e">
        <f>AND(#REF!,"AAAAABf/3SU=")</f>
        <v>#REF!</v>
      </c>
      <c r="AM25" t="e">
        <f>AND(#REF!,"AAAAABf/3SY=")</f>
        <v>#REF!</v>
      </c>
      <c r="AN25" t="e">
        <f>AND(#REF!,"AAAAABf/3Sc=")</f>
        <v>#REF!</v>
      </c>
      <c r="AO25" t="e">
        <f>IF(#REF!,"AAAAABf/3Sg=",0)</f>
        <v>#REF!</v>
      </c>
      <c r="AP25" t="e">
        <f>AND(#REF!,"AAAAABf/3Sk=")</f>
        <v>#REF!</v>
      </c>
      <c r="AQ25" t="e">
        <f>AND(#REF!,"AAAAABf/3So=")</f>
        <v>#REF!</v>
      </c>
      <c r="AR25" t="e">
        <f>AND(#REF!,"AAAAABf/3Ss=")</f>
        <v>#REF!</v>
      </c>
      <c r="AS25" t="e">
        <f>AND(#REF!,"AAAAABf/3Sw=")</f>
        <v>#REF!</v>
      </c>
      <c r="AT25" t="e">
        <f>AND(#REF!,"AAAAABf/3S0=")</f>
        <v>#REF!</v>
      </c>
      <c r="AU25" t="e">
        <f>AND(#REF!,"AAAAABf/3S4=")</f>
        <v>#REF!</v>
      </c>
      <c r="AV25" t="e">
        <f>AND(#REF!,"AAAAABf/3S8=")</f>
        <v>#REF!</v>
      </c>
      <c r="AW25" t="e">
        <f>AND(#REF!,"AAAAABf/3TA=")</f>
        <v>#REF!</v>
      </c>
      <c r="AX25" t="e">
        <f>AND(#REF!,"AAAAABf/3TE=")</f>
        <v>#REF!</v>
      </c>
      <c r="AY25" t="e">
        <f>IF(#REF!,"AAAAABf/3TI=",0)</f>
        <v>#REF!</v>
      </c>
      <c r="AZ25" t="e">
        <f>AND(#REF!,"AAAAABf/3TM=")</f>
        <v>#REF!</v>
      </c>
      <c r="BA25" t="e">
        <f>AND(#REF!,"AAAAABf/3TQ=")</f>
        <v>#REF!</v>
      </c>
      <c r="BB25" t="e">
        <f>AND(#REF!,"AAAAABf/3TU=")</f>
        <v>#REF!</v>
      </c>
      <c r="BC25" t="e">
        <f>AND(#REF!,"AAAAABf/3TY=")</f>
        <v>#REF!</v>
      </c>
      <c r="BD25" t="e">
        <f>AND(#REF!,"AAAAABf/3Tc=")</f>
        <v>#REF!</v>
      </c>
      <c r="BE25" t="e">
        <f>AND(#REF!,"AAAAABf/3Tg=")</f>
        <v>#REF!</v>
      </c>
      <c r="BF25" t="e">
        <f>AND(#REF!,"AAAAABf/3Tk=")</f>
        <v>#REF!</v>
      </c>
      <c r="BG25" t="e">
        <f>AND(#REF!,"AAAAABf/3To=")</f>
        <v>#REF!</v>
      </c>
      <c r="BH25" t="e">
        <f>AND(#REF!,"AAAAABf/3Ts=")</f>
        <v>#REF!</v>
      </c>
      <c r="BI25" t="e">
        <f>IF(#REF!,"AAAAABf/3Tw=",0)</f>
        <v>#REF!</v>
      </c>
      <c r="BJ25" t="e">
        <f>AND(#REF!,"AAAAABf/3T0=")</f>
        <v>#REF!</v>
      </c>
      <c r="BK25" t="e">
        <f>AND(#REF!,"AAAAABf/3T4=")</f>
        <v>#REF!</v>
      </c>
      <c r="BL25" t="e">
        <f>AND(#REF!,"AAAAABf/3T8=")</f>
        <v>#REF!</v>
      </c>
      <c r="BM25" t="e">
        <f>AND(#REF!,"AAAAABf/3UA=")</f>
        <v>#REF!</v>
      </c>
      <c r="BN25" t="e">
        <f>AND(#REF!,"AAAAABf/3UE=")</f>
        <v>#REF!</v>
      </c>
      <c r="BO25" t="e">
        <f>AND(#REF!,"AAAAABf/3UI=")</f>
        <v>#REF!</v>
      </c>
      <c r="BP25" t="e">
        <f>AND(#REF!,"AAAAABf/3UM=")</f>
        <v>#REF!</v>
      </c>
      <c r="BQ25" t="e">
        <f>AND(#REF!,"AAAAABf/3UQ=")</f>
        <v>#REF!</v>
      </c>
      <c r="BR25" t="e">
        <f>AND(#REF!,"AAAAABf/3UU=")</f>
        <v>#REF!</v>
      </c>
      <c r="BS25" t="e">
        <f>IF(#REF!,"AAAAABf/3UY=",0)</f>
        <v>#REF!</v>
      </c>
      <c r="BT25" t="e">
        <f>AND(#REF!,"AAAAABf/3Uc=")</f>
        <v>#REF!</v>
      </c>
      <c r="BU25" t="e">
        <f>AND(#REF!,"AAAAABf/3Ug=")</f>
        <v>#REF!</v>
      </c>
      <c r="BV25" t="e">
        <f>AND(#REF!,"AAAAABf/3Uk=")</f>
        <v>#REF!</v>
      </c>
      <c r="BW25" t="e">
        <f>AND(#REF!,"AAAAABf/3Uo=")</f>
        <v>#REF!</v>
      </c>
      <c r="BX25" t="e">
        <f>AND(#REF!,"AAAAABf/3Us=")</f>
        <v>#REF!</v>
      </c>
      <c r="BY25" t="e">
        <f>AND(#REF!,"AAAAABf/3Uw=")</f>
        <v>#REF!</v>
      </c>
      <c r="BZ25" t="e">
        <f>AND(#REF!,"AAAAABf/3U0=")</f>
        <v>#REF!</v>
      </c>
      <c r="CA25" t="e">
        <f>AND(#REF!,"AAAAABf/3U4=")</f>
        <v>#REF!</v>
      </c>
      <c r="CB25" t="e">
        <f>AND(#REF!,"AAAAABf/3U8=")</f>
        <v>#REF!</v>
      </c>
      <c r="CC25" t="e">
        <f>IF(#REF!,"AAAAABf/3VA=",0)</f>
        <v>#REF!</v>
      </c>
      <c r="CD25" t="e">
        <f>AND(#REF!,"AAAAABf/3VE=")</f>
        <v>#REF!</v>
      </c>
      <c r="CE25" t="e">
        <f>AND(#REF!,"AAAAABf/3VI=")</f>
        <v>#REF!</v>
      </c>
      <c r="CF25" t="e">
        <f>AND(#REF!,"AAAAABf/3VM=")</f>
        <v>#REF!</v>
      </c>
      <c r="CG25" t="e">
        <f>AND(#REF!,"AAAAABf/3VQ=")</f>
        <v>#REF!</v>
      </c>
      <c r="CH25" t="e">
        <f>AND(#REF!,"AAAAABf/3VU=")</f>
        <v>#REF!</v>
      </c>
      <c r="CI25" t="e">
        <f>AND(#REF!,"AAAAABf/3VY=")</f>
        <v>#REF!</v>
      </c>
      <c r="CJ25" t="e">
        <f>AND(#REF!,"AAAAABf/3Vc=")</f>
        <v>#REF!</v>
      </c>
      <c r="CK25" t="e">
        <f>AND(#REF!,"AAAAABf/3Vg=")</f>
        <v>#REF!</v>
      </c>
      <c r="CL25" t="e">
        <f>AND(#REF!,"AAAAABf/3Vk=")</f>
        <v>#REF!</v>
      </c>
      <c r="CM25" t="e">
        <f>IF(#REF!,"AAAAABf/3Vo=",0)</f>
        <v>#REF!</v>
      </c>
      <c r="CN25" t="e">
        <f>AND(#REF!,"AAAAABf/3Vs=")</f>
        <v>#REF!</v>
      </c>
      <c r="CO25" t="e">
        <f>AND(#REF!,"AAAAABf/3Vw=")</f>
        <v>#REF!</v>
      </c>
      <c r="CP25" t="e">
        <f>AND(#REF!,"AAAAABf/3V0=")</f>
        <v>#REF!</v>
      </c>
      <c r="CQ25" t="e">
        <f>AND(#REF!,"AAAAABf/3V4=")</f>
        <v>#REF!</v>
      </c>
      <c r="CR25" t="e">
        <f>AND(#REF!,"AAAAABf/3V8=")</f>
        <v>#REF!</v>
      </c>
      <c r="CS25" t="e">
        <f>AND(#REF!,"AAAAABf/3WA=")</f>
        <v>#REF!</v>
      </c>
      <c r="CT25" t="e">
        <f>AND(#REF!,"AAAAABf/3WE=")</f>
        <v>#REF!</v>
      </c>
      <c r="CU25" t="e">
        <f>AND(#REF!,"AAAAABf/3WI=")</f>
        <v>#REF!</v>
      </c>
      <c r="CV25" t="e">
        <f>AND(#REF!,"AAAAABf/3WM=")</f>
        <v>#REF!</v>
      </c>
      <c r="CW25" t="e">
        <f>IF(#REF!,"AAAAABf/3WQ=",0)</f>
        <v>#REF!</v>
      </c>
      <c r="CX25" t="e">
        <f>AND(#REF!,"AAAAABf/3WU=")</f>
        <v>#REF!</v>
      </c>
      <c r="CY25" t="e">
        <f>AND(#REF!,"AAAAABf/3WY=")</f>
        <v>#REF!</v>
      </c>
      <c r="CZ25" t="e">
        <f>AND(#REF!,"AAAAABf/3Wc=")</f>
        <v>#REF!</v>
      </c>
      <c r="DA25" t="e">
        <f>AND(#REF!,"AAAAABf/3Wg=")</f>
        <v>#REF!</v>
      </c>
      <c r="DB25" t="e">
        <f>AND(#REF!,"AAAAABf/3Wk=")</f>
        <v>#REF!</v>
      </c>
      <c r="DC25" t="e">
        <f>AND(#REF!,"AAAAABf/3Wo=")</f>
        <v>#REF!</v>
      </c>
      <c r="DD25" t="e">
        <f>AND(#REF!,"AAAAABf/3Ws=")</f>
        <v>#REF!</v>
      </c>
      <c r="DE25" t="e">
        <f>AND(#REF!,"AAAAABf/3Ww=")</f>
        <v>#REF!</v>
      </c>
      <c r="DF25" t="e">
        <f>AND(#REF!,"AAAAABf/3W0=")</f>
        <v>#REF!</v>
      </c>
      <c r="DG25" t="e">
        <f>IF(#REF!,"AAAAABf/3W4=",0)</f>
        <v>#REF!</v>
      </c>
      <c r="DH25" t="e">
        <f>AND(#REF!,"AAAAABf/3W8=")</f>
        <v>#REF!</v>
      </c>
      <c r="DI25" t="e">
        <f>AND(#REF!,"AAAAABf/3XA=")</f>
        <v>#REF!</v>
      </c>
      <c r="DJ25" t="e">
        <f>AND(#REF!,"AAAAABf/3XE=")</f>
        <v>#REF!</v>
      </c>
      <c r="DK25" t="e">
        <f>AND(#REF!,"AAAAABf/3XI=")</f>
        <v>#REF!</v>
      </c>
      <c r="DL25" t="e">
        <f>AND(#REF!,"AAAAABf/3XM=")</f>
        <v>#REF!</v>
      </c>
      <c r="DM25" t="e">
        <f>AND(#REF!,"AAAAABf/3XQ=")</f>
        <v>#REF!</v>
      </c>
      <c r="DN25" t="e">
        <f>AND(#REF!,"AAAAABf/3XU=")</f>
        <v>#REF!</v>
      </c>
      <c r="DO25" t="e">
        <f>AND(#REF!,"AAAAABf/3XY=")</f>
        <v>#REF!</v>
      </c>
      <c r="DP25" t="e">
        <f>AND(#REF!,"AAAAABf/3Xc=")</f>
        <v>#REF!</v>
      </c>
      <c r="DQ25" t="e">
        <f>IF(#REF!,"AAAAABf/3Xg=",0)</f>
        <v>#REF!</v>
      </c>
      <c r="DR25" t="e">
        <f>AND(#REF!,"AAAAABf/3Xk=")</f>
        <v>#REF!</v>
      </c>
      <c r="DS25" t="e">
        <f>AND(#REF!,"AAAAABf/3Xo=")</f>
        <v>#REF!</v>
      </c>
      <c r="DT25" t="e">
        <f>AND(#REF!,"AAAAABf/3Xs=")</f>
        <v>#REF!</v>
      </c>
      <c r="DU25" t="e">
        <f>AND(#REF!,"AAAAABf/3Xw=")</f>
        <v>#REF!</v>
      </c>
      <c r="DV25" t="e">
        <f>AND(#REF!,"AAAAABf/3X0=")</f>
        <v>#REF!</v>
      </c>
      <c r="DW25" t="e">
        <f>AND(#REF!,"AAAAABf/3X4=")</f>
        <v>#REF!</v>
      </c>
      <c r="DX25" t="e">
        <f>AND(#REF!,"AAAAABf/3X8=")</f>
        <v>#REF!</v>
      </c>
      <c r="DY25" t="e">
        <f>AND(#REF!,"AAAAABf/3YA=")</f>
        <v>#REF!</v>
      </c>
      <c r="DZ25" t="e">
        <f>AND(#REF!,"AAAAABf/3YE=")</f>
        <v>#REF!</v>
      </c>
      <c r="EA25" t="e">
        <f>IF(#REF!,"AAAAABf/3YI=",0)</f>
        <v>#REF!</v>
      </c>
      <c r="EB25" t="e">
        <f>AND(#REF!,"AAAAABf/3YM=")</f>
        <v>#REF!</v>
      </c>
      <c r="EC25" t="e">
        <f>AND(#REF!,"AAAAABf/3YQ=")</f>
        <v>#REF!</v>
      </c>
      <c r="ED25" t="e">
        <f>AND(#REF!,"AAAAABf/3YU=")</f>
        <v>#REF!</v>
      </c>
      <c r="EE25" t="e">
        <f>AND(#REF!,"AAAAABf/3YY=")</f>
        <v>#REF!</v>
      </c>
      <c r="EF25" t="e">
        <f>AND(#REF!,"AAAAABf/3Yc=")</f>
        <v>#REF!</v>
      </c>
      <c r="EG25" t="e">
        <f>AND(#REF!,"AAAAABf/3Yg=")</f>
        <v>#REF!</v>
      </c>
      <c r="EH25" t="e">
        <f>AND(#REF!,"AAAAABf/3Yk=")</f>
        <v>#REF!</v>
      </c>
      <c r="EI25" t="e">
        <f>AND(#REF!,"AAAAABf/3Yo=")</f>
        <v>#REF!</v>
      </c>
      <c r="EJ25" t="e">
        <f>AND(#REF!,"AAAAABf/3Ys=")</f>
        <v>#REF!</v>
      </c>
      <c r="EK25" t="e">
        <f>IF(#REF!,"AAAAABf/3Yw=",0)</f>
        <v>#REF!</v>
      </c>
      <c r="EL25" t="e">
        <f>AND(#REF!,"AAAAABf/3Y0=")</f>
        <v>#REF!</v>
      </c>
      <c r="EM25" t="e">
        <f>AND(#REF!,"AAAAABf/3Y4=")</f>
        <v>#REF!</v>
      </c>
      <c r="EN25" t="e">
        <f>AND(#REF!,"AAAAABf/3Y8=")</f>
        <v>#REF!</v>
      </c>
      <c r="EO25" t="e">
        <f>AND(#REF!,"AAAAABf/3ZA=")</f>
        <v>#REF!</v>
      </c>
      <c r="EP25" t="e">
        <f>AND(#REF!,"AAAAABf/3ZE=")</f>
        <v>#REF!</v>
      </c>
      <c r="EQ25" t="e">
        <f>AND(#REF!,"AAAAABf/3ZI=")</f>
        <v>#REF!</v>
      </c>
      <c r="ER25" t="e">
        <f>AND(#REF!,"AAAAABf/3ZM=")</f>
        <v>#REF!</v>
      </c>
      <c r="ES25" t="e">
        <f>AND(#REF!,"AAAAABf/3ZQ=")</f>
        <v>#REF!</v>
      </c>
      <c r="ET25" t="e">
        <f>AND(#REF!,"AAAAABf/3ZU=")</f>
        <v>#REF!</v>
      </c>
      <c r="EU25" t="e">
        <f>IF(#REF!,"AAAAABf/3ZY=",0)</f>
        <v>#REF!</v>
      </c>
      <c r="EV25" t="e">
        <f>AND(#REF!,"AAAAABf/3Zc=")</f>
        <v>#REF!</v>
      </c>
      <c r="EW25" t="e">
        <f>AND(#REF!,"AAAAABf/3Zg=")</f>
        <v>#REF!</v>
      </c>
      <c r="EX25" t="e">
        <f>AND(#REF!,"AAAAABf/3Zk=")</f>
        <v>#REF!</v>
      </c>
      <c r="EY25" t="e">
        <f>AND(#REF!,"AAAAABf/3Zo=")</f>
        <v>#REF!</v>
      </c>
      <c r="EZ25" t="e">
        <f>AND(#REF!,"AAAAABf/3Zs=")</f>
        <v>#REF!</v>
      </c>
      <c r="FA25" t="e">
        <f>AND(#REF!,"AAAAABf/3Zw=")</f>
        <v>#REF!</v>
      </c>
      <c r="FB25" t="e">
        <f>AND(#REF!,"AAAAABf/3Z0=")</f>
        <v>#REF!</v>
      </c>
      <c r="FC25" t="e">
        <f>AND(#REF!,"AAAAABf/3Z4=")</f>
        <v>#REF!</v>
      </c>
      <c r="FD25" t="e">
        <f>AND(#REF!,"AAAAABf/3Z8=")</f>
        <v>#REF!</v>
      </c>
      <c r="FE25" t="e">
        <f>IF(#REF!,"AAAAABf/3aA=",0)</f>
        <v>#REF!</v>
      </c>
      <c r="FF25" t="e">
        <f>AND(#REF!,"AAAAABf/3aE=")</f>
        <v>#REF!</v>
      </c>
      <c r="FG25" t="e">
        <f>AND(#REF!,"AAAAABf/3aI=")</f>
        <v>#REF!</v>
      </c>
      <c r="FH25" t="e">
        <f>AND(#REF!,"AAAAABf/3aM=")</f>
        <v>#REF!</v>
      </c>
      <c r="FI25" t="e">
        <f>AND(#REF!,"AAAAABf/3aQ=")</f>
        <v>#REF!</v>
      </c>
      <c r="FJ25" t="e">
        <f>AND(#REF!,"AAAAABf/3aU=")</f>
        <v>#REF!</v>
      </c>
      <c r="FK25" t="e">
        <f>AND(#REF!,"AAAAABf/3aY=")</f>
        <v>#REF!</v>
      </c>
      <c r="FL25" t="e">
        <f>AND(#REF!,"AAAAABf/3ac=")</f>
        <v>#REF!</v>
      </c>
      <c r="FM25" t="e">
        <f>AND(#REF!,"AAAAABf/3ag=")</f>
        <v>#REF!</v>
      </c>
      <c r="FN25" t="e">
        <f>AND(#REF!,"AAAAABf/3ak=")</f>
        <v>#REF!</v>
      </c>
      <c r="FO25" t="e">
        <f>IF(#REF!,"AAAAABf/3ao=",0)</f>
        <v>#REF!</v>
      </c>
      <c r="FP25" t="e">
        <f>AND(#REF!,"AAAAABf/3as=")</f>
        <v>#REF!</v>
      </c>
      <c r="FQ25" t="e">
        <f>AND(#REF!,"AAAAABf/3aw=")</f>
        <v>#REF!</v>
      </c>
      <c r="FR25" t="e">
        <f>AND(#REF!,"AAAAABf/3a0=")</f>
        <v>#REF!</v>
      </c>
      <c r="FS25" t="e">
        <f>AND(#REF!,"AAAAABf/3a4=")</f>
        <v>#REF!</v>
      </c>
      <c r="FT25" t="e">
        <f>AND(#REF!,"AAAAABf/3a8=")</f>
        <v>#REF!</v>
      </c>
      <c r="FU25" t="e">
        <f>AND(#REF!,"AAAAABf/3bA=")</f>
        <v>#REF!</v>
      </c>
      <c r="FV25" t="e">
        <f>AND(#REF!,"AAAAABf/3bE=")</f>
        <v>#REF!</v>
      </c>
      <c r="FW25" t="e">
        <f>AND(#REF!,"AAAAABf/3bI=")</f>
        <v>#REF!</v>
      </c>
      <c r="FX25" t="e">
        <f>AND(#REF!,"AAAAABf/3bM=")</f>
        <v>#REF!</v>
      </c>
      <c r="FY25" t="e">
        <f>IF(#REF!,"AAAAABf/3bQ=",0)</f>
        <v>#REF!</v>
      </c>
      <c r="FZ25" t="e">
        <f>AND(#REF!,"AAAAABf/3bU=")</f>
        <v>#REF!</v>
      </c>
      <c r="GA25" t="e">
        <f>AND(#REF!,"AAAAABf/3bY=")</f>
        <v>#REF!</v>
      </c>
      <c r="GB25" t="e">
        <f>AND(#REF!,"AAAAABf/3bc=")</f>
        <v>#REF!</v>
      </c>
      <c r="GC25" t="e">
        <f>AND(#REF!,"AAAAABf/3bg=")</f>
        <v>#REF!</v>
      </c>
      <c r="GD25" t="e">
        <f>AND(#REF!,"AAAAABf/3bk=")</f>
        <v>#REF!</v>
      </c>
      <c r="GE25" t="e">
        <f>AND(#REF!,"AAAAABf/3bo=")</f>
        <v>#REF!</v>
      </c>
      <c r="GF25" t="e">
        <f>AND(#REF!,"AAAAABf/3bs=")</f>
        <v>#REF!</v>
      </c>
      <c r="GG25" t="e">
        <f>AND(#REF!,"AAAAABf/3bw=")</f>
        <v>#REF!</v>
      </c>
      <c r="GH25" t="e">
        <f>AND(#REF!,"AAAAABf/3b0=")</f>
        <v>#REF!</v>
      </c>
      <c r="GI25" t="e">
        <f>IF(#REF!,"AAAAABf/3b4=",0)</f>
        <v>#REF!</v>
      </c>
      <c r="GJ25" t="e">
        <f>AND(#REF!,"AAAAABf/3b8=")</f>
        <v>#REF!</v>
      </c>
      <c r="GK25" t="e">
        <f>AND(#REF!,"AAAAABf/3cA=")</f>
        <v>#REF!</v>
      </c>
      <c r="GL25" t="e">
        <f>AND(#REF!,"AAAAABf/3cE=")</f>
        <v>#REF!</v>
      </c>
      <c r="GM25" t="e">
        <f>AND(#REF!,"AAAAABf/3cI=")</f>
        <v>#REF!</v>
      </c>
      <c r="GN25" t="e">
        <f>AND(#REF!,"AAAAABf/3cM=")</f>
        <v>#REF!</v>
      </c>
      <c r="GO25" t="e">
        <f>AND(#REF!,"AAAAABf/3cQ=")</f>
        <v>#REF!</v>
      </c>
      <c r="GP25" t="e">
        <f>AND(#REF!,"AAAAABf/3cU=")</f>
        <v>#REF!</v>
      </c>
      <c r="GQ25" t="e">
        <f>AND(#REF!,"AAAAABf/3cY=")</f>
        <v>#REF!</v>
      </c>
      <c r="GR25" t="e">
        <f>AND(#REF!,"AAAAABf/3cc=")</f>
        <v>#REF!</v>
      </c>
      <c r="GS25" t="e">
        <f>IF(#REF!,"AAAAABf/3cg=",0)</f>
        <v>#REF!</v>
      </c>
      <c r="GT25" t="e">
        <f>AND(#REF!,"AAAAABf/3ck=")</f>
        <v>#REF!</v>
      </c>
      <c r="GU25" t="e">
        <f>AND(#REF!,"AAAAABf/3co=")</f>
        <v>#REF!</v>
      </c>
      <c r="GV25" t="e">
        <f>AND(#REF!,"AAAAABf/3cs=")</f>
        <v>#REF!</v>
      </c>
      <c r="GW25" t="e">
        <f>AND(#REF!,"AAAAABf/3cw=")</f>
        <v>#REF!</v>
      </c>
      <c r="GX25" t="e">
        <f>AND(#REF!,"AAAAABf/3c0=")</f>
        <v>#REF!</v>
      </c>
      <c r="GY25" t="e">
        <f>AND(#REF!,"AAAAABf/3c4=")</f>
        <v>#REF!</v>
      </c>
      <c r="GZ25" t="e">
        <f>AND(#REF!,"AAAAABf/3c8=")</f>
        <v>#REF!</v>
      </c>
      <c r="HA25" t="e">
        <f>AND(#REF!,"AAAAABf/3dA=")</f>
        <v>#REF!</v>
      </c>
      <c r="HB25" t="e">
        <f>AND(#REF!,"AAAAABf/3dE=")</f>
        <v>#REF!</v>
      </c>
      <c r="HC25" t="e">
        <f>IF(#REF!,"AAAAABf/3dI=",0)</f>
        <v>#REF!</v>
      </c>
      <c r="HD25" t="e">
        <f>AND(#REF!,"AAAAABf/3dM=")</f>
        <v>#REF!</v>
      </c>
      <c r="HE25" t="e">
        <f>AND(#REF!,"AAAAABf/3dQ=")</f>
        <v>#REF!</v>
      </c>
      <c r="HF25" t="e">
        <f>AND(#REF!,"AAAAABf/3dU=")</f>
        <v>#REF!</v>
      </c>
      <c r="HG25" t="e">
        <f>AND(#REF!,"AAAAABf/3dY=")</f>
        <v>#REF!</v>
      </c>
      <c r="HH25" t="e">
        <f>AND(#REF!,"AAAAABf/3dc=")</f>
        <v>#REF!</v>
      </c>
      <c r="HI25" t="e">
        <f>AND(#REF!,"AAAAABf/3dg=")</f>
        <v>#REF!</v>
      </c>
      <c r="HJ25" t="e">
        <f>AND(#REF!,"AAAAABf/3dk=")</f>
        <v>#REF!</v>
      </c>
      <c r="HK25" t="e">
        <f>AND(#REF!,"AAAAABf/3do=")</f>
        <v>#REF!</v>
      </c>
      <c r="HL25" t="e">
        <f>AND(#REF!,"AAAAABf/3ds=")</f>
        <v>#REF!</v>
      </c>
      <c r="HM25" t="e">
        <f>IF(#REF!,"AAAAABf/3dw=",0)</f>
        <v>#REF!</v>
      </c>
      <c r="HN25" t="e">
        <f>AND(#REF!,"AAAAABf/3d0=")</f>
        <v>#REF!</v>
      </c>
      <c r="HO25" t="e">
        <f>AND(#REF!,"AAAAABf/3d4=")</f>
        <v>#REF!</v>
      </c>
      <c r="HP25" t="e">
        <f>AND(#REF!,"AAAAABf/3d8=")</f>
        <v>#REF!</v>
      </c>
      <c r="HQ25" t="e">
        <f>AND(#REF!,"AAAAABf/3eA=")</f>
        <v>#REF!</v>
      </c>
      <c r="HR25" t="e">
        <f>AND(#REF!,"AAAAABf/3eE=")</f>
        <v>#REF!</v>
      </c>
      <c r="HS25" t="e">
        <f>AND(#REF!,"AAAAABf/3eI=")</f>
        <v>#REF!</v>
      </c>
      <c r="HT25" t="e">
        <f>AND(#REF!,"AAAAABf/3eM=")</f>
        <v>#REF!</v>
      </c>
      <c r="HU25" t="e">
        <f>AND(#REF!,"AAAAABf/3eQ=")</f>
        <v>#REF!</v>
      </c>
      <c r="HV25" t="e">
        <f>AND(#REF!,"AAAAABf/3eU=")</f>
        <v>#REF!</v>
      </c>
      <c r="HW25" t="e">
        <f>IF(#REF!,"AAAAABf/3eY=",0)</f>
        <v>#REF!</v>
      </c>
      <c r="HX25" t="e">
        <f>AND(#REF!,"AAAAABf/3ec=")</f>
        <v>#REF!</v>
      </c>
      <c r="HY25" t="e">
        <f>AND(#REF!,"AAAAABf/3eg=")</f>
        <v>#REF!</v>
      </c>
      <c r="HZ25" t="e">
        <f>AND(#REF!,"AAAAABf/3ek=")</f>
        <v>#REF!</v>
      </c>
      <c r="IA25" t="e">
        <f>AND(#REF!,"AAAAABf/3eo=")</f>
        <v>#REF!</v>
      </c>
      <c r="IB25" t="e">
        <f>AND(#REF!,"AAAAABf/3es=")</f>
        <v>#REF!</v>
      </c>
      <c r="IC25" t="e">
        <f>AND(#REF!,"AAAAABf/3ew=")</f>
        <v>#REF!</v>
      </c>
      <c r="ID25" t="e">
        <f>AND(#REF!,"AAAAABf/3e0=")</f>
        <v>#REF!</v>
      </c>
      <c r="IE25" t="e">
        <f>AND(#REF!,"AAAAABf/3e4=")</f>
        <v>#REF!</v>
      </c>
      <c r="IF25" t="e">
        <f>AND(#REF!,"AAAAABf/3e8=")</f>
        <v>#REF!</v>
      </c>
      <c r="IG25" t="e">
        <f>IF(#REF!,"AAAAABf/3fA=",0)</f>
        <v>#REF!</v>
      </c>
      <c r="IH25" t="e">
        <f>AND(#REF!,"AAAAABf/3fE=")</f>
        <v>#REF!</v>
      </c>
      <c r="II25" t="e">
        <f>AND(#REF!,"AAAAABf/3fI=")</f>
        <v>#REF!</v>
      </c>
      <c r="IJ25" t="e">
        <f>AND(#REF!,"AAAAABf/3fM=")</f>
        <v>#REF!</v>
      </c>
      <c r="IK25" t="e">
        <f>AND(#REF!,"AAAAABf/3fQ=")</f>
        <v>#REF!</v>
      </c>
      <c r="IL25" t="e">
        <f>AND(#REF!,"AAAAABf/3fU=")</f>
        <v>#REF!</v>
      </c>
      <c r="IM25" t="e">
        <f>AND(#REF!,"AAAAABf/3fY=")</f>
        <v>#REF!</v>
      </c>
      <c r="IN25" t="e">
        <f>AND(#REF!,"AAAAABf/3fc=")</f>
        <v>#REF!</v>
      </c>
      <c r="IO25" t="e">
        <f>AND(#REF!,"AAAAABf/3fg=")</f>
        <v>#REF!</v>
      </c>
      <c r="IP25" t="e">
        <f>AND(#REF!,"AAAAABf/3fk=")</f>
        <v>#REF!</v>
      </c>
      <c r="IQ25" t="e">
        <f>IF(#REF!,"AAAAABf/3fo=",0)</f>
        <v>#REF!</v>
      </c>
      <c r="IR25" t="e">
        <f>AND(#REF!,"AAAAABf/3fs=")</f>
        <v>#REF!</v>
      </c>
      <c r="IS25" t="e">
        <f>AND(#REF!,"AAAAABf/3fw=")</f>
        <v>#REF!</v>
      </c>
      <c r="IT25" t="e">
        <f>AND(#REF!,"AAAAABf/3f0=")</f>
        <v>#REF!</v>
      </c>
      <c r="IU25" t="e">
        <f>AND(#REF!,"AAAAABf/3f4=")</f>
        <v>#REF!</v>
      </c>
      <c r="IV25" t="e">
        <f>AND(#REF!,"AAAAABf/3f8=")</f>
        <v>#REF!</v>
      </c>
    </row>
    <row r="26" spans="1:256">
      <c r="A26" t="e">
        <f>AND(#REF!,"AAAAAF296AA=")</f>
        <v>#REF!</v>
      </c>
      <c r="B26" t="e">
        <f>AND(#REF!,"AAAAAF296AE=")</f>
        <v>#REF!</v>
      </c>
      <c r="C26" t="e">
        <f>AND(#REF!,"AAAAAF296AI=")</f>
        <v>#REF!</v>
      </c>
      <c r="D26" t="e">
        <f>AND(#REF!,"AAAAAF296AM=")</f>
        <v>#REF!</v>
      </c>
      <c r="E26" t="e">
        <f>IF(#REF!,"AAAAAF296AQ=",0)</f>
        <v>#REF!</v>
      </c>
      <c r="F26" t="e">
        <f>AND(#REF!,"AAAAAF296AU=")</f>
        <v>#REF!</v>
      </c>
      <c r="G26" t="e">
        <f>AND(#REF!,"AAAAAF296AY=")</f>
        <v>#REF!</v>
      </c>
      <c r="H26" t="e">
        <f>AND(#REF!,"AAAAAF296Ac=")</f>
        <v>#REF!</v>
      </c>
      <c r="I26" t="e">
        <f>AND(#REF!,"AAAAAF296Ag=")</f>
        <v>#REF!</v>
      </c>
      <c r="J26" t="e">
        <f>AND(#REF!,"AAAAAF296Ak=")</f>
        <v>#REF!</v>
      </c>
      <c r="K26" t="e">
        <f>AND(#REF!,"AAAAAF296Ao=")</f>
        <v>#REF!</v>
      </c>
      <c r="L26" t="e">
        <f>AND(#REF!,"AAAAAF296As=")</f>
        <v>#REF!</v>
      </c>
      <c r="M26" t="e">
        <f>AND(#REF!,"AAAAAF296Aw=")</f>
        <v>#REF!</v>
      </c>
      <c r="N26" t="e">
        <f>AND(#REF!,"AAAAAF296A0=")</f>
        <v>#REF!</v>
      </c>
      <c r="O26" t="e">
        <f>IF(#REF!,"AAAAAF296A4=",0)</f>
        <v>#REF!</v>
      </c>
      <c r="P26" t="e">
        <f>AND(#REF!,"AAAAAF296A8=")</f>
        <v>#REF!</v>
      </c>
      <c r="Q26" t="e">
        <f>AND(#REF!,"AAAAAF296BA=")</f>
        <v>#REF!</v>
      </c>
      <c r="R26" t="e">
        <f>AND(#REF!,"AAAAAF296BE=")</f>
        <v>#REF!</v>
      </c>
      <c r="S26" t="e">
        <f>AND(#REF!,"AAAAAF296BI=")</f>
        <v>#REF!</v>
      </c>
      <c r="T26" t="e">
        <f>AND(#REF!,"AAAAAF296BM=")</f>
        <v>#REF!</v>
      </c>
      <c r="U26" t="e">
        <f>AND(#REF!,"AAAAAF296BQ=")</f>
        <v>#REF!</v>
      </c>
      <c r="V26" t="e">
        <f>AND(#REF!,"AAAAAF296BU=")</f>
        <v>#REF!</v>
      </c>
      <c r="W26" t="e">
        <f>AND(#REF!,"AAAAAF296BY=")</f>
        <v>#REF!</v>
      </c>
      <c r="X26" t="e">
        <f>AND(#REF!,"AAAAAF296Bc=")</f>
        <v>#REF!</v>
      </c>
      <c r="Y26" t="e">
        <f>IF(#REF!,"AAAAAF296Bg=",0)</f>
        <v>#REF!</v>
      </c>
      <c r="Z26" t="e">
        <f>AND(#REF!,"AAAAAF296Bk=")</f>
        <v>#REF!</v>
      </c>
      <c r="AA26" t="e">
        <f>AND(#REF!,"AAAAAF296Bo=")</f>
        <v>#REF!</v>
      </c>
      <c r="AB26" t="e">
        <f>AND(#REF!,"AAAAAF296Bs=")</f>
        <v>#REF!</v>
      </c>
      <c r="AC26" t="e">
        <f>AND(#REF!,"AAAAAF296Bw=")</f>
        <v>#REF!</v>
      </c>
      <c r="AD26" t="e">
        <f>AND(#REF!,"AAAAAF296B0=")</f>
        <v>#REF!</v>
      </c>
      <c r="AE26" t="e">
        <f>AND(#REF!,"AAAAAF296B4=")</f>
        <v>#REF!</v>
      </c>
      <c r="AF26" t="e">
        <f>AND(#REF!,"AAAAAF296B8=")</f>
        <v>#REF!</v>
      </c>
      <c r="AG26" t="e">
        <f>AND(#REF!,"AAAAAF296CA=")</f>
        <v>#REF!</v>
      </c>
      <c r="AH26" t="e">
        <f>AND(#REF!,"AAAAAF296CE=")</f>
        <v>#REF!</v>
      </c>
      <c r="AI26" t="e">
        <f>IF(#REF!,"AAAAAF296CI=",0)</f>
        <v>#REF!</v>
      </c>
      <c r="AJ26" t="e">
        <f>AND(#REF!,"AAAAAF296CM=")</f>
        <v>#REF!</v>
      </c>
      <c r="AK26" t="e">
        <f>AND(#REF!,"AAAAAF296CQ=")</f>
        <v>#REF!</v>
      </c>
      <c r="AL26" t="e">
        <f>AND(#REF!,"AAAAAF296CU=")</f>
        <v>#REF!</v>
      </c>
      <c r="AM26" t="e">
        <f>AND(#REF!,"AAAAAF296CY=")</f>
        <v>#REF!</v>
      </c>
      <c r="AN26" t="e">
        <f>AND(#REF!,"AAAAAF296Cc=")</f>
        <v>#REF!</v>
      </c>
      <c r="AO26" t="e">
        <f>AND(#REF!,"AAAAAF296Cg=")</f>
        <v>#REF!</v>
      </c>
      <c r="AP26" t="e">
        <f>AND(#REF!,"AAAAAF296Ck=")</f>
        <v>#REF!</v>
      </c>
      <c r="AQ26" t="e">
        <f>AND(#REF!,"AAAAAF296Co=")</f>
        <v>#REF!</v>
      </c>
      <c r="AR26" t="e">
        <f>AND(#REF!,"AAAAAF296Cs=")</f>
        <v>#REF!</v>
      </c>
      <c r="AS26" t="e">
        <f>IF(#REF!,"AAAAAF296Cw=",0)</f>
        <v>#REF!</v>
      </c>
      <c r="AT26" t="e">
        <f>AND(#REF!,"AAAAAF296C0=")</f>
        <v>#REF!</v>
      </c>
      <c r="AU26" t="e">
        <f>AND(#REF!,"AAAAAF296C4=")</f>
        <v>#REF!</v>
      </c>
      <c r="AV26" t="e">
        <f>AND(#REF!,"AAAAAF296C8=")</f>
        <v>#REF!</v>
      </c>
      <c r="AW26" t="e">
        <f>AND(#REF!,"AAAAAF296DA=")</f>
        <v>#REF!</v>
      </c>
      <c r="AX26" t="e">
        <f>AND(#REF!,"AAAAAF296DE=")</f>
        <v>#REF!</v>
      </c>
      <c r="AY26" t="e">
        <f>AND(#REF!,"AAAAAF296DI=")</f>
        <v>#REF!</v>
      </c>
      <c r="AZ26" t="e">
        <f>AND(#REF!,"AAAAAF296DM=")</f>
        <v>#REF!</v>
      </c>
      <c r="BA26" t="e">
        <f>AND(#REF!,"AAAAAF296DQ=")</f>
        <v>#REF!</v>
      </c>
      <c r="BB26" t="e">
        <f>AND(#REF!,"AAAAAF296DU=")</f>
        <v>#REF!</v>
      </c>
      <c r="BC26" t="e">
        <f>IF(#REF!,"AAAAAF296DY=",0)</f>
        <v>#REF!</v>
      </c>
      <c r="BD26" t="e">
        <f>AND(#REF!,"AAAAAF296Dc=")</f>
        <v>#REF!</v>
      </c>
      <c r="BE26" t="e">
        <f>AND(#REF!,"AAAAAF296Dg=")</f>
        <v>#REF!</v>
      </c>
      <c r="BF26" t="e">
        <f>AND(#REF!,"AAAAAF296Dk=")</f>
        <v>#REF!</v>
      </c>
      <c r="BG26" t="e">
        <f>AND(#REF!,"AAAAAF296Do=")</f>
        <v>#REF!</v>
      </c>
      <c r="BH26" t="e">
        <f>AND(#REF!,"AAAAAF296Ds=")</f>
        <v>#REF!</v>
      </c>
      <c r="BI26" t="e">
        <f>AND(#REF!,"AAAAAF296Dw=")</f>
        <v>#REF!</v>
      </c>
      <c r="BJ26" t="e">
        <f>AND(#REF!,"AAAAAF296D0=")</f>
        <v>#REF!</v>
      </c>
      <c r="BK26" t="e">
        <f>AND(#REF!,"AAAAAF296D4=")</f>
        <v>#REF!</v>
      </c>
      <c r="BL26" t="e">
        <f>AND(#REF!,"AAAAAF296D8=")</f>
        <v>#REF!</v>
      </c>
      <c r="BM26" t="e">
        <f>IF(#REF!,"AAAAAF296EA=",0)</f>
        <v>#REF!</v>
      </c>
      <c r="BN26" t="e">
        <f>AND(#REF!,"AAAAAF296EE=")</f>
        <v>#REF!</v>
      </c>
      <c r="BO26" t="e">
        <f>AND(#REF!,"AAAAAF296EI=")</f>
        <v>#REF!</v>
      </c>
      <c r="BP26" t="e">
        <f>AND(#REF!,"AAAAAF296EM=")</f>
        <v>#REF!</v>
      </c>
      <c r="BQ26" t="e">
        <f>AND(#REF!,"AAAAAF296EQ=")</f>
        <v>#REF!</v>
      </c>
      <c r="BR26" t="e">
        <f>AND(#REF!,"AAAAAF296EU=")</f>
        <v>#REF!</v>
      </c>
      <c r="BS26" t="e">
        <f>AND(#REF!,"AAAAAF296EY=")</f>
        <v>#REF!</v>
      </c>
      <c r="BT26" t="e">
        <f>AND(#REF!,"AAAAAF296Ec=")</f>
        <v>#REF!</v>
      </c>
      <c r="BU26" t="e">
        <f>AND(#REF!,"AAAAAF296Eg=")</f>
        <v>#REF!</v>
      </c>
      <c r="BV26" t="e">
        <f>AND(#REF!,"AAAAAF296Ek=")</f>
        <v>#REF!</v>
      </c>
      <c r="BW26" t="e">
        <f>IF(#REF!,"AAAAAF296Eo=",0)</f>
        <v>#REF!</v>
      </c>
      <c r="BX26" t="e">
        <f>AND(#REF!,"AAAAAF296Es=")</f>
        <v>#REF!</v>
      </c>
      <c r="BY26" t="e">
        <f>AND(#REF!,"AAAAAF296Ew=")</f>
        <v>#REF!</v>
      </c>
      <c r="BZ26" t="e">
        <f>AND(#REF!,"AAAAAF296E0=")</f>
        <v>#REF!</v>
      </c>
      <c r="CA26" t="e">
        <f>AND(#REF!,"AAAAAF296E4=")</f>
        <v>#REF!</v>
      </c>
      <c r="CB26" t="e">
        <f>AND(#REF!,"AAAAAF296E8=")</f>
        <v>#REF!</v>
      </c>
      <c r="CC26" t="e">
        <f>AND(#REF!,"AAAAAF296FA=")</f>
        <v>#REF!</v>
      </c>
      <c r="CD26" t="e">
        <f>AND(#REF!,"AAAAAF296FE=")</f>
        <v>#REF!</v>
      </c>
      <c r="CE26" t="e">
        <f>AND(#REF!,"AAAAAF296FI=")</f>
        <v>#REF!</v>
      </c>
      <c r="CF26" t="e">
        <f>AND(#REF!,"AAAAAF296FM=")</f>
        <v>#REF!</v>
      </c>
      <c r="CG26" t="e">
        <f>IF(#REF!,"AAAAAF296FQ=",0)</f>
        <v>#REF!</v>
      </c>
      <c r="CH26" t="e">
        <f>AND(#REF!,"AAAAAF296FU=")</f>
        <v>#REF!</v>
      </c>
      <c r="CI26" t="e">
        <f>AND(#REF!,"AAAAAF296FY=")</f>
        <v>#REF!</v>
      </c>
      <c r="CJ26" t="e">
        <f>AND(#REF!,"AAAAAF296Fc=")</f>
        <v>#REF!</v>
      </c>
      <c r="CK26" t="e">
        <f>AND(#REF!,"AAAAAF296Fg=")</f>
        <v>#REF!</v>
      </c>
      <c r="CL26" t="e">
        <f>AND(#REF!,"AAAAAF296Fk=")</f>
        <v>#REF!</v>
      </c>
      <c r="CM26" t="e">
        <f>AND(#REF!,"AAAAAF296Fo=")</f>
        <v>#REF!</v>
      </c>
      <c r="CN26" t="e">
        <f>AND(#REF!,"AAAAAF296Fs=")</f>
        <v>#REF!</v>
      </c>
      <c r="CO26" t="e">
        <f>AND(#REF!,"AAAAAF296Fw=")</f>
        <v>#REF!</v>
      </c>
      <c r="CP26" t="e">
        <f>AND(#REF!,"AAAAAF296F0=")</f>
        <v>#REF!</v>
      </c>
      <c r="CQ26" t="e">
        <f>IF(#REF!,"AAAAAF296F4=",0)</f>
        <v>#REF!</v>
      </c>
      <c r="CR26" t="e">
        <f>AND(#REF!,"AAAAAF296F8=")</f>
        <v>#REF!</v>
      </c>
      <c r="CS26" t="e">
        <f>AND(#REF!,"AAAAAF296GA=")</f>
        <v>#REF!</v>
      </c>
      <c r="CT26" t="e">
        <f>AND(#REF!,"AAAAAF296GE=")</f>
        <v>#REF!</v>
      </c>
      <c r="CU26" t="e">
        <f>AND(#REF!,"AAAAAF296GI=")</f>
        <v>#REF!</v>
      </c>
      <c r="CV26" t="e">
        <f>AND(#REF!,"AAAAAF296GM=")</f>
        <v>#REF!</v>
      </c>
      <c r="CW26" t="e">
        <f>AND(#REF!,"AAAAAF296GQ=")</f>
        <v>#REF!</v>
      </c>
      <c r="CX26" t="e">
        <f>AND(#REF!,"AAAAAF296GU=")</f>
        <v>#REF!</v>
      </c>
      <c r="CY26" t="e">
        <f>AND(#REF!,"AAAAAF296GY=")</f>
        <v>#REF!</v>
      </c>
      <c r="CZ26" t="e">
        <f>AND(#REF!,"AAAAAF296Gc=")</f>
        <v>#REF!</v>
      </c>
      <c r="DA26" t="e">
        <f>IF(#REF!,"AAAAAF296Gg=",0)</f>
        <v>#REF!</v>
      </c>
      <c r="DB26" t="e">
        <f>AND(#REF!,"AAAAAF296Gk=")</f>
        <v>#REF!</v>
      </c>
      <c r="DC26" t="e">
        <f>AND(#REF!,"AAAAAF296Go=")</f>
        <v>#REF!</v>
      </c>
      <c r="DD26" t="e">
        <f>AND(#REF!,"AAAAAF296Gs=")</f>
        <v>#REF!</v>
      </c>
      <c r="DE26" t="e">
        <f>AND(#REF!,"AAAAAF296Gw=")</f>
        <v>#REF!</v>
      </c>
      <c r="DF26" t="e">
        <f>AND(#REF!,"AAAAAF296G0=")</f>
        <v>#REF!</v>
      </c>
      <c r="DG26" t="e">
        <f>AND(#REF!,"AAAAAF296G4=")</f>
        <v>#REF!</v>
      </c>
      <c r="DH26" t="e">
        <f>AND(#REF!,"AAAAAF296G8=")</f>
        <v>#REF!</v>
      </c>
      <c r="DI26" t="e">
        <f>AND(#REF!,"AAAAAF296HA=")</f>
        <v>#REF!</v>
      </c>
      <c r="DJ26" t="e">
        <f>AND(#REF!,"AAAAAF296HE=")</f>
        <v>#REF!</v>
      </c>
      <c r="DK26" t="e">
        <f>IF(#REF!,"AAAAAF296HI=",0)</f>
        <v>#REF!</v>
      </c>
      <c r="DL26" t="e">
        <f>AND(#REF!,"AAAAAF296HM=")</f>
        <v>#REF!</v>
      </c>
      <c r="DM26" t="e">
        <f>AND(#REF!,"AAAAAF296HQ=")</f>
        <v>#REF!</v>
      </c>
      <c r="DN26" t="e">
        <f>AND(#REF!,"AAAAAF296HU=")</f>
        <v>#REF!</v>
      </c>
      <c r="DO26" t="e">
        <f>AND(#REF!,"AAAAAF296HY=")</f>
        <v>#REF!</v>
      </c>
      <c r="DP26" t="e">
        <f>AND(#REF!,"AAAAAF296Hc=")</f>
        <v>#REF!</v>
      </c>
      <c r="DQ26" t="e">
        <f>AND(#REF!,"AAAAAF296Hg=")</f>
        <v>#REF!</v>
      </c>
      <c r="DR26" t="e">
        <f>AND(#REF!,"AAAAAF296Hk=")</f>
        <v>#REF!</v>
      </c>
      <c r="DS26" t="e">
        <f>AND(#REF!,"AAAAAF296Ho=")</f>
        <v>#REF!</v>
      </c>
      <c r="DT26" t="e">
        <f>AND(#REF!,"AAAAAF296Hs=")</f>
        <v>#REF!</v>
      </c>
      <c r="DU26" t="e">
        <f>IF(#REF!,"AAAAAF296Hw=",0)</f>
        <v>#REF!</v>
      </c>
      <c r="DV26" t="e">
        <f>AND(#REF!,"AAAAAF296H0=")</f>
        <v>#REF!</v>
      </c>
      <c r="DW26" t="e">
        <f>AND(#REF!,"AAAAAF296H4=")</f>
        <v>#REF!</v>
      </c>
      <c r="DX26" t="e">
        <f>AND(#REF!,"AAAAAF296H8=")</f>
        <v>#REF!</v>
      </c>
      <c r="DY26" t="e">
        <f>AND(#REF!,"AAAAAF296IA=")</f>
        <v>#REF!</v>
      </c>
      <c r="DZ26" t="e">
        <f>AND(#REF!,"AAAAAF296IE=")</f>
        <v>#REF!</v>
      </c>
      <c r="EA26" t="e">
        <f>AND(#REF!,"AAAAAF296II=")</f>
        <v>#REF!</v>
      </c>
      <c r="EB26" t="e">
        <f>AND(#REF!,"AAAAAF296IM=")</f>
        <v>#REF!</v>
      </c>
      <c r="EC26" t="e">
        <f>AND(#REF!,"AAAAAF296IQ=")</f>
        <v>#REF!</v>
      </c>
      <c r="ED26" t="e">
        <f>AND(#REF!,"AAAAAF296IU=")</f>
        <v>#REF!</v>
      </c>
      <c r="EE26" t="e">
        <f>IF(#REF!,"AAAAAF296IY=",0)</f>
        <v>#REF!</v>
      </c>
      <c r="EF26" t="e">
        <f>AND(#REF!,"AAAAAF296Ic=")</f>
        <v>#REF!</v>
      </c>
      <c r="EG26" t="e">
        <f>AND(#REF!,"AAAAAF296Ig=")</f>
        <v>#REF!</v>
      </c>
      <c r="EH26" t="e">
        <f>AND(#REF!,"AAAAAF296Ik=")</f>
        <v>#REF!</v>
      </c>
      <c r="EI26" t="e">
        <f>AND(#REF!,"AAAAAF296Io=")</f>
        <v>#REF!</v>
      </c>
      <c r="EJ26" t="e">
        <f>AND(#REF!,"AAAAAF296Is=")</f>
        <v>#REF!</v>
      </c>
      <c r="EK26" t="e">
        <f>AND(#REF!,"AAAAAF296Iw=")</f>
        <v>#REF!</v>
      </c>
      <c r="EL26" t="e">
        <f>AND(#REF!,"AAAAAF296I0=")</f>
        <v>#REF!</v>
      </c>
      <c r="EM26" t="e">
        <f>AND(#REF!,"AAAAAF296I4=")</f>
        <v>#REF!</v>
      </c>
      <c r="EN26" t="e">
        <f>AND(#REF!,"AAAAAF296I8=")</f>
        <v>#REF!</v>
      </c>
      <c r="EO26" t="e">
        <f>IF(#REF!,"AAAAAF296JA=",0)</f>
        <v>#REF!</v>
      </c>
      <c r="EP26" t="e">
        <f>AND(#REF!,"AAAAAF296JE=")</f>
        <v>#REF!</v>
      </c>
      <c r="EQ26" t="e">
        <f>AND(#REF!,"AAAAAF296JI=")</f>
        <v>#REF!</v>
      </c>
      <c r="ER26" t="e">
        <f>AND(#REF!,"AAAAAF296JM=")</f>
        <v>#REF!</v>
      </c>
      <c r="ES26" t="e">
        <f>AND(#REF!,"AAAAAF296JQ=")</f>
        <v>#REF!</v>
      </c>
      <c r="ET26" t="e">
        <f>AND(#REF!,"AAAAAF296JU=")</f>
        <v>#REF!</v>
      </c>
      <c r="EU26" t="e">
        <f>AND(#REF!,"AAAAAF296JY=")</f>
        <v>#REF!</v>
      </c>
      <c r="EV26" t="e">
        <f>AND(#REF!,"AAAAAF296Jc=")</f>
        <v>#REF!</v>
      </c>
      <c r="EW26" t="e">
        <f>AND(#REF!,"AAAAAF296Jg=")</f>
        <v>#REF!</v>
      </c>
      <c r="EX26" t="e">
        <f>AND(#REF!,"AAAAAF296Jk=")</f>
        <v>#REF!</v>
      </c>
      <c r="EY26" t="e">
        <f>IF(#REF!,"AAAAAF296Jo=",0)</f>
        <v>#REF!</v>
      </c>
      <c r="EZ26" t="e">
        <f>AND(#REF!,"AAAAAF296Js=")</f>
        <v>#REF!</v>
      </c>
      <c r="FA26" t="e">
        <f>AND(#REF!,"AAAAAF296Jw=")</f>
        <v>#REF!</v>
      </c>
      <c r="FB26" t="e">
        <f>AND(#REF!,"AAAAAF296J0=")</f>
        <v>#REF!</v>
      </c>
      <c r="FC26" t="e">
        <f>AND(#REF!,"AAAAAF296J4=")</f>
        <v>#REF!</v>
      </c>
      <c r="FD26" t="e">
        <f>AND(#REF!,"AAAAAF296J8=")</f>
        <v>#REF!</v>
      </c>
      <c r="FE26" t="e">
        <f>AND(#REF!,"AAAAAF296KA=")</f>
        <v>#REF!</v>
      </c>
      <c r="FF26" t="e">
        <f>AND(#REF!,"AAAAAF296KE=")</f>
        <v>#REF!</v>
      </c>
      <c r="FG26" t="e">
        <f>AND(#REF!,"AAAAAF296KI=")</f>
        <v>#REF!</v>
      </c>
      <c r="FH26" t="e">
        <f>AND(#REF!,"AAAAAF296KM=")</f>
        <v>#REF!</v>
      </c>
      <c r="FI26" t="e">
        <f>IF(#REF!,"AAAAAF296KQ=",0)</f>
        <v>#REF!</v>
      </c>
      <c r="FJ26" t="e">
        <f>AND(#REF!,"AAAAAF296KU=")</f>
        <v>#REF!</v>
      </c>
      <c r="FK26" t="e">
        <f>AND(#REF!,"AAAAAF296KY=")</f>
        <v>#REF!</v>
      </c>
      <c r="FL26" t="e">
        <f>AND(#REF!,"AAAAAF296Kc=")</f>
        <v>#REF!</v>
      </c>
      <c r="FM26" t="e">
        <f>AND(#REF!,"AAAAAF296Kg=")</f>
        <v>#REF!</v>
      </c>
      <c r="FN26" t="e">
        <f>AND(#REF!,"AAAAAF296Kk=")</f>
        <v>#REF!</v>
      </c>
      <c r="FO26" t="e">
        <f>AND(#REF!,"AAAAAF296Ko=")</f>
        <v>#REF!</v>
      </c>
      <c r="FP26" t="e">
        <f>AND(#REF!,"AAAAAF296Ks=")</f>
        <v>#REF!</v>
      </c>
      <c r="FQ26" t="e">
        <f>AND(#REF!,"AAAAAF296Kw=")</f>
        <v>#REF!</v>
      </c>
      <c r="FR26" t="e">
        <f>AND(#REF!,"AAAAAF296K0=")</f>
        <v>#REF!</v>
      </c>
      <c r="FS26" t="e">
        <f>IF(#REF!,"AAAAAF296K4=",0)</f>
        <v>#REF!</v>
      </c>
      <c r="FT26" t="e">
        <f>AND(#REF!,"AAAAAF296K8=")</f>
        <v>#REF!</v>
      </c>
      <c r="FU26" t="e">
        <f>AND(#REF!,"AAAAAF296LA=")</f>
        <v>#REF!</v>
      </c>
      <c r="FV26" t="e">
        <f>AND(#REF!,"AAAAAF296LE=")</f>
        <v>#REF!</v>
      </c>
      <c r="FW26" t="e">
        <f>AND(#REF!,"AAAAAF296LI=")</f>
        <v>#REF!</v>
      </c>
      <c r="FX26" t="e">
        <f>AND(#REF!,"AAAAAF296LM=")</f>
        <v>#REF!</v>
      </c>
      <c r="FY26" t="e">
        <f>AND(#REF!,"AAAAAF296LQ=")</f>
        <v>#REF!</v>
      </c>
      <c r="FZ26" t="e">
        <f>AND(#REF!,"AAAAAF296LU=")</f>
        <v>#REF!</v>
      </c>
      <c r="GA26" t="e">
        <f>AND(#REF!,"AAAAAF296LY=")</f>
        <v>#REF!</v>
      </c>
      <c r="GB26" t="e">
        <f>AND(#REF!,"AAAAAF296Lc=")</f>
        <v>#REF!</v>
      </c>
      <c r="GC26" t="e">
        <f>IF(#REF!,"AAAAAF296Lg=",0)</f>
        <v>#REF!</v>
      </c>
      <c r="GD26" t="e">
        <f>AND(#REF!,"AAAAAF296Lk=")</f>
        <v>#REF!</v>
      </c>
      <c r="GE26" t="e">
        <f>AND(#REF!,"AAAAAF296Lo=")</f>
        <v>#REF!</v>
      </c>
      <c r="GF26" t="e">
        <f>AND(#REF!,"AAAAAF296Ls=")</f>
        <v>#REF!</v>
      </c>
      <c r="GG26" t="e">
        <f>AND(#REF!,"AAAAAF296Lw=")</f>
        <v>#REF!</v>
      </c>
      <c r="GH26" t="e">
        <f>AND(#REF!,"AAAAAF296L0=")</f>
        <v>#REF!</v>
      </c>
      <c r="GI26" t="e">
        <f>AND(#REF!,"AAAAAF296L4=")</f>
        <v>#REF!</v>
      </c>
      <c r="GJ26" t="e">
        <f>AND(#REF!,"AAAAAF296L8=")</f>
        <v>#REF!</v>
      </c>
      <c r="GK26" t="e">
        <f>AND(#REF!,"AAAAAF296MA=")</f>
        <v>#REF!</v>
      </c>
      <c r="GL26" t="e">
        <f>AND(#REF!,"AAAAAF296ME=")</f>
        <v>#REF!</v>
      </c>
      <c r="GM26" t="e">
        <f>IF(#REF!,"AAAAAF296MI=",0)</f>
        <v>#REF!</v>
      </c>
      <c r="GN26" t="e">
        <f>AND(#REF!,"AAAAAF296MM=")</f>
        <v>#REF!</v>
      </c>
      <c r="GO26" t="e">
        <f>AND(#REF!,"AAAAAF296MQ=")</f>
        <v>#REF!</v>
      </c>
      <c r="GP26" t="e">
        <f>AND(#REF!,"AAAAAF296MU=")</f>
        <v>#REF!</v>
      </c>
      <c r="GQ26" t="e">
        <f>AND(#REF!,"AAAAAF296MY=")</f>
        <v>#REF!</v>
      </c>
      <c r="GR26" t="e">
        <f>AND(#REF!,"AAAAAF296Mc=")</f>
        <v>#REF!</v>
      </c>
      <c r="GS26" t="e">
        <f>AND(#REF!,"AAAAAF296Mg=")</f>
        <v>#REF!</v>
      </c>
      <c r="GT26" t="e">
        <f>AND(#REF!,"AAAAAF296Mk=")</f>
        <v>#REF!</v>
      </c>
      <c r="GU26" t="e">
        <f>AND(#REF!,"AAAAAF296Mo=")</f>
        <v>#REF!</v>
      </c>
      <c r="GV26" t="e">
        <f>AND(#REF!,"AAAAAF296Ms=")</f>
        <v>#REF!</v>
      </c>
      <c r="GW26" t="e">
        <f>IF(#REF!,"AAAAAF296Mw=",0)</f>
        <v>#REF!</v>
      </c>
      <c r="GX26" t="e">
        <f>AND(#REF!,"AAAAAF296M0=")</f>
        <v>#REF!</v>
      </c>
      <c r="GY26" t="e">
        <f>AND(#REF!,"AAAAAF296M4=")</f>
        <v>#REF!</v>
      </c>
      <c r="GZ26" t="e">
        <f>AND(#REF!,"AAAAAF296M8=")</f>
        <v>#REF!</v>
      </c>
      <c r="HA26" t="e">
        <f>AND(#REF!,"AAAAAF296NA=")</f>
        <v>#REF!</v>
      </c>
      <c r="HB26" t="e">
        <f>AND(#REF!,"AAAAAF296NE=")</f>
        <v>#REF!</v>
      </c>
      <c r="HC26" t="e">
        <f>AND(#REF!,"AAAAAF296NI=")</f>
        <v>#REF!</v>
      </c>
      <c r="HD26" t="e">
        <f>AND(#REF!,"AAAAAF296NM=")</f>
        <v>#REF!</v>
      </c>
      <c r="HE26" t="e">
        <f>AND(#REF!,"AAAAAF296NQ=")</f>
        <v>#REF!</v>
      </c>
      <c r="HF26" t="e">
        <f>AND(#REF!,"AAAAAF296NU=")</f>
        <v>#REF!</v>
      </c>
      <c r="HG26" t="e">
        <f>IF(#REF!,"AAAAAF296NY=",0)</f>
        <v>#REF!</v>
      </c>
      <c r="HH26" t="e">
        <f>AND(#REF!,"AAAAAF296Nc=")</f>
        <v>#REF!</v>
      </c>
      <c r="HI26" t="e">
        <f>AND(#REF!,"AAAAAF296Ng=")</f>
        <v>#REF!</v>
      </c>
      <c r="HJ26" t="e">
        <f>AND(#REF!,"AAAAAF296Nk=")</f>
        <v>#REF!</v>
      </c>
      <c r="HK26" t="e">
        <f>AND(#REF!,"AAAAAF296No=")</f>
        <v>#REF!</v>
      </c>
      <c r="HL26" t="e">
        <f>AND(#REF!,"AAAAAF296Ns=")</f>
        <v>#REF!</v>
      </c>
      <c r="HM26" t="e">
        <f>AND(#REF!,"AAAAAF296Nw=")</f>
        <v>#REF!</v>
      </c>
      <c r="HN26" t="e">
        <f>AND(#REF!,"AAAAAF296N0=")</f>
        <v>#REF!</v>
      </c>
      <c r="HO26" t="e">
        <f>AND(#REF!,"AAAAAF296N4=")</f>
        <v>#REF!</v>
      </c>
      <c r="HP26" t="e">
        <f>AND(#REF!,"AAAAAF296N8=")</f>
        <v>#REF!</v>
      </c>
      <c r="HQ26" t="e">
        <f>IF(#REF!,"AAAAAF296OA=",0)</f>
        <v>#REF!</v>
      </c>
      <c r="HR26" t="e">
        <f>AND(#REF!,"AAAAAF296OE=")</f>
        <v>#REF!</v>
      </c>
      <c r="HS26" t="e">
        <f>AND(#REF!,"AAAAAF296OI=")</f>
        <v>#REF!</v>
      </c>
      <c r="HT26" t="e">
        <f>AND(#REF!,"AAAAAF296OM=")</f>
        <v>#REF!</v>
      </c>
      <c r="HU26" t="e">
        <f>AND(#REF!,"AAAAAF296OQ=")</f>
        <v>#REF!</v>
      </c>
      <c r="HV26" t="e">
        <f>AND(#REF!,"AAAAAF296OU=")</f>
        <v>#REF!</v>
      </c>
      <c r="HW26" t="e">
        <f>AND(#REF!,"AAAAAF296OY=")</f>
        <v>#REF!</v>
      </c>
      <c r="HX26" t="e">
        <f>AND(#REF!,"AAAAAF296Oc=")</f>
        <v>#REF!</v>
      </c>
      <c r="HY26" t="e">
        <f>AND(#REF!,"AAAAAF296Og=")</f>
        <v>#REF!</v>
      </c>
      <c r="HZ26" t="e">
        <f>AND(#REF!,"AAAAAF296Ok=")</f>
        <v>#REF!</v>
      </c>
      <c r="IA26" t="e">
        <f>IF(#REF!,"AAAAAF296Oo=",0)</f>
        <v>#REF!</v>
      </c>
      <c r="IB26" t="e">
        <f>AND(#REF!,"AAAAAF296Os=")</f>
        <v>#REF!</v>
      </c>
      <c r="IC26" t="e">
        <f>AND(#REF!,"AAAAAF296Ow=")</f>
        <v>#REF!</v>
      </c>
      <c r="ID26" t="e">
        <f>AND(#REF!,"AAAAAF296O0=")</f>
        <v>#REF!</v>
      </c>
      <c r="IE26" t="e">
        <f>AND(#REF!,"AAAAAF296O4=")</f>
        <v>#REF!</v>
      </c>
      <c r="IF26" t="e">
        <f>AND(#REF!,"AAAAAF296O8=")</f>
        <v>#REF!</v>
      </c>
      <c r="IG26" t="e">
        <f>AND(#REF!,"AAAAAF296PA=")</f>
        <v>#REF!</v>
      </c>
      <c r="IH26" t="e">
        <f>AND(#REF!,"AAAAAF296PE=")</f>
        <v>#REF!</v>
      </c>
      <c r="II26" t="e">
        <f>AND(#REF!,"AAAAAF296PI=")</f>
        <v>#REF!</v>
      </c>
      <c r="IJ26" t="e">
        <f>AND(#REF!,"AAAAAF296PM=")</f>
        <v>#REF!</v>
      </c>
      <c r="IK26" t="e">
        <f>IF(#REF!,"AAAAAF296PQ=",0)</f>
        <v>#REF!</v>
      </c>
      <c r="IL26" t="e">
        <f>AND(#REF!,"AAAAAF296PU=")</f>
        <v>#REF!</v>
      </c>
      <c r="IM26" t="e">
        <f>AND(#REF!,"AAAAAF296PY=")</f>
        <v>#REF!</v>
      </c>
      <c r="IN26" t="e">
        <f>AND(#REF!,"AAAAAF296Pc=")</f>
        <v>#REF!</v>
      </c>
      <c r="IO26" t="e">
        <f>AND(#REF!,"AAAAAF296Pg=")</f>
        <v>#REF!</v>
      </c>
      <c r="IP26" t="e">
        <f>AND(#REF!,"AAAAAF296Pk=")</f>
        <v>#REF!</v>
      </c>
      <c r="IQ26" t="e">
        <f>AND(#REF!,"AAAAAF296Po=")</f>
        <v>#REF!</v>
      </c>
      <c r="IR26" t="e">
        <f>AND(#REF!,"AAAAAF296Ps=")</f>
        <v>#REF!</v>
      </c>
      <c r="IS26" t="e">
        <f>AND(#REF!,"AAAAAF296Pw=")</f>
        <v>#REF!</v>
      </c>
      <c r="IT26" t="e">
        <f>AND(#REF!,"AAAAAF296P0=")</f>
        <v>#REF!</v>
      </c>
      <c r="IU26" t="e">
        <f>IF(#REF!,"AAAAAF296P4=",0)</f>
        <v>#REF!</v>
      </c>
      <c r="IV26" t="e">
        <f>AND(#REF!,"AAAAAF296P8=")</f>
        <v>#REF!</v>
      </c>
    </row>
    <row r="27" spans="1:256">
      <c r="A27" t="e">
        <f>AND(#REF!,"AAAAAG/L7wA=")</f>
        <v>#REF!</v>
      </c>
      <c r="B27" t="e">
        <f>AND(#REF!,"AAAAAG/L7wE=")</f>
        <v>#REF!</v>
      </c>
      <c r="C27" t="e">
        <f>AND(#REF!,"AAAAAG/L7wI=")</f>
        <v>#REF!</v>
      </c>
      <c r="D27" t="e">
        <f>AND(#REF!,"AAAAAG/L7wM=")</f>
        <v>#REF!</v>
      </c>
      <c r="E27" t="e">
        <f>AND(#REF!,"AAAAAG/L7wQ=")</f>
        <v>#REF!</v>
      </c>
      <c r="F27" t="e">
        <f>AND(#REF!,"AAAAAG/L7wU=")</f>
        <v>#REF!</v>
      </c>
      <c r="G27" t="e">
        <f>AND(#REF!,"AAAAAG/L7wY=")</f>
        <v>#REF!</v>
      </c>
      <c r="H27" t="e">
        <f>AND(#REF!,"AAAAAG/L7wc=")</f>
        <v>#REF!</v>
      </c>
      <c r="I27" t="e">
        <f>IF(#REF!,"AAAAAG/L7wg=",0)</f>
        <v>#REF!</v>
      </c>
      <c r="J27" t="e">
        <f>AND(#REF!,"AAAAAG/L7wk=")</f>
        <v>#REF!</v>
      </c>
      <c r="K27" t="e">
        <f>AND(#REF!,"AAAAAG/L7wo=")</f>
        <v>#REF!</v>
      </c>
      <c r="L27" t="e">
        <f>AND(#REF!,"AAAAAG/L7ws=")</f>
        <v>#REF!</v>
      </c>
      <c r="M27" t="e">
        <f>AND(#REF!,"AAAAAG/L7ww=")</f>
        <v>#REF!</v>
      </c>
      <c r="N27" t="e">
        <f>AND(#REF!,"AAAAAG/L7w0=")</f>
        <v>#REF!</v>
      </c>
      <c r="O27" t="e">
        <f>AND(#REF!,"AAAAAG/L7w4=")</f>
        <v>#REF!</v>
      </c>
      <c r="P27" t="e">
        <f>AND(#REF!,"AAAAAG/L7w8=")</f>
        <v>#REF!</v>
      </c>
      <c r="Q27" t="e">
        <f>AND(#REF!,"AAAAAG/L7xA=")</f>
        <v>#REF!</v>
      </c>
      <c r="R27" t="e">
        <f>AND(#REF!,"AAAAAG/L7xE=")</f>
        <v>#REF!</v>
      </c>
      <c r="S27" t="e">
        <f>IF(#REF!,"AAAAAG/L7xI=",0)</f>
        <v>#REF!</v>
      </c>
      <c r="T27" t="e">
        <f>AND(#REF!,"AAAAAG/L7xM=")</f>
        <v>#REF!</v>
      </c>
      <c r="U27" t="e">
        <f>AND(#REF!,"AAAAAG/L7xQ=")</f>
        <v>#REF!</v>
      </c>
      <c r="V27" t="e">
        <f>AND(#REF!,"AAAAAG/L7xU=")</f>
        <v>#REF!</v>
      </c>
      <c r="W27" t="e">
        <f>AND(#REF!,"AAAAAG/L7xY=")</f>
        <v>#REF!</v>
      </c>
      <c r="X27" t="e">
        <f>AND(#REF!,"AAAAAG/L7xc=")</f>
        <v>#REF!</v>
      </c>
      <c r="Y27" t="e">
        <f>AND(#REF!,"AAAAAG/L7xg=")</f>
        <v>#REF!</v>
      </c>
      <c r="Z27" t="e">
        <f>AND(#REF!,"AAAAAG/L7xk=")</f>
        <v>#REF!</v>
      </c>
      <c r="AA27" t="e">
        <f>AND(#REF!,"AAAAAG/L7xo=")</f>
        <v>#REF!</v>
      </c>
      <c r="AB27" t="e">
        <f>AND(#REF!,"AAAAAG/L7xs=")</f>
        <v>#REF!</v>
      </c>
      <c r="AC27" t="e">
        <f>IF(#REF!,"AAAAAG/L7xw=",0)</f>
        <v>#REF!</v>
      </c>
      <c r="AD27" t="e">
        <f>AND(#REF!,"AAAAAG/L7x0=")</f>
        <v>#REF!</v>
      </c>
      <c r="AE27" t="e">
        <f>AND(#REF!,"AAAAAG/L7x4=")</f>
        <v>#REF!</v>
      </c>
      <c r="AF27" t="e">
        <f>AND(#REF!,"AAAAAG/L7x8=")</f>
        <v>#REF!</v>
      </c>
      <c r="AG27" t="e">
        <f>AND(#REF!,"AAAAAG/L7yA=")</f>
        <v>#REF!</v>
      </c>
      <c r="AH27" t="e">
        <f>AND(#REF!,"AAAAAG/L7yE=")</f>
        <v>#REF!</v>
      </c>
      <c r="AI27" t="e">
        <f>AND(#REF!,"AAAAAG/L7yI=")</f>
        <v>#REF!</v>
      </c>
      <c r="AJ27" t="e">
        <f>AND(#REF!,"AAAAAG/L7yM=")</f>
        <v>#REF!</v>
      </c>
      <c r="AK27" t="e">
        <f>AND(#REF!,"AAAAAG/L7yQ=")</f>
        <v>#REF!</v>
      </c>
      <c r="AL27" t="e">
        <f>AND(#REF!,"AAAAAG/L7yU=")</f>
        <v>#REF!</v>
      </c>
      <c r="AM27" t="e">
        <f>IF(#REF!,"AAAAAG/L7yY=",0)</f>
        <v>#REF!</v>
      </c>
      <c r="AN27" t="e">
        <f>AND(#REF!,"AAAAAG/L7yc=")</f>
        <v>#REF!</v>
      </c>
      <c r="AO27" t="e">
        <f>AND(#REF!,"AAAAAG/L7yg=")</f>
        <v>#REF!</v>
      </c>
      <c r="AP27" t="e">
        <f>AND(#REF!,"AAAAAG/L7yk=")</f>
        <v>#REF!</v>
      </c>
      <c r="AQ27" t="e">
        <f>AND(#REF!,"AAAAAG/L7yo=")</f>
        <v>#REF!</v>
      </c>
      <c r="AR27" t="e">
        <f>AND(#REF!,"AAAAAG/L7ys=")</f>
        <v>#REF!</v>
      </c>
      <c r="AS27" t="e">
        <f>AND(#REF!,"AAAAAG/L7yw=")</f>
        <v>#REF!</v>
      </c>
      <c r="AT27" t="e">
        <f>AND(#REF!,"AAAAAG/L7y0=")</f>
        <v>#REF!</v>
      </c>
      <c r="AU27" t="e">
        <f>AND(#REF!,"AAAAAG/L7y4=")</f>
        <v>#REF!</v>
      </c>
      <c r="AV27" t="e">
        <f>AND(#REF!,"AAAAAG/L7y8=")</f>
        <v>#REF!</v>
      </c>
      <c r="AW27" t="e">
        <f>IF(#REF!,"AAAAAG/L7zA=",0)</f>
        <v>#REF!</v>
      </c>
      <c r="AX27" t="e">
        <f>AND(#REF!,"AAAAAG/L7zE=")</f>
        <v>#REF!</v>
      </c>
      <c r="AY27" t="e">
        <f>AND(#REF!,"AAAAAG/L7zI=")</f>
        <v>#REF!</v>
      </c>
      <c r="AZ27" t="e">
        <f>AND(#REF!,"AAAAAG/L7zM=")</f>
        <v>#REF!</v>
      </c>
      <c r="BA27" t="e">
        <f>AND(#REF!,"AAAAAG/L7zQ=")</f>
        <v>#REF!</v>
      </c>
      <c r="BB27" t="e">
        <f>AND(#REF!,"AAAAAG/L7zU=")</f>
        <v>#REF!</v>
      </c>
      <c r="BC27" t="e">
        <f>AND(#REF!,"AAAAAG/L7zY=")</f>
        <v>#REF!</v>
      </c>
      <c r="BD27" t="e">
        <f>AND(#REF!,"AAAAAG/L7zc=")</f>
        <v>#REF!</v>
      </c>
      <c r="BE27" t="e">
        <f>AND(#REF!,"AAAAAG/L7zg=")</f>
        <v>#REF!</v>
      </c>
      <c r="BF27" t="e">
        <f>AND(#REF!,"AAAAAG/L7zk=")</f>
        <v>#REF!</v>
      </c>
      <c r="BG27" t="e">
        <f>IF(#REF!,"AAAAAG/L7zo=",0)</f>
        <v>#REF!</v>
      </c>
      <c r="BH27" t="e">
        <f>AND(#REF!,"AAAAAG/L7zs=")</f>
        <v>#REF!</v>
      </c>
      <c r="BI27" t="e">
        <f>AND(#REF!,"AAAAAG/L7zw=")</f>
        <v>#REF!</v>
      </c>
      <c r="BJ27" t="e">
        <f>AND(#REF!,"AAAAAG/L7z0=")</f>
        <v>#REF!</v>
      </c>
      <c r="BK27" t="e">
        <f>AND(#REF!,"AAAAAG/L7z4=")</f>
        <v>#REF!</v>
      </c>
      <c r="BL27" t="e">
        <f>AND(#REF!,"AAAAAG/L7z8=")</f>
        <v>#REF!</v>
      </c>
      <c r="BM27" t="e">
        <f>AND(#REF!,"AAAAAG/L70A=")</f>
        <v>#REF!</v>
      </c>
      <c r="BN27" t="e">
        <f>AND(#REF!,"AAAAAG/L70E=")</f>
        <v>#REF!</v>
      </c>
      <c r="BO27" t="e">
        <f>AND(#REF!,"AAAAAG/L70I=")</f>
        <v>#REF!</v>
      </c>
      <c r="BP27" t="e">
        <f>AND(#REF!,"AAAAAG/L70M=")</f>
        <v>#REF!</v>
      </c>
      <c r="BQ27" t="e">
        <f>IF(#REF!,"AAAAAG/L70Q=",0)</f>
        <v>#REF!</v>
      </c>
      <c r="BR27" t="e">
        <f>AND(#REF!,"AAAAAG/L70U=")</f>
        <v>#REF!</v>
      </c>
      <c r="BS27" t="e">
        <f>AND(#REF!,"AAAAAG/L70Y=")</f>
        <v>#REF!</v>
      </c>
      <c r="BT27" t="e">
        <f>AND(#REF!,"AAAAAG/L70c=")</f>
        <v>#REF!</v>
      </c>
      <c r="BU27" t="e">
        <f>AND(#REF!,"AAAAAG/L70g=")</f>
        <v>#REF!</v>
      </c>
      <c r="BV27" t="e">
        <f>AND(#REF!,"AAAAAG/L70k=")</f>
        <v>#REF!</v>
      </c>
      <c r="BW27" t="e">
        <f>AND(#REF!,"AAAAAG/L70o=")</f>
        <v>#REF!</v>
      </c>
      <c r="BX27" t="e">
        <f>AND(#REF!,"AAAAAG/L70s=")</f>
        <v>#REF!</v>
      </c>
      <c r="BY27" t="e">
        <f>AND(#REF!,"AAAAAG/L70w=")</f>
        <v>#REF!</v>
      </c>
      <c r="BZ27" t="e">
        <f>AND(#REF!,"AAAAAG/L700=")</f>
        <v>#REF!</v>
      </c>
      <c r="CA27" t="e">
        <f>IF(#REF!,"AAAAAG/L704=",0)</f>
        <v>#REF!</v>
      </c>
      <c r="CB27" t="e">
        <f>AND(#REF!,"AAAAAG/L708=")</f>
        <v>#REF!</v>
      </c>
      <c r="CC27" t="e">
        <f>AND(#REF!,"AAAAAG/L71A=")</f>
        <v>#REF!</v>
      </c>
      <c r="CD27" t="e">
        <f>AND(#REF!,"AAAAAG/L71E=")</f>
        <v>#REF!</v>
      </c>
      <c r="CE27" t="e">
        <f>AND(#REF!,"AAAAAG/L71I=")</f>
        <v>#REF!</v>
      </c>
      <c r="CF27" t="e">
        <f>AND(#REF!,"AAAAAG/L71M=")</f>
        <v>#REF!</v>
      </c>
      <c r="CG27" t="e">
        <f>AND(#REF!,"AAAAAG/L71Q=")</f>
        <v>#REF!</v>
      </c>
      <c r="CH27" t="e">
        <f>AND(#REF!,"AAAAAG/L71U=")</f>
        <v>#REF!</v>
      </c>
      <c r="CI27" t="e">
        <f>AND(#REF!,"AAAAAG/L71Y=")</f>
        <v>#REF!</v>
      </c>
      <c r="CJ27" t="e">
        <f>AND(#REF!,"AAAAAG/L71c=")</f>
        <v>#REF!</v>
      </c>
      <c r="CK27" t="e">
        <f>IF(#REF!,"AAAAAG/L71g=",0)</f>
        <v>#REF!</v>
      </c>
      <c r="CL27" t="e">
        <f>AND(#REF!,"AAAAAG/L71k=")</f>
        <v>#REF!</v>
      </c>
      <c r="CM27" t="e">
        <f>AND(#REF!,"AAAAAG/L71o=")</f>
        <v>#REF!</v>
      </c>
      <c r="CN27" t="e">
        <f>AND(#REF!,"AAAAAG/L71s=")</f>
        <v>#REF!</v>
      </c>
      <c r="CO27" t="e">
        <f>AND(#REF!,"AAAAAG/L71w=")</f>
        <v>#REF!</v>
      </c>
      <c r="CP27" t="e">
        <f>AND(#REF!,"AAAAAG/L710=")</f>
        <v>#REF!</v>
      </c>
      <c r="CQ27" t="e">
        <f>AND(#REF!,"AAAAAG/L714=")</f>
        <v>#REF!</v>
      </c>
      <c r="CR27" t="e">
        <f>AND(#REF!,"AAAAAG/L718=")</f>
        <v>#REF!</v>
      </c>
      <c r="CS27" t="e">
        <f>AND(#REF!,"AAAAAG/L72A=")</f>
        <v>#REF!</v>
      </c>
      <c r="CT27" t="e">
        <f>AND(#REF!,"AAAAAG/L72E=")</f>
        <v>#REF!</v>
      </c>
      <c r="CU27" t="e">
        <f>IF(#REF!,"AAAAAG/L72I=",0)</f>
        <v>#REF!</v>
      </c>
      <c r="CV27" t="e">
        <f>AND(#REF!,"AAAAAG/L72M=")</f>
        <v>#REF!</v>
      </c>
      <c r="CW27" t="e">
        <f>AND(#REF!,"AAAAAG/L72Q=")</f>
        <v>#REF!</v>
      </c>
      <c r="CX27" t="e">
        <f>AND(#REF!,"AAAAAG/L72U=")</f>
        <v>#REF!</v>
      </c>
      <c r="CY27" t="e">
        <f>AND(#REF!,"AAAAAG/L72Y=")</f>
        <v>#REF!</v>
      </c>
      <c r="CZ27" t="e">
        <f>AND(#REF!,"AAAAAG/L72c=")</f>
        <v>#REF!</v>
      </c>
      <c r="DA27" t="e">
        <f>AND(#REF!,"AAAAAG/L72g=")</f>
        <v>#REF!</v>
      </c>
      <c r="DB27" t="e">
        <f>AND(#REF!,"AAAAAG/L72k=")</f>
        <v>#REF!</v>
      </c>
      <c r="DC27" t="e">
        <f>AND(#REF!,"AAAAAG/L72o=")</f>
        <v>#REF!</v>
      </c>
      <c r="DD27" t="e">
        <f>AND(#REF!,"AAAAAG/L72s=")</f>
        <v>#REF!</v>
      </c>
      <c r="DE27" t="e">
        <f>IF(#REF!,"AAAAAG/L72w=",0)</f>
        <v>#REF!</v>
      </c>
      <c r="DF27" t="e">
        <f>AND(#REF!,"AAAAAG/L720=")</f>
        <v>#REF!</v>
      </c>
      <c r="DG27" t="e">
        <f>AND(#REF!,"AAAAAG/L724=")</f>
        <v>#REF!</v>
      </c>
      <c r="DH27" t="e">
        <f>AND(#REF!,"AAAAAG/L728=")</f>
        <v>#REF!</v>
      </c>
      <c r="DI27" t="e">
        <f>AND(#REF!,"AAAAAG/L73A=")</f>
        <v>#REF!</v>
      </c>
      <c r="DJ27" t="e">
        <f>AND(#REF!,"AAAAAG/L73E=")</f>
        <v>#REF!</v>
      </c>
      <c r="DK27" t="e">
        <f>AND(#REF!,"AAAAAG/L73I=")</f>
        <v>#REF!</v>
      </c>
      <c r="DL27" t="e">
        <f>AND(#REF!,"AAAAAG/L73M=")</f>
        <v>#REF!</v>
      </c>
      <c r="DM27" t="e">
        <f>AND(#REF!,"AAAAAG/L73Q=")</f>
        <v>#REF!</v>
      </c>
      <c r="DN27" t="e">
        <f>AND(#REF!,"AAAAAG/L73U=")</f>
        <v>#REF!</v>
      </c>
      <c r="DO27" t="e">
        <f>IF(#REF!,"AAAAAG/L73Y=",0)</f>
        <v>#REF!</v>
      </c>
      <c r="DP27" t="e">
        <f>AND(#REF!,"AAAAAG/L73c=")</f>
        <v>#REF!</v>
      </c>
      <c r="DQ27" t="e">
        <f>AND(#REF!,"AAAAAG/L73g=")</f>
        <v>#REF!</v>
      </c>
      <c r="DR27" t="e">
        <f>AND(#REF!,"AAAAAG/L73k=")</f>
        <v>#REF!</v>
      </c>
      <c r="DS27" t="e">
        <f>AND(#REF!,"AAAAAG/L73o=")</f>
        <v>#REF!</v>
      </c>
      <c r="DT27" t="e">
        <f>AND(#REF!,"AAAAAG/L73s=")</f>
        <v>#REF!</v>
      </c>
      <c r="DU27" t="e">
        <f>AND(#REF!,"AAAAAG/L73w=")</f>
        <v>#REF!</v>
      </c>
      <c r="DV27" t="e">
        <f>AND(#REF!,"AAAAAG/L730=")</f>
        <v>#REF!</v>
      </c>
      <c r="DW27" t="e">
        <f>AND(#REF!,"AAAAAG/L734=")</f>
        <v>#REF!</v>
      </c>
      <c r="DX27" t="e">
        <f>AND(#REF!,"AAAAAG/L738=")</f>
        <v>#REF!</v>
      </c>
      <c r="DY27" t="e">
        <f>IF(#REF!,"AAAAAG/L74A=",0)</f>
        <v>#REF!</v>
      </c>
      <c r="DZ27" t="e">
        <f>AND(#REF!,"AAAAAG/L74E=")</f>
        <v>#REF!</v>
      </c>
      <c r="EA27" t="e">
        <f>AND(#REF!,"AAAAAG/L74I=")</f>
        <v>#REF!</v>
      </c>
      <c r="EB27" t="e">
        <f>AND(#REF!,"AAAAAG/L74M=")</f>
        <v>#REF!</v>
      </c>
      <c r="EC27" t="e">
        <f>AND(#REF!,"AAAAAG/L74Q=")</f>
        <v>#REF!</v>
      </c>
      <c r="ED27" t="e">
        <f>AND(#REF!,"AAAAAG/L74U=")</f>
        <v>#REF!</v>
      </c>
      <c r="EE27" t="e">
        <f>AND(#REF!,"AAAAAG/L74Y=")</f>
        <v>#REF!</v>
      </c>
      <c r="EF27" t="e">
        <f>AND(#REF!,"AAAAAG/L74c=")</f>
        <v>#REF!</v>
      </c>
      <c r="EG27" t="e">
        <f>AND(#REF!,"AAAAAG/L74g=")</f>
        <v>#REF!</v>
      </c>
      <c r="EH27" t="e">
        <f>AND(#REF!,"AAAAAG/L74k=")</f>
        <v>#REF!</v>
      </c>
      <c r="EI27" t="e">
        <f>IF(#REF!,"AAAAAG/L74o=",0)</f>
        <v>#REF!</v>
      </c>
      <c r="EJ27" t="e">
        <f>AND(#REF!,"AAAAAG/L74s=")</f>
        <v>#REF!</v>
      </c>
      <c r="EK27" t="e">
        <f>AND(#REF!,"AAAAAG/L74w=")</f>
        <v>#REF!</v>
      </c>
      <c r="EL27" t="e">
        <f>AND(#REF!,"AAAAAG/L740=")</f>
        <v>#REF!</v>
      </c>
      <c r="EM27" t="e">
        <f>AND(#REF!,"AAAAAG/L744=")</f>
        <v>#REF!</v>
      </c>
      <c r="EN27" t="e">
        <f>AND(#REF!,"AAAAAG/L748=")</f>
        <v>#REF!</v>
      </c>
      <c r="EO27" t="e">
        <f>AND(#REF!,"AAAAAG/L75A=")</f>
        <v>#REF!</v>
      </c>
      <c r="EP27" t="e">
        <f>AND(#REF!,"AAAAAG/L75E=")</f>
        <v>#REF!</v>
      </c>
      <c r="EQ27" t="e">
        <f>AND(#REF!,"AAAAAG/L75I=")</f>
        <v>#REF!</v>
      </c>
      <c r="ER27" t="e">
        <f>AND(#REF!,"AAAAAG/L75M=")</f>
        <v>#REF!</v>
      </c>
      <c r="ES27" t="e">
        <f>IF(#REF!,"AAAAAG/L75Q=",0)</f>
        <v>#REF!</v>
      </c>
      <c r="ET27" t="e">
        <f>AND(#REF!,"AAAAAG/L75U=")</f>
        <v>#REF!</v>
      </c>
      <c r="EU27" t="e">
        <f>AND(#REF!,"AAAAAG/L75Y=")</f>
        <v>#REF!</v>
      </c>
      <c r="EV27" t="e">
        <f>AND(#REF!,"AAAAAG/L75c=")</f>
        <v>#REF!</v>
      </c>
      <c r="EW27" t="e">
        <f>AND(#REF!,"AAAAAG/L75g=")</f>
        <v>#REF!</v>
      </c>
      <c r="EX27" t="e">
        <f>AND(#REF!,"AAAAAG/L75k=")</f>
        <v>#REF!</v>
      </c>
      <c r="EY27" t="e">
        <f>AND(#REF!,"AAAAAG/L75o=")</f>
        <v>#REF!</v>
      </c>
      <c r="EZ27" t="e">
        <f>AND(#REF!,"AAAAAG/L75s=")</f>
        <v>#REF!</v>
      </c>
      <c r="FA27" t="e">
        <f>AND(#REF!,"AAAAAG/L75w=")</f>
        <v>#REF!</v>
      </c>
      <c r="FB27" t="e">
        <f>AND(#REF!,"AAAAAG/L750=")</f>
        <v>#REF!</v>
      </c>
      <c r="FC27" t="e">
        <f>IF(#REF!,"AAAAAG/L754=",0)</f>
        <v>#REF!</v>
      </c>
      <c r="FD27" t="e">
        <f>AND(#REF!,"AAAAAG/L758=")</f>
        <v>#REF!</v>
      </c>
      <c r="FE27" t="e">
        <f>AND(#REF!,"AAAAAG/L76A=")</f>
        <v>#REF!</v>
      </c>
      <c r="FF27" t="e">
        <f>AND(#REF!,"AAAAAG/L76E=")</f>
        <v>#REF!</v>
      </c>
      <c r="FG27" t="e">
        <f>AND(#REF!,"AAAAAG/L76I=")</f>
        <v>#REF!</v>
      </c>
      <c r="FH27" t="e">
        <f>AND(#REF!,"AAAAAG/L76M=")</f>
        <v>#REF!</v>
      </c>
      <c r="FI27" t="e">
        <f>AND(#REF!,"AAAAAG/L76Q=")</f>
        <v>#REF!</v>
      </c>
      <c r="FJ27" t="e">
        <f>AND(#REF!,"AAAAAG/L76U=")</f>
        <v>#REF!</v>
      </c>
      <c r="FK27" t="e">
        <f>AND(#REF!,"AAAAAG/L76Y=")</f>
        <v>#REF!</v>
      </c>
      <c r="FL27" t="e">
        <f>AND(#REF!,"AAAAAG/L76c=")</f>
        <v>#REF!</v>
      </c>
      <c r="FM27" t="e">
        <f>IF(#REF!,"AAAAAG/L76g=",0)</f>
        <v>#REF!</v>
      </c>
      <c r="FN27" t="e">
        <f>AND(#REF!,"AAAAAG/L76k=")</f>
        <v>#REF!</v>
      </c>
      <c r="FO27" t="e">
        <f>AND(#REF!,"AAAAAG/L76o=")</f>
        <v>#REF!</v>
      </c>
      <c r="FP27" t="e">
        <f>AND(#REF!,"AAAAAG/L76s=")</f>
        <v>#REF!</v>
      </c>
      <c r="FQ27" t="e">
        <f>AND(#REF!,"AAAAAG/L76w=")</f>
        <v>#REF!</v>
      </c>
      <c r="FR27" t="e">
        <f>AND(#REF!,"AAAAAG/L760=")</f>
        <v>#REF!</v>
      </c>
      <c r="FS27" t="e">
        <f>AND(#REF!,"AAAAAG/L764=")</f>
        <v>#REF!</v>
      </c>
      <c r="FT27" t="e">
        <f>AND(#REF!,"AAAAAG/L768=")</f>
        <v>#REF!</v>
      </c>
      <c r="FU27" t="e">
        <f>AND(#REF!,"AAAAAG/L77A=")</f>
        <v>#REF!</v>
      </c>
      <c r="FV27" t="e">
        <f>AND(#REF!,"AAAAAG/L77E=")</f>
        <v>#REF!</v>
      </c>
      <c r="FW27" t="e">
        <f>IF(#REF!,"AAAAAG/L77I=",0)</f>
        <v>#REF!</v>
      </c>
      <c r="FX27" t="e">
        <f>AND(#REF!,"AAAAAG/L77M=")</f>
        <v>#REF!</v>
      </c>
      <c r="FY27" t="e">
        <f>AND(#REF!,"AAAAAG/L77Q=")</f>
        <v>#REF!</v>
      </c>
      <c r="FZ27" t="e">
        <f>AND(#REF!,"AAAAAG/L77U=")</f>
        <v>#REF!</v>
      </c>
      <c r="GA27" t="e">
        <f>AND(#REF!,"AAAAAG/L77Y=")</f>
        <v>#REF!</v>
      </c>
      <c r="GB27" t="e">
        <f>AND(#REF!,"AAAAAG/L77c=")</f>
        <v>#REF!</v>
      </c>
      <c r="GC27" t="e">
        <f>AND(#REF!,"AAAAAG/L77g=")</f>
        <v>#REF!</v>
      </c>
      <c r="GD27" t="e">
        <f>AND(#REF!,"AAAAAG/L77k=")</f>
        <v>#REF!</v>
      </c>
      <c r="GE27" t="e">
        <f>AND(#REF!,"AAAAAG/L77o=")</f>
        <v>#REF!</v>
      </c>
      <c r="GF27" t="e">
        <f>AND(#REF!,"AAAAAG/L77s=")</f>
        <v>#REF!</v>
      </c>
      <c r="GG27" t="e">
        <f>IF(#REF!,"AAAAAG/L77w=",0)</f>
        <v>#REF!</v>
      </c>
      <c r="GH27" t="e">
        <f>AND(#REF!,"AAAAAG/L770=")</f>
        <v>#REF!</v>
      </c>
      <c r="GI27" t="e">
        <f>AND(#REF!,"AAAAAG/L774=")</f>
        <v>#REF!</v>
      </c>
      <c r="GJ27" t="e">
        <f>AND(#REF!,"AAAAAG/L778=")</f>
        <v>#REF!</v>
      </c>
      <c r="GK27" t="e">
        <f>AND(#REF!,"AAAAAG/L78A=")</f>
        <v>#REF!</v>
      </c>
      <c r="GL27" t="e">
        <f>AND(#REF!,"AAAAAG/L78E=")</f>
        <v>#REF!</v>
      </c>
      <c r="GM27" t="e">
        <f>AND(#REF!,"AAAAAG/L78I=")</f>
        <v>#REF!</v>
      </c>
      <c r="GN27" t="e">
        <f>AND(#REF!,"AAAAAG/L78M=")</f>
        <v>#REF!</v>
      </c>
      <c r="GO27" t="e">
        <f>AND(#REF!,"AAAAAG/L78Q=")</f>
        <v>#REF!</v>
      </c>
      <c r="GP27" t="e">
        <f>AND(#REF!,"AAAAAG/L78U=")</f>
        <v>#REF!</v>
      </c>
      <c r="GQ27" t="e">
        <f>IF(#REF!,"AAAAAG/L78Y=",0)</f>
        <v>#REF!</v>
      </c>
      <c r="GR27" t="e">
        <f>AND(#REF!,"AAAAAG/L78c=")</f>
        <v>#REF!</v>
      </c>
      <c r="GS27" t="e">
        <f>AND(#REF!,"AAAAAG/L78g=")</f>
        <v>#REF!</v>
      </c>
      <c r="GT27" t="e">
        <f>AND(#REF!,"AAAAAG/L78k=")</f>
        <v>#REF!</v>
      </c>
      <c r="GU27" t="e">
        <f>AND(#REF!,"AAAAAG/L78o=")</f>
        <v>#REF!</v>
      </c>
      <c r="GV27" t="e">
        <f>AND(#REF!,"AAAAAG/L78s=")</f>
        <v>#REF!</v>
      </c>
      <c r="GW27" t="e">
        <f>AND(#REF!,"AAAAAG/L78w=")</f>
        <v>#REF!</v>
      </c>
      <c r="GX27" t="e">
        <f>AND(#REF!,"AAAAAG/L780=")</f>
        <v>#REF!</v>
      </c>
      <c r="GY27" t="e">
        <f>AND(#REF!,"AAAAAG/L784=")</f>
        <v>#REF!</v>
      </c>
      <c r="GZ27" t="e">
        <f>AND(#REF!,"AAAAAG/L788=")</f>
        <v>#REF!</v>
      </c>
      <c r="HA27" t="e">
        <f>IF(#REF!,"AAAAAG/L79A=",0)</f>
        <v>#REF!</v>
      </c>
      <c r="HB27" t="e">
        <f>AND(#REF!,"AAAAAG/L79E=")</f>
        <v>#REF!</v>
      </c>
      <c r="HC27" t="e">
        <f>AND(#REF!,"AAAAAG/L79I=")</f>
        <v>#REF!</v>
      </c>
      <c r="HD27" t="e">
        <f>AND(#REF!,"AAAAAG/L79M=")</f>
        <v>#REF!</v>
      </c>
      <c r="HE27" t="e">
        <f>AND(#REF!,"AAAAAG/L79Q=")</f>
        <v>#REF!</v>
      </c>
      <c r="HF27" t="e">
        <f>AND(#REF!,"AAAAAG/L79U=")</f>
        <v>#REF!</v>
      </c>
      <c r="HG27" t="e">
        <f>AND(#REF!,"AAAAAG/L79Y=")</f>
        <v>#REF!</v>
      </c>
      <c r="HH27" t="e">
        <f>AND(#REF!,"AAAAAG/L79c=")</f>
        <v>#REF!</v>
      </c>
      <c r="HI27" t="e">
        <f>AND(#REF!,"AAAAAG/L79g=")</f>
        <v>#REF!</v>
      </c>
      <c r="HJ27" t="e">
        <f>AND(#REF!,"AAAAAG/L79k=")</f>
        <v>#REF!</v>
      </c>
      <c r="HK27" t="e">
        <f>IF(#REF!,"AAAAAG/L79o=",0)</f>
        <v>#REF!</v>
      </c>
      <c r="HL27" t="e">
        <f>AND(#REF!,"AAAAAG/L79s=")</f>
        <v>#REF!</v>
      </c>
      <c r="HM27" t="e">
        <f>AND(#REF!,"AAAAAG/L79w=")</f>
        <v>#REF!</v>
      </c>
      <c r="HN27" t="e">
        <f>AND(#REF!,"AAAAAG/L790=")</f>
        <v>#REF!</v>
      </c>
      <c r="HO27" t="e">
        <f>AND(#REF!,"AAAAAG/L794=")</f>
        <v>#REF!</v>
      </c>
      <c r="HP27" t="e">
        <f>AND(#REF!,"AAAAAG/L798=")</f>
        <v>#REF!</v>
      </c>
      <c r="HQ27" t="e">
        <f>AND(#REF!,"AAAAAG/L7+A=")</f>
        <v>#REF!</v>
      </c>
      <c r="HR27" t="e">
        <f>AND(#REF!,"AAAAAG/L7+E=")</f>
        <v>#REF!</v>
      </c>
      <c r="HS27" t="e">
        <f>AND(#REF!,"AAAAAG/L7+I=")</f>
        <v>#REF!</v>
      </c>
      <c r="HT27" t="e">
        <f>AND(#REF!,"AAAAAG/L7+M=")</f>
        <v>#REF!</v>
      </c>
      <c r="HU27" t="e">
        <f>IF(#REF!,"AAAAAG/L7+Q=",0)</f>
        <v>#REF!</v>
      </c>
      <c r="HV27" t="e">
        <f>AND(#REF!,"AAAAAG/L7+U=")</f>
        <v>#REF!</v>
      </c>
      <c r="HW27" t="e">
        <f>AND(#REF!,"AAAAAG/L7+Y=")</f>
        <v>#REF!</v>
      </c>
      <c r="HX27" t="e">
        <f>AND(#REF!,"AAAAAG/L7+c=")</f>
        <v>#REF!</v>
      </c>
      <c r="HY27" t="e">
        <f>AND(#REF!,"AAAAAG/L7+g=")</f>
        <v>#REF!</v>
      </c>
      <c r="HZ27" t="e">
        <f>AND(#REF!,"AAAAAG/L7+k=")</f>
        <v>#REF!</v>
      </c>
      <c r="IA27" t="e">
        <f>AND(#REF!,"AAAAAG/L7+o=")</f>
        <v>#REF!</v>
      </c>
      <c r="IB27" t="e">
        <f>AND(#REF!,"AAAAAG/L7+s=")</f>
        <v>#REF!</v>
      </c>
      <c r="IC27" t="e">
        <f>AND(#REF!,"AAAAAG/L7+w=")</f>
        <v>#REF!</v>
      </c>
      <c r="ID27" t="e">
        <f>AND(#REF!,"AAAAAG/L7+0=")</f>
        <v>#REF!</v>
      </c>
      <c r="IE27" t="e">
        <f>IF(#REF!,"AAAAAG/L7+4=",0)</f>
        <v>#REF!</v>
      </c>
      <c r="IF27" t="e">
        <f>AND(#REF!,"AAAAAG/L7+8=")</f>
        <v>#REF!</v>
      </c>
      <c r="IG27" t="e">
        <f>AND(#REF!,"AAAAAG/L7/A=")</f>
        <v>#REF!</v>
      </c>
      <c r="IH27" t="e">
        <f>AND(#REF!,"AAAAAG/L7/E=")</f>
        <v>#REF!</v>
      </c>
      <c r="II27" t="e">
        <f>AND(#REF!,"AAAAAG/L7/I=")</f>
        <v>#REF!</v>
      </c>
      <c r="IJ27" t="e">
        <f>AND(#REF!,"AAAAAG/L7/M=")</f>
        <v>#REF!</v>
      </c>
      <c r="IK27" t="e">
        <f>AND(#REF!,"AAAAAG/L7/Q=")</f>
        <v>#REF!</v>
      </c>
      <c r="IL27" t="e">
        <f>AND(#REF!,"AAAAAG/L7/U=")</f>
        <v>#REF!</v>
      </c>
      <c r="IM27" t="e">
        <f>AND(#REF!,"AAAAAG/L7/Y=")</f>
        <v>#REF!</v>
      </c>
      <c r="IN27" t="e">
        <f>AND(#REF!,"AAAAAG/L7/c=")</f>
        <v>#REF!</v>
      </c>
      <c r="IO27" t="e">
        <f>IF(#REF!,"AAAAAG/L7/g=",0)</f>
        <v>#REF!</v>
      </c>
      <c r="IP27" t="e">
        <f>AND(#REF!,"AAAAAG/L7/k=")</f>
        <v>#REF!</v>
      </c>
      <c r="IQ27" t="e">
        <f>AND(#REF!,"AAAAAG/L7/o=")</f>
        <v>#REF!</v>
      </c>
      <c r="IR27" t="e">
        <f>AND(#REF!,"AAAAAG/L7/s=")</f>
        <v>#REF!</v>
      </c>
      <c r="IS27" t="e">
        <f>AND(#REF!,"AAAAAG/L7/w=")</f>
        <v>#REF!</v>
      </c>
      <c r="IT27" t="e">
        <f>AND(#REF!,"AAAAAG/L7/0=")</f>
        <v>#REF!</v>
      </c>
      <c r="IU27" t="e">
        <f>AND(#REF!,"AAAAAG/L7/4=")</f>
        <v>#REF!</v>
      </c>
      <c r="IV27" t="e">
        <f>AND(#REF!,"AAAAAG/L7/8=")</f>
        <v>#REF!</v>
      </c>
    </row>
    <row r="28" spans="1:256">
      <c r="A28" t="e">
        <f>AND(#REF!,"AAAAAD331gA=")</f>
        <v>#REF!</v>
      </c>
      <c r="B28" t="e">
        <f>AND(#REF!,"AAAAAD331gE=")</f>
        <v>#REF!</v>
      </c>
      <c r="C28" t="e">
        <f>IF(#REF!,"AAAAAD331gI=",0)</f>
        <v>#REF!</v>
      </c>
      <c r="D28" t="e">
        <f>AND(#REF!,"AAAAAD331gM=")</f>
        <v>#REF!</v>
      </c>
      <c r="E28" t="e">
        <f>AND(#REF!,"AAAAAD331gQ=")</f>
        <v>#REF!</v>
      </c>
      <c r="F28" t="e">
        <f>AND(#REF!,"AAAAAD331gU=")</f>
        <v>#REF!</v>
      </c>
      <c r="G28" t="e">
        <f>AND(#REF!,"AAAAAD331gY=")</f>
        <v>#REF!</v>
      </c>
      <c r="H28" t="e">
        <f>AND(#REF!,"AAAAAD331gc=")</f>
        <v>#REF!</v>
      </c>
      <c r="I28" t="e">
        <f>AND(#REF!,"AAAAAD331gg=")</f>
        <v>#REF!</v>
      </c>
      <c r="J28" t="e">
        <f>AND(#REF!,"AAAAAD331gk=")</f>
        <v>#REF!</v>
      </c>
      <c r="K28" t="e">
        <f>AND(#REF!,"AAAAAD331go=")</f>
        <v>#REF!</v>
      </c>
      <c r="L28" t="e">
        <f>AND(#REF!,"AAAAAD331gs=")</f>
        <v>#REF!</v>
      </c>
      <c r="M28" t="e">
        <f>IF(#REF!,"AAAAAD331gw=",0)</f>
        <v>#REF!</v>
      </c>
      <c r="N28" t="e">
        <f>AND(#REF!,"AAAAAD331g0=")</f>
        <v>#REF!</v>
      </c>
      <c r="O28" t="e">
        <f>AND(#REF!,"AAAAAD331g4=")</f>
        <v>#REF!</v>
      </c>
      <c r="P28" t="e">
        <f>AND(#REF!,"AAAAAD331g8=")</f>
        <v>#REF!</v>
      </c>
      <c r="Q28" t="e">
        <f>AND(#REF!,"AAAAAD331hA=")</f>
        <v>#REF!</v>
      </c>
      <c r="R28" t="e">
        <f>AND(#REF!,"AAAAAD331hE=")</f>
        <v>#REF!</v>
      </c>
      <c r="S28" t="e">
        <f>AND(#REF!,"AAAAAD331hI=")</f>
        <v>#REF!</v>
      </c>
      <c r="T28" t="e">
        <f>AND(#REF!,"AAAAAD331hM=")</f>
        <v>#REF!</v>
      </c>
      <c r="U28" t="e">
        <f>AND(#REF!,"AAAAAD331hQ=")</f>
        <v>#REF!</v>
      </c>
      <c r="V28" t="e">
        <f>AND(#REF!,"AAAAAD331hU=")</f>
        <v>#REF!</v>
      </c>
      <c r="W28" t="e">
        <f>IF(#REF!,"AAAAAD331hY=",0)</f>
        <v>#REF!</v>
      </c>
      <c r="X28" t="e">
        <f>AND(#REF!,"AAAAAD331hc=")</f>
        <v>#REF!</v>
      </c>
      <c r="Y28" t="e">
        <f>AND(#REF!,"AAAAAD331hg=")</f>
        <v>#REF!</v>
      </c>
      <c r="Z28" t="e">
        <f>AND(#REF!,"AAAAAD331hk=")</f>
        <v>#REF!</v>
      </c>
      <c r="AA28" t="e">
        <f>AND(#REF!,"AAAAAD331ho=")</f>
        <v>#REF!</v>
      </c>
      <c r="AB28" t="e">
        <f>AND(#REF!,"AAAAAD331hs=")</f>
        <v>#REF!</v>
      </c>
      <c r="AC28" t="e">
        <f>AND(#REF!,"AAAAAD331hw=")</f>
        <v>#REF!</v>
      </c>
      <c r="AD28" t="e">
        <f>AND(#REF!,"AAAAAD331h0=")</f>
        <v>#REF!</v>
      </c>
      <c r="AE28" t="e">
        <f>AND(#REF!,"AAAAAD331h4=")</f>
        <v>#REF!</v>
      </c>
      <c r="AF28" t="e">
        <f>AND(#REF!,"AAAAAD331h8=")</f>
        <v>#REF!</v>
      </c>
      <c r="AG28" t="e">
        <f>IF(#REF!,"AAAAAD331iA=",0)</f>
        <v>#REF!</v>
      </c>
      <c r="AH28" t="e">
        <f>AND(#REF!,"AAAAAD331iE=")</f>
        <v>#REF!</v>
      </c>
      <c r="AI28" t="e">
        <f>AND(#REF!,"AAAAAD331iI=")</f>
        <v>#REF!</v>
      </c>
      <c r="AJ28" t="e">
        <f>AND(#REF!,"AAAAAD331iM=")</f>
        <v>#REF!</v>
      </c>
      <c r="AK28" t="e">
        <f>AND(#REF!,"AAAAAD331iQ=")</f>
        <v>#REF!</v>
      </c>
      <c r="AL28" t="e">
        <f>AND(#REF!,"AAAAAD331iU=")</f>
        <v>#REF!</v>
      </c>
      <c r="AM28" t="e">
        <f>AND(#REF!,"AAAAAD331iY=")</f>
        <v>#REF!</v>
      </c>
      <c r="AN28" t="e">
        <f>AND(#REF!,"AAAAAD331ic=")</f>
        <v>#REF!</v>
      </c>
      <c r="AO28" t="e">
        <f>AND(#REF!,"AAAAAD331ig=")</f>
        <v>#REF!</v>
      </c>
      <c r="AP28" t="e">
        <f>AND(#REF!,"AAAAAD331ik=")</f>
        <v>#REF!</v>
      </c>
      <c r="AQ28" t="e">
        <f>IF(#REF!,"AAAAAD331io=",0)</f>
        <v>#REF!</v>
      </c>
      <c r="AR28" t="e">
        <f>AND(#REF!,"AAAAAD331is=")</f>
        <v>#REF!</v>
      </c>
      <c r="AS28" t="e">
        <f>AND(#REF!,"AAAAAD331iw=")</f>
        <v>#REF!</v>
      </c>
      <c r="AT28" t="e">
        <f>AND(#REF!,"AAAAAD331i0=")</f>
        <v>#REF!</v>
      </c>
      <c r="AU28" t="e">
        <f>AND(#REF!,"AAAAAD331i4=")</f>
        <v>#REF!</v>
      </c>
      <c r="AV28" t="e">
        <f>AND(#REF!,"AAAAAD331i8=")</f>
        <v>#REF!</v>
      </c>
      <c r="AW28" t="e">
        <f>AND(#REF!,"AAAAAD331jA=")</f>
        <v>#REF!</v>
      </c>
      <c r="AX28" t="e">
        <f>AND(#REF!,"AAAAAD331jE=")</f>
        <v>#REF!</v>
      </c>
      <c r="AY28" t="e">
        <f>AND(#REF!,"AAAAAD331jI=")</f>
        <v>#REF!</v>
      </c>
      <c r="AZ28" t="e">
        <f>AND(#REF!,"AAAAAD331jM=")</f>
        <v>#REF!</v>
      </c>
      <c r="BA28" t="e">
        <f>IF(#REF!,"AAAAAD331jQ=",0)</f>
        <v>#REF!</v>
      </c>
      <c r="BB28" t="e">
        <f>AND(#REF!,"AAAAAD331jU=")</f>
        <v>#REF!</v>
      </c>
      <c r="BC28" t="e">
        <f>AND(#REF!,"AAAAAD331jY=")</f>
        <v>#REF!</v>
      </c>
      <c r="BD28" t="e">
        <f>AND(#REF!,"AAAAAD331jc=")</f>
        <v>#REF!</v>
      </c>
      <c r="BE28" t="e">
        <f>AND(#REF!,"AAAAAD331jg=")</f>
        <v>#REF!</v>
      </c>
      <c r="BF28" t="e">
        <f>AND(#REF!,"AAAAAD331jk=")</f>
        <v>#REF!</v>
      </c>
      <c r="BG28" t="e">
        <f>AND(#REF!,"AAAAAD331jo=")</f>
        <v>#REF!</v>
      </c>
      <c r="BH28" t="e">
        <f>AND(#REF!,"AAAAAD331js=")</f>
        <v>#REF!</v>
      </c>
      <c r="BI28" t="e">
        <f>AND(#REF!,"AAAAAD331jw=")</f>
        <v>#REF!</v>
      </c>
      <c r="BJ28" t="e">
        <f>AND(#REF!,"AAAAAD331j0=")</f>
        <v>#REF!</v>
      </c>
      <c r="BK28" t="e">
        <f>IF(#REF!,"AAAAAD331j4=",0)</f>
        <v>#REF!</v>
      </c>
      <c r="BL28" t="e">
        <f>AND(#REF!,"AAAAAD331j8=")</f>
        <v>#REF!</v>
      </c>
      <c r="BM28" t="e">
        <f>AND(#REF!,"AAAAAD331kA=")</f>
        <v>#REF!</v>
      </c>
      <c r="BN28" t="e">
        <f>AND(#REF!,"AAAAAD331kE=")</f>
        <v>#REF!</v>
      </c>
      <c r="BO28" t="e">
        <f>AND(#REF!,"AAAAAD331kI=")</f>
        <v>#REF!</v>
      </c>
      <c r="BP28" t="e">
        <f>AND(#REF!,"AAAAAD331kM=")</f>
        <v>#REF!</v>
      </c>
      <c r="BQ28" t="e">
        <f>AND(#REF!,"AAAAAD331kQ=")</f>
        <v>#REF!</v>
      </c>
      <c r="BR28" t="e">
        <f>AND(#REF!,"AAAAAD331kU=")</f>
        <v>#REF!</v>
      </c>
      <c r="BS28" t="e">
        <f>AND(#REF!,"AAAAAD331kY=")</f>
        <v>#REF!</v>
      </c>
      <c r="BT28" t="e">
        <f>AND(#REF!,"AAAAAD331kc=")</f>
        <v>#REF!</v>
      </c>
      <c r="BU28" t="e">
        <f>IF(#REF!,"AAAAAD331kg=",0)</f>
        <v>#REF!</v>
      </c>
      <c r="BV28" t="e">
        <f>AND(#REF!,"AAAAAD331kk=")</f>
        <v>#REF!</v>
      </c>
      <c r="BW28" t="e">
        <f>AND(#REF!,"AAAAAD331ko=")</f>
        <v>#REF!</v>
      </c>
      <c r="BX28" t="e">
        <f>AND(#REF!,"AAAAAD331ks=")</f>
        <v>#REF!</v>
      </c>
      <c r="BY28" t="e">
        <f>AND(#REF!,"AAAAAD331kw=")</f>
        <v>#REF!</v>
      </c>
      <c r="BZ28" t="e">
        <f>AND(#REF!,"AAAAAD331k0=")</f>
        <v>#REF!</v>
      </c>
      <c r="CA28" t="e">
        <f>AND(#REF!,"AAAAAD331k4=")</f>
        <v>#REF!</v>
      </c>
      <c r="CB28" t="e">
        <f>AND(#REF!,"AAAAAD331k8=")</f>
        <v>#REF!</v>
      </c>
      <c r="CC28" t="e">
        <f>AND(#REF!,"AAAAAD331lA=")</f>
        <v>#REF!</v>
      </c>
      <c r="CD28" t="e">
        <f>AND(#REF!,"AAAAAD331lE=")</f>
        <v>#REF!</v>
      </c>
      <c r="CE28" t="e">
        <f>IF(#REF!,"AAAAAD331lI=",0)</f>
        <v>#REF!</v>
      </c>
      <c r="CF28" t="e">
        <f>AND(#REF!,"AAAAAD331lM=")</f>
        <v>#REF!</v>
      </c>
      <c r="CG28" t="e">
        <f>AND(#REF!,"AAAAAD331lQ=")</f>
        <v>#REF!</v>
      </c>
      <c r="CH28" t="e">
        <f>AND(#REF!,"AAAAAD331lU=")</f>
        <v>#REF!</v>
      </c>
      <c r="CI28" t="e">
        <f>AND(#REF!,"AAAAAD331lY=")</f>
        <v>#REF!</v>
      </c>
      <c r="CJ28" t="e">
        <f>AND(#REF!,"AAAAAD331lc=")</f>
        <v>#REF!</v>
      </c>
      <c r="CK28" t="e">
        <f>AND(#REF!,"AAAAAD331lg=")</f>
        <v>#REF!</v>
      </c>
      <c r="CL28" t="e">
        <f>AND(#REF!,"AAAAAD331lk=")</f>
        <v>#REF!</v>
      </c>
      <c r="CM28" t="e">
        <f>AND(#REF!,"AAAAAD331lo=")</f>
        <v>#REF!</v>
      </c>
      <c r="CN28" t="e">
        <f>AND(#REF!,"AAAAAD331ls=")</f>
        <v>#REF!</v>
      </c>
      <c r="CO28" t="e">
        <f>IF(#REF!,"AAAAAD331lw=",0)</f>
        <v>#REF!</v>
      </c>
      <c r="CP28" t="e">
        <f>AND(#REF!,"AAAAAD331l0=")</f>
        <v>#REF!</v>
      </c>
      <c r="CQ28" t="e">
        <f>AND(#REF!,"AAAAAD331l4=")</f>
        <v>#REF!</v>
      </c>
      <c r="CR28" t="e">
        <f>AND(#REF!,"AAAAAD331l8=")</f>
        <v>#REF!</v>
      </c>
      <c r="CS28" t="e">
        <f>AND(#REF!,"AAAAAD331mA=")</f>
        <v>#REF!</v>
      </c>
      <c r="CT28" t="e">
        <f>AND(#REF!,"AAAAAD331mE=")</f>
        <v>#REF!</v>
      </c>
      <c r="CU28" t="e">
        <f>AND(#REF!,"AAAAAD331mI=")</f>
        <v>#REF!</v>
      </c>
      <c r="CV28" t="e">
        <f>AND(#REF!,"AAAAAD331mM=")</f>
        <v>#REF!</v>
      </c>
      <c r="CW28" t="e">
        <f>AND(#REF!,"AAAAAD331mQ=")</f>
        <v>#REF!</v>
      </c>
      <c r="CX28" t="e">
        <f>AND(#REF!,"AAAAAD331mU=")</f>
        <v>#REF!</v>
      </c>
      <c r="CY28" t="e">
        <f>IF(#REF!,"AAAAAD331mY=",0)</f>
        <v>#REF!</v>
      </c>
      <c r="CZ28" t="e">
        <f>AND(#REF!,"AAAAAD331mc=")</f>
        <v>#REF!</v>
      </c>
      <c r="DA28" t="e">
        <f>AND(#REF!,"AAAAAD331mg=")</f>
        <v>#REF!</v>
      </c>
      <c r="DB28" t="e">
        <f>AND(#REF!,"AAAAAD331mk=")</f>
        <v>#REF!</v>
      </c>
      <c r="DC28" t="e">
        <f>AND(#REF!,"AAAAAD331mo=")</f>
        <v>#REF!</v>
      </c>
      <c r="DD28" t="e">
        <f>AND(#REF!,"AAAAAD331ms=")</f>
        <v>#REF!</v>
      </c>
      <c r="DE28" t="e">
        <f>AND(#REF!,"AAAAAD331mw=")</f>
        <v>#REF!</v>
      </c>
      <c r="DF28" t="e">
        <f>AND(#REF!,"AAAAAD331m0=")</f>
        <v>#REF!</v>
      </c>
      <c r="DG28" t="e">
        <f>AND(#REF!,"AAAAAD331m4=")</f>
        <v>#REF!</v>
      </c>
      <c r="DH28" t="e">
        <f>AND(#REF!,"AAAAAD331m8=")</f>
        <v>#REF!</v>
      </c>
      <c r="DI28" t="e">
        <f>IF(#REF!,"AAAAAD331nA=",0)</f>
        <v>#REF!</v>
      </c>
      <c r="DJ28" t="e">
        <f>AND(#REF!,"AAAAAD331nE=")</f>
        <v>#REF!</v>
      </c>
      <c r="DK28" t="e">
        <f>AND(#REF!,"AAAAAD331nI=")</f>
        <v>#REF!</v>
      </c>
      <c r="DL28" t="e">
        <f>AND(#REF!,"AAAAAD331nM=")</f>
        <v>#REF!</v>
      </c>
      <c r="DM28" t="e">
        <f>AND(#REF!,"AAAAAD331nQ=")</f>
        <v>#REF!</v>
      </c>
      <c r="DN28" t="e">
        <f>AND(#REF!,"AAAAAD331nU=")</f>
        <v>#REF!</v>
      </c>
      <c r="DO28" t="e">
        <f>AND(#REF!,"AAAAAD331nY=")</f>
        <v>#REF!</v>
      </c>
      <c r="DP28" t="e">
        <f>AND(#REF!,"AAAAAD331nc=")</f>
        <v>#REF!</v>
      </c>
      <c r="DQ28" t="e">
        <f>AND(#REF!,"AAAAAD331ng=")</f>
        <v>#REF!</v>
      </c>
      <c r="DR28" t="e">
        <f>AND(#REF!,"AAAAAD331nk=")</f>
        <v>#REF!</v>
      </c>
      <c r="DS28" t="e">
        <f>IF(#REF!,"AAAAAD331no=",0)</f>
        <v>#REF!</v>
      </c>
      <c r="DT28" t="e">
        <f>AND(#REF!,"AAAAAD331ns=")</f>
        <v>#REF!</v>
      </c>
      <c r="DU28" t="e">
        <f>AND(#REF!,"AAAAAD331nw=")</f>
        <v>#REF!</v>
      </c>
      <c r="DV28" t="e">
        <f>AND(#REF!,"AAAAAD331n0=")</f>
        <v>#REF!</v>
      </c>
      <c r="DW28" t="e">
        <f>AND(#REF!,"AAAAAD331n4=")</f>
        <v>#REF!</v>
      </c>
      <c r="DX28" t="e">
        <f>AND(#REF!,"AAAAAD331n8=")</f>
        <v>#REF!</v>
      </c>
      <c r="DY28" t="e">
        <f>AND(#REF!,"AAAAAD331oA=")</f>
        <v>#REF!</v>
      </c>
      <c r="DZ28" t="e">
        <f>AND(#REF!,"AAAAAD331oE=")</f>
        <v>#REF!</v>
      </c>
      <c r="EA28" t="e">
        <f>AND(#REF!,"AAAAAD331oI=")</f>
        <v>#REF!</v>
      </c>
      <c r="EB28" t="e">
        <f>AND(#REF!,"AAAAAD331oM=")</f>
        <v>#REF!</v>
      </c>
      <c r="EC28" t="e">
        <f>IF(#REF!,"AAAAAD331oQ=",0)</f>
        <v>#REF!</v>
      </c>
      <c r="ED28" t="e">
        <f>AND(#REF!,"AAAAAD331oU=")</f>
        <v>#REF!</v>
      </c>
      <c r="EE28" t="e">
        <f>AND(#REF!,"AAAAAD331oY=")</f>
        <v>#REF!</v>
      </c>
      <c r="EF28" t="e">
        <f>AND(#REF!,"AAAAAD331oc=")</f>
        <v>#REF!</v>
      </c>
      <c r="EG28" t="e">
        <f>AND(#REF!,"AAAAAD331og=")</f>
        <v>#REF!</v>
      </c>
      <c r="EH28" t="e">
        <f>AND(#REF!,"AAAAAD331ok=")</f>
        <v>#REF!</v>
      </c>
      <c r="EI28" t="e">
        <f>AND(#REF!,"AAAAAD331oo=")</f>
        <v>#REF!</v>
      </c>
      <c r="EJ28" t="e">
        <f>AND(#REF!,"AAAAAD331os=")</f>
        <v>#REF!</v>
      </c>
      <c r="EK28" t="e">
        <f>AND(#REF!,"AAAAAD331ow=")</f>
        <v>#REF!</v>
      </c>
      <c r="EL28" t="e">
        <f>AND(#REF!,"AAAAAD331o0=")</f>
        <v>#REF!</v>
      </c>
      <c r="EM28" t="e">
        <f>IF(#REF!,"AAAAAD331o4=",0)</f>
        <v>#REF!</v>
      </c>
      <c r="EN28" t="e">
        <f>AND(#REF!,"AAAAAD331o8=")</f>
        <v>#REF!</v>
      </c>
      <c r="EO28" t="e">
        <f>AND(#REF!,"AAAAAD331pA=")</f>
        <v>#REF!</v>
      </c>
      <c r="EP28" t="e">
        <f>AND(#REF!,"AAAAAD331pE=")</f>
        <v>#REF!</v>
      </c>
      <c r="EQ28" t="e">
        <f>AND(#REF!,"AAAAAD331pI=")</f>
        <v>#REF!</v>
      </c>
      <c r="ER28" t="e">
        <f>AND(#REF!,"AAAAAD331pM=")</f>
        <v>#REF!</v>
      </c>
      <c r="ES28" t="e">
        <f>AND(#REF!,"AAAAAD331pQ=")</f>
        <v>#REF!</v>
      </c>
      <c r="ET28" t="e">
        <f>AND(#REF!,"AAAAAD331pU=")</f>
        <v>#REF!</v>
      </c>
      <c r="EU28" t="e">
        <f>AND(#REF!,"AAAAAD331pY=")</f>
        <v>#REF!</v>
      </c>
      <c r="EV28" t="e">
        <f>AND(#REF!,"AAAAAD331pc=")</f>
        <v>#REF!</v>
      </c>
      <c r="EW28" t="e">
        <f>IF(#REF!,"AAAAAD331pg=",0)</f>
        <v>#REF!</v>
      </c>
      <c r="EX28" t="e">
        <f>AND(#REF!,"AAAAAD331pk=")</f>
        <v>#REF!</v>
      </c>
      <c r="EY28" t="e">
        <f>AND(#REF!,"AAAAAD331po=")</f>
        <v>#REF!</v>
      </c>
      <c r="EZ28" t="e">
        <f>AND(#REF!,"AAAAAD331ps=")</f>
        <v>#REF!</v>
      </c>
      <c r="FA28" t="e">
        <f>AND(#REF!,"AAAAAD331pw=")</f>
        <v>#REF!</v>
      </c>
      <c r="FB28" t="e">
        <f>AND(#REF!,"AAAAAD331p0=")</f>
        <v>#REF!</v>
      </c>
      <c r="FC28" t="e">
        <f>AND(#REF!,"AAAAAD331p4=")</f>
        <v>#REF!</v>
      </c>
      <c r="FD28" t="e">
        <f>AND(#REF!,"AAAAAD331p8=")</f>
        <v>#REF!</v>
      </c>
      <c r="FE28" t="e">
        <f>AND(#REF!,"AAAAAD331qA=")</f>
        <v>#REF!</v>
      </c>
      <c r="FF28" t="e">
        <f>AND(#REF!,"AAAAAD331qE=")</f>
        <v>#REF!</v>
      </c>
      <c r="FG28" t="e">
        <f>IF(#REF!,"AAAAAD331qI=",0)</f>
        <v>#REF!</v>
      </c>
      <c r="FH28" t="e">
        <f>AND(#REF!,"AAAAAD331qM=")</f>
        <v>#REF!</v>
      </c>
      <c r="FI28" t="e">
        <f>AND(#REF!,"AAAAAD331qQ=")</f>
        <v>#REF!</v>
      </c>
      <c r="FJ28" t="e">
        <f>AND(#REF!,"AAAAAD331qU=")</f>
        <v>#REF!</v>
      </c>
      <c r="FK28" t="e">
        <f>AND(#REF!,"AAAAAD331qY=")</f>
        <v>#REF!</v>
      </c>
      <c r="FL28" t="e">
        <f>AND(#REF!,"AAAAAD331qc=")</f>
        <v>#REF!</v>
      </c>
      <c r="FM28" t="e">
        <f>AND(#REF!,"AAAAAD331qg=")</f>
        <v>#REF!</v>
      </c>
      <c r="FN28" t="e">
        <f>AND(#REF!,"AAAAAD331qk=")</f>
        <v>#REF!</v>
      </c>
      <c r="FO28" t="e">
        <f>AND(#REF!,"AAAAAD331qo=")</f>
        <v>#REF!</v>
      </c>
      <c r="FP28" t="e">
        <f>AND(#REF!,"AAAAAD331qs=")</f>
        <v>#REF!</v>
      </c>
      <c r="FQ28" t="e">
        <f>IF(#REF!,"AAAAAD331qw=",0)</f>
        <v>#REF!</v>
      </c>
      <c r="FR28" t="e">
        <f>AND(#REF!,"AAAAAD331q0=")</f>
        <v>#REF!</v>
      </c>
      <c r="FS28" t="e">
        <f>AND(#REF!,"AAAAAD331q4=")</f>
        <v>#REF!</v>
      </c>
      <c r="FT28" t="e">
        <f>AND(#REF!,"AAAAAD331q8=")</f>
        <v>#REF!</v>
      </c>
      <c r="FU28" t="e">
        <f>AND(#REF!,"AAAAAD331rA=")</f>
        <v>#REF!</v>
      </c>
      <c r="FV28" t="e">
        <f>AND(#REF!,"AAAAAD331rE=")</f>
        <v>#REF!</v>
      </c>
      <c r="FW28" t="e">
        <f>AND(#REF!,"AAAAAD331rI=")</f>
        <v>#REF!</v>
      </c>
      <c r="FX28" t="e">
        <f>AND(#REF!,"AAAAAD331rM=")</f>
        <v>#REF!</v>
      </c>
      <c r="FY28" t="e">
        <f>AND(#REF!,"AAAAAD331rQ=")</f>
        <v>#REF!</v>
      </c>
      <c r="FZ28" t="e">
        <f>AND(#REF!,"AAAAAD331rU=")</f>
        <v>#REF!</v>
      </c>
      <c r="GA28" t="e">
        <f>IF(#REF!,"AAAAAD331rY=",0)</f>
        <v>#REF!</v>
      </c>
      <c r="GB28" t="e">
        <f>AND(#REF!,"AAAAAD331rc=")</f>
        <v>#REF!</v>
      </c>
      <c r="GC28" t="e">
        <f>AND(#REF!,"AAAAAD331rg=")</f>
        <v>#REF!</v>
      </c>
      <c r="GD28" t="e">
        <f>AND(#REF!,"AAAAAD331rk=")</f>
        <v>#REF!</v>
      </c>
      <c r="GE28" t="e">
        <f>AND(#REF!,"AAAAAD331ro=")</f>
        <v>#REF!</v>
      </c>
      <c r="GF28" t="e">
        <f>AND(#REF!,"AAAAAD331rs=")</f>
        <v>#REF!</v>
      </c>
      <c r="GG28" t="e">
        <f>AND(#REF!,"AAAAAD331rw=")</f>
        <v>#REF!</v>
      </c>
      <c r="GH28" t="e">
        <f>AND(#REF!,"AAAAAD331r0=")</f>
        <v>#REF!</v>
      </c>
      <c r="GI28" t="e">
        <f>AND(#REF!,"AAAAAD331r4=")</f>
        <v>#REF!</v>
      </c>
      <c r="GJ28" t="e">
        <f>AND(#REF!,"AAAAAD331r8=")</f>
        <v>#REF!</v>
      </c>
      <c r="GK28" t="e">
        <f>IF(#REF!,"AAAAAD331sA=",0)</f>
        <v>#REF!</v>
      </c>
      <c r="GL28" t="e">
        <f>AND(#REF!,"AAAAAD331sE=")</f>
        <v>#REF!</v>
      </c>
      <c r="GM28" t="e">
        <f>AND(#REF!,"AAAAAD331sI=")</f>
        <v>#REF!</v>
      </c>
      <c r="GN28" t="e">
        <f>AND(#REF!,"AAAAAD331sM=")</f>
        <v>#REF!</v>
      </c>
      <c r="GO28" t="e">
        <f>AND(#REF!,"AAAAAD331sQ=")</f>
        <v>#REF!</v>
      </c>
      <c r="GP28" t="e">
        <f>AND(#REF!,"AAAAAD331sU=")</f>
        <v>#REF!</v>
      </c>
      <c r="GQ28" t="e">
        <f>AND(#REF!,"AAAAAD331sY=")</f>
        <v>#REF!</v>
      </c>
      <c r="GR28" t="e">
        <f>AND(#REF!,"AAAAAD331sc=")</f>
        <v>#REF!</v>
      </c>
      <c r="GS28" t="e">
        <f>AND(#REF!,"AAAAAD331sg=")</f>
        <v>#REF!</v>
      </c>
      <c r="GT28" t="e">
        <f>AND(#REF!,"AAAAAD331sk=")</f>
        <v>#REF!</v>
      </c>
      <c r="GU28" t="e">
        <f>IF(#REF!,"AAAAAD331so=",0)</f>
        <v>#REF!</v>
      </c>
      <c r="GV28" t="e">
        <f>AND(#REF!,"AAAAAD331ss=")</f>
        <v>#REF!</v>
      </c>
      <c r="GW28" t="e">
        <f>AND(#REF!,"AAAAAD331sw=")</f>
        <v>#REF!</v>
      </c>
      <c r="GX28" t="e">
        <f>AND(#REF!,"AAAAAD331s0=")</f>
        <v>#REF!</v>
      </c>
      <c r="GY28" t="e">
        <f>AND(#REF!,"AAAAAD331s4=")</f>
        <v>#REF!</v>
      </c>
      <c r="GZ28" t="e">
        <f>AND(#REF!,"AAAAAD331s8=")</f>
        <v>#REF!</v>
      </c>
      <c r="HA28" t="e">
        <f>AND(#REF!,"AAAAAD331tA=")</f>
        <v>#REF!</v>
      </c>
      <c r="HB28" t="e">
        <f>AND(#REF!,"AAAAAD331tE=")</f>
        <v>#REF!</v>
      </c>
      <c r="HC28" t="e">
        <f>AND(#REF!,"AAAAAD331tI=")</f>
        <v>#REF!</v>
      </c>
      <c r="HD28" t="e">
        <f>AND(#REF!,"AAAAAD331tM=")</f>
        <v>#REF!</v>
      </c>
      <c r="HE28" t="e">
        <f>IF(#REF!,"AAAAAD331tQ=",0)</f>
        <v>#REF!</v>
      </c>
      <c r="HF28" t="e">
        <f>AND(#REF!,"AAAAAD331tU=")</f>
        <v>#REF!</v>
      </c>
      <c r="HG28" t="e">
        <f>AND(#REF!,"AAAAAD331tY=")</f>
        <v>#REF!</v>
      </c>
      <c r="HH28" t="e">
        <f>AND(#REF!,"AAAAAD331tc=")</f>
        <v>#REF!</v>
      </c>
      <c r="HI28" t="e">
        <f>AND(#REF!,"AAAAAD331tg=")</f>
        <v>#REF!</v>
      </c>
      <c r="HJ28" t="e">
        <f>AND(#REF!,"AAAAAD331tk=")</f>
        <v>#REF!</v>
      </c>
      <c r="HK28" t="e">
        <f>AND(#REF!,"AAAAAD331to=")</f>
        <v>#REF!</v>
      </c>
      <c r="HL28" t="e">
        <f>AND(#REF!,"AAAAAD331ts=")</f>
        <v>#REF!</v>
      </c>
      <c r="HM28" t="e">
        <f>AND(#REF!,"AAAAAD331tw=")</f>
        <v>#REF!</v>
      </c>
      <c r="HN28" t="e">
        <f>AND(#REF!,"AAAAAD331t0=")</f>
        <v>#REF!</v>
      </c>
      <c r="HO28" t="e">
        <f>IF(#REF!,"AAAAAD331t4=",0)</f>
        <v>#REF!</v>
      </c>
      <c r="HP28" t="e">
        <f>AND(#REF!,"AAAAAD331t8=")</f>
        <v>#REF!</v>
      </c>
      <c r="HQ28" t="e">
        <f>AND(#REF!,"AAAAAD331uA=")</f>
        <v>#REF!</v>
      </c>
      <c r="HR28" t="e">
        <f>AND(#REF!,"AAAAAD331uE=")</f>
        <v>#REF!</v>
      </c>
      <c r="HS28" t="e">
        <f>AND(#REF!,"AAAAAD331uI=")</f>
        <v>#REF!</v>
      </c>
      <c r="HT28" t="e">
        <f>AND(#REF!,"AAAAAD331uM=")</f>
        <v>#REF!</v>
      </c>
      <c r="HU28" t="e">
        <f>AND(#REF!,"AAAAAD331uQ=")</f>
        <v>#REF!</v>
      </c>
      <c r="HV28" t="e">
        <f>AND(#REF!,"AAAAAD331uU=")</f>
        <v>#REF!</v>
      </c>
      <c r="HW28" t="e">
        <f>AND(#REF!,"AAAAAD331uY=")</f>
        <v>#REF!</v>
      </c>
      <c r="HX28" t="e">
        <f>AND(#REF!,"AAAAAD331uc=")</f>
        <v>#REF!</v>
      </c>
      <c r="HY28" t="e">
        <f>IF(#REF!,"AAAAAD331ug=",0)</f>
        <v>#REF!</v>
      </c>
      <c r="HZ28" t="e">
        <f>AND(#REF!,"AAAAAD331uk=")</f>
        <v>#REF!</v>
      </c>
      <c r="IA28" t="e">
        <f>AND(#REF!,"AAAAAD331uo=")</f>
        <v>#REF!</v>
      </c>
      <c r="IB28" t="e">
        <f>AND(#REF!,"AAAAAD331us=")</f>
        <v>#REF!</v>
      </c>
      <c r="IC28" t="e">
        <f>AND(#REF!,"AAAAAD331uw=")</f>
        <v>#REF!</v>
      </c>
      <c r="ID28" t="e">
        <f>AND(#REF!,"AAAAAD331u0=")</f>
        <v>#REF!</v>
      </c>
      <c r="IE28" t="e">
        <f>AND(#REF!,"AAAAAD331u4=")</f>
        <v>#REF!</v>
      </c>
      <c r="IF28" t="e">
        <f>AND(#REF!,"AAAAAD331u8=")</f>
        <v>#REF!</v>
      </c>
      <c r="IG28" t="e">
        <f>AND(#REF!,"AAAAAD331vA=")</f>
        <v>#REF!</v>
      </c>
      <c r="IH28" t="e">
        <f>AND(#REF!,"AAAAAD331vE=")</f>
        <v>#REF!</v>
      </c>
      <c r="II28" t="e">
        <f>IF(#REF!,"AAAAAD331vI=",0)</f>
        <v>#REF!</v>
      </c>
      <c r="IJ28" t="e">
        <f>AND(#REF!,"AAAAAD331vM=")</f>
        <v>#REF!</v>
      </c>
      <c r="IK28" t="e">
        <f>AND(#REF!,"AAAAAD331vQ=")</f>
        <v>#REF!</v>
      </c>
      <c r="IL28" t="e">
        <f>AND(#REF!,"AAAAAD331vU=")</f>
        <v>#REF!</v>
      </c>
      <c r="IM28" t="e">
        <f>AND(#REF!,"AAAAAD331vY=")</f>
        <v>#REF!</v>
      </c>
      <c r="IN28" t="e">
        <f>AND(#REF!,"AAAAAD331vc=")</f>
        <v>#REF!</v>
      </c>
      <c r="IO28" t="e">
        <f>AND(#REF!,"AAAAAD331vg=")</f>
        <v>#REF!</v>
      </c>
      <c r="IP28" t="e">
        <f>AND(#REF!,"AAAAAD331vk=")</f>
        <v>#REF!</v>
      </c>
      <c r="IQ28" t="e">
        <f>AND(#REF!,"AAAAAD331vo=")</f>
        <v>#REF!</v>
      </c>
      <c r="IR28" t="e">
        <f>AND(#REF!,"AAAAAD331vs=")</f>
        <v>#REF!</v>
      </c>
      <c r="IS28" t="e">
        <f>IF(#REF!,"AAAAAD331vw=",0)</f>
        <v>#REF!</v>
      </c>
      <c r="IT28" t="e">
        <f>AND(#REF!,"AAAAAD331v0=")</f>
        <v>#REF!</v>
      </c>
      <c r="IU28" t="e">
        <f>AND(#REF!,"AAAAAD331v4=")</f>
        <v>#REF!</v>
      </c>
      <c r="IV28" t="e">
        <f>AND(#REF!,"AAAAAD331v8=")</f>
        <v>#REF!</v>
      </c>
    </row>
    <row r="29" spans="1:256">
      <c r="A29" t="e">
        <f>AND(#REF!,"AAAAAG7fzwA=")</f>
        <v>#REF!</v>
      </c>
      <c r="B29" t="e">
        <f>AND(#REF!,"AAAAAG7fzwE=")</f>
        <v>#REF!</v>
      </c>
      <c r="C29" t="e">
        <f>AND(#REF!,"AAAAAG7fzwI=")</f>
        <v>#REF!</v>
      </c>
      <c r="D29" t="e">
        <f>AND(#REF!,"AAAAAG7fzwM=")</f>
        <v>#REF!</v>
      </c>
      <c r="E29" t="e">
        <f>AND(#REF!,"AAAAAG7fzwQ=")</f>
        <v>#REF!</v>
      </c>
      <c r="F29" t="e">
        <f>AND(#REF!,"AAAAAG7fzwU=")</f>
        <v>#REF!</v>
      </c>
      <c r="G29" t="e">
        <f>IF(#REF!,"AAAAAG7fzwY=",0)</f>
        <v>#REF!</v>
      </c>
      <c r="H29" t="e">
        <f>AND(#REF!,"AAAAAG7fzwc=")</f>
        <v>#REF!</v>
      </c>
      <c r="I29" t="e">
        <f>AND(#REF!,"AAAAAG7fzwg=")</f>
        <v>#REF!</v>
      </c>
      <c r="J29" t="e">
        <f>AND(#REF!,"AAAAAG7fzwk=")</f>
        <v>#REF!</v>
      </c>
      <c r="K29" t="e">
        <f>AND(#REF!,"AAAAAG7fzwo=")</f>
        <v>#REF!</v>
      </c>
      <c r="L29" t="e">
        <f>AND(#REF!,"AAAAAG7fzws=")</f>
        <v>#REF!</v>
      </c>
      <c r="M29" t="e">
        <f>AND(#REF!,"AAAAAG7fzww=")</f>
        <v>#REF!</v>
      </c>
      <c r="N29" t="e">
        <f>AND(#REF!,"AAAAAG7fzw0=")</f>
        <v>#REF!</v>
      </c>
      <c r="O29" t="e">
        <f>AND(#REF!,"AAAAAG7fzw4=")</f>
        <v>#REF!</v>
      </c>
      <c r="P29" t="e">
        <f>AND(#REF!,"AAAAAG7fzw8=")</f>
        <v>#REF!</v>
      </c>
      <c r="Q29" t="e">
        <f>IF(#REF!,"AAAAAG7fzxA=",0)</f>
        <v>#REF!</v>
      </c>
      <c r="R29" t="e">
        <f>AND(#REF!,"AAAAAG7fzxE=")</f>
        <v>#REF!</v>
      </c>
      <c r="S29" t="e">
        <f>AND(#REF!,"AAAAAG7fzxI=")</f>
        <v>#REF!</v>
      </c>
      <c r="T29" t="e">
        <f>AND(#REF!,"AAAAAG7fzxM=")</f>
        <v>#REF!</v>
      </c>
      <c r="U29" t="e">
        <f>AND(#REF!,"AAAAAG7fzxQ=")</f>
        <v>#REF!</v>
      </c>
      <c r="V29" t="e">
        <f>AND(#REF!,"AAAAAG7fzxU=")</f>
        <v>#REF!</v>
      </c>
      <c r="W29" t="e">
        <f>AND(#REF!,"AAAAAG7fzxY=")</f>
        <v>#REF!</v>
      </c>
      <c r="X29" t="e">
        <f>AND(#REF!,"AAAAAG7fzxc=")</f>
        <v>#REF!</v>
      </c>
      <c r="Y29" t="e">
        <f>AND(#REF!,"AAAAAG7fzxg=")</f>
        <v>#REF!</v>
      </c>
      <c r="Z29" t="e">
        <f>AND(#REF!,"AAAAAG7fzxk=")</f>
        <v>#REF!</v>
      </c>
      <c r="AA29" t="e">
        <f>IF(#REF!,"AAAAAG7fzxo=",0)</f>
        <v>#REF!</v>
      </c>
      <c r="AB29" t="e">
        <f>AND(#REF!,"AAAAAG7fzxs=")</f>
        <v>#REF!</v>
      </c>
      <c r="AC29" t="e">
        <f>AND(#REF!,"AAAAAG7fzxw=")</f>
        <v>#REF!</v>
      </c>
      <c r="AD29" t="e">
        <f>AND(#REF!,"AAAAAG7fzx0=")</f>
        <v>#REF!</v>
      </c>
      <c r="AE29" t="e">
        <f>AND(#REF!,"AAAAAG7fzx4=")</f>
        <v>#REF!</v>
      </c>
      <c r="AF29" t="e">
        <f>AND(#REF!,"AAAAAG7fzx8=")</f>
        <v>#REF!</v>
      </c>
      <c r="AG29" t="e">
        <f>AND(#REF!,"AAAAAG7fzyA=")</f>
        <v>#REF!</v>
      </c>
      <c r="AH29" t="e">
        <f>AND(#REF!,"AAAAAG7fzyE=")</f>
        <v>#REF!</v>
      </c>
      <c r="AI29" t="e">
        <f>AND(#REF!,"AAAAAG7fzyI=")</f>
        <v>#REF!</v>
      </c>
      <c r="AJ29" t="e">
        <f>AND(#REF!,"AAAAAG7fzyM=")</f>
        <v>#REF!</v>
      </c>
      <c r="AK29" t="e">
        <f>IF(#REF!,"AAAAAG7fzyQ=",0)</f>
        <v>#REF!</v>
      </c>
      <c r="AL29" t="e">
        <f>AND(#REF!,"AAAAAG7fzyU=")</f>
        <v>#REF!</v>
      </c>
      <c r="AM29" t="e">
        <f>AND(#REF!,"AAAAAG7fzyY=")</f>
        <v>#REF!</v>
      </c>
      <c r="AN29" t="e">
        <f>AND(#REF!,"AAAAAG7fzyc=")</f>
        <v>#REF!</v>
      </c>
      <c r="AO29" t="e">
        <f>AND(#REF!,"AAAAAG7fzyg=")</f>
        <v>#REF!</v>
      </c>
      <c r="AP29" t="e">
        <f>AND(#REF!,"AAAAAG7fzyk=")</f>
        <v>#REF!</v>
      </c>
      <c r="AQ29" t="e">
        <f>AND(#REF!,"AAAAAG7fzyo=")</f>
        <v>#REF!</v>
      </c>
      <c r="AR29" t="e">
        <f>AND(#REF!,"AAAAAG7fzys=")</f>
        <v>#REF!</v>
      </c>
      <c r="AS29" t="e">
        <f>AND(#REF!,"AAAAAG7fzyw=")</f>
        <v>#REF!</v>
      </c>
      <c r="AT29" t="e">
        <f>AND(#REF!,"AAAAAG7fzy0=")</f>
        <v>#REF!</v>
      </c>
      <c r="AU29" t="e">
        <f>IF(#REF!,"AAAAAG7fzy4=",0)</f>
        <v>#REF!</v>
      </c>
      <c r="AV29" t="e">
        <f>AND(#REF!,"AAAAAG7fzy8=")</f>
        <v>#REF!</v>
      </c>
      <c r="AW29" t="e">
        <f>AND(#REF!,"AAAAAG7fzzA=")</f>
        <v>#REF!</v>
      </c>
      <c r="AX29" t="e">
        <f>AND(#REF!,"AAAAAG7fzzE=")</f>
        <v>#REF!</v>
      </c>
      <c r="AY29" t="e">
        <f>AND(#REF!,"AAAAAG7fzzI=")</f>
        <v>#REF!</v>
      </c>
      <c r="AZ29" t="e">
        <f>AND(#REF!,"AAAAAG7fzzM=")</f>
        <v>#REF!</v>
      </c>
      <c r="BA29" t="e">
        <f>AND(#REF!,"AAAAAG7fzzQ=")</f>
        <v>#REF!</v>
      </c>
      <c r="BB29" t="e">
        <f>AND(#REF!,"AAAAAG7fzzU=")</f>
        <v>#REF!</v>
      </c>
      <c r="BC29" t="e">
        <f>AND(#REF!,"AAAAAG7fzzY=")</f>
        <v>#REF!</v>
      </c>
      <c r="BD29" t="e">
        <f>AND(#REF!,"AAAAAG7fzzc=")</f>
        <v>#REF!</v>
      </c>
      <c r="BE29" t="e">
        <f>IF(#REF!,"AAAAAG7fzzg=",0)</f>
        <v>#REF!</v>
      </c>
      <c r="BF29" t="e">
        <f>AND(#REF!,"AAAAAG7fzzk=")</f>
        <v>#REF!</v>
      </c>
      <c r="BG29" t="e">
        <f>AND(#REF!,"AAAAAG7fzzo=")</f>
        <v>#REF!</v>
      </c>
      <c r="BH29" t="e">
        <f>AND(#REF!,"AAAAAG7fzzs=")</f>
        <v>#REF!</v>
      </c>
      <c r="BI29" t="e">
        <f>AND(#REF!,"AAAAAG7fzzw=")</f>
        <v>#REF!</v>
      </c>
      <c r="BJ29" t="e">
        <f>AND(#REF!,"AAAAAG7fzz0=")</f>
        <v>#REF!</v>
      </c>
      <c r="BK29" t="e">
        <f>AND(#REF!,"AAAAAG7fzz4=")</f>
        <v>#REF!</v>
      </c>
      <c r="BL29" t="e">
        <f>AND(#REF!,"AAAAAG7fzz8=")</f>
        <v>#REF!</v>
      </c>
      <c r="BM29" t="e">
        <f>AND(#REF!,"AAAAAG7fz0A=")</f>
        <v>#REF!</v>
      </c>
      <c r="BN29" t="e">
        <f>AND(#REF!,"AAAAAG7fz0E=")</f>
        <v>#REF!</v>
      </c>
      <c r="BO29" t="e">
        <f>IF(#REF!,"AAAAAG7fz0I=",0)</f>
        <v>#REF!</v>
      </c>
      <c r="BP29" t="e">
        <f>AND(#REF!,"AAAAAG7fz0M=")</f>
        <v>#REF!</v>
      </c>
      <c r="BQ29" t="e">
        <f>AND(#REF!,"AAAAAG7fz0Q=")</f>
        <v>#REF!</v>
      </c>
      <c r="BR29" t="e">
        <f>AND(#REF!,"AAAAAG7fz0U=")</f>
        <v>#REF!</v>
      </c>
      <c r="BS29" t="e">
        <f>AND(#REF!,"AAAAAG7fz0Y=")</f>
        <v>#REF!</v>
      </c>
      <c r="BT29" t="e">
        <f>AND(#REF!,"AAAAAG7fz0c=")</f>
        <v>#REF!</v>
      </c>
      <c r="BU29" t="e">
        <f>AND(#REF!,"AAAAAG7fz0g=")</f>
        <v>#REF!</v>
      </c>
      <c r="BV29" t="e">
        <f>AND(#REF!,"AAAAAG7fz0k=")</f>
        <v>#REF!</v>
      </c>
      <c r="BW29" t="e">
        <f>AND(#REF!,"AAAAAG7fz0o=")</f>
        <v>#REF!</v>
      </c>
      <c r="BX29" t="e">
        <f>AND(#REF!,"AAAAAG7fz0s=")</f>
        <v>#REF!</v>
      </c>
      <c r="BY29" t="e">
        <f>IF(#REF!,"AAAAAG7fz0w=",0)</f>
        <v>#REF!</v>
      </c>
      <c r="BZ29" t="e">
        <f>AND(#REF!,"AAAAAG7fz00=")</f>
        <v>#REF!</v>
      </c>
      <c r="CA29" t="e">
        <f>AND(#REF!,"AAAAAG7fz04=")</f>
        <v>#REF!</v>
      </c>
      <c r="CB29" t="e">
        <f>AND(#REF!,"AAAAAG7fz08=")</f>
        <v>#REF!</v>
      </c>
      <c r="CC29" t="e">
        <f>AND(#REF!,"AAAAAG7fz1A=")</f>
        <v>#REF!</v>
      </c>
      <c r="CD29" t="e">
        <f>AND(#REF!,"AAAAAG7fz1E=")</f>
        <v>#REF!</v>
      </c>
      <c r="CE29" t="e">
        <f>AND(#REF!,"AAAAAG7fz1I=")</f>
        <v>#REF!</v>
      </c>
      <c r="CF29" t="e">
        <f>AND(#REF!,"AAAAAG7fz1M=")</f>
        <v>#REF!</v>
      </c>
      <c r="CG29" t="e">
        <f>AND(#REF!,"AAAAAG7fz1Q=")</f>
        <v>#REF!</v>
      </c>
      <c r="CH29" t="e">
        <f>AND(#REF!,"AAAAAG7fz1U=")</f>
        <v>#REF!</v>
      </c>
      <c r="CI29" t="e">
        <f>IF(#REF!,"AAAAAG7fz1Y=",0)</f>
        <v>#REF!</v>
      </c>
      <c r="CJ29" t="e">
        <f>AND(#REF!,"AAAAAG7fz1c=")</f>
        <v>#REF!</v>
      </c>
      <c r="CK29" t="e">
        <f>AND(#REF!,"AAAAAG7fz1g=")</f>
        <v>#REF!</v>
      </c>
      <c r="CL29" t="e">
        <f>AND(#REF!,"AAAAAG7fz1k=")</f>
        <v>#REF!</v>
      </c>
      <c r="CM29" t="e">
        <f>AND(#REF!,"AAAAAG7fz1o=")</f>
        <v>#REF!</v>
      </c>
      <c r="CN29" t="e">
        <f>AND(#REF!,"AAAAAG7fz1s=")</f>
        <v>#REF!</v>
      </c>
      <c r="CO29" t="e">
        <f>AND(#REF!,"AAAAAG7fz1w=")</f>
        <v>#REF!</v>
      </c>
      <c r="CP29" t="e">
        <f>AND(#REF!,"AAAAAG7fz10=")</f>
        <v>#REF!</v>
      </c>
      <c r="CQ29" t="e">
        <f>AND(#REF!,"AAAAAG7fz14=")</f>
        <v>#REF!</v>
      </c>
      <c r="CR29" t="e">
        <f>AND(#REF!,"AAAAAG7fz18=")</f>
        <v>#REF!</v>
      </c>
      <c r="CS29" t="e">
        <f>IF(#REF!,"AAAAAG7fz2A=",0)</f>
        <v>#REF!</v>
      </c>
      <c r="CT29" t="e">
        <f>AND(#REF!,"AAAAAG7fz2E=")</f>
        <v>#REF!</v>
      </c>
      <c r="CU29" t="e">
        <f>AND(#REF!,"AAAAAG7fz2I=")</f>
        <v>#REF!</v>
      </c>
      <c r="CV29" t="e">
        <f>AND(#REF!,"AAAAAG7fz2M=")</f>
        <v>#REF!</v>
      </c>
      <c r="CW29" t="e">
        <f>AND(#REF!,"AAAAAG7fz2Q=")</f>
        <v>#REF!</v>
      </c>
      <c r="CX29" t="e">
        <f>AND(#REF!,"AAAAAG7fz2U=")</f>
        <v>#REF!</v>
      </c>
      <c r="CY29" t="e">
        <f>AND(#REF!,"AAAAAG7fz2Y=")</f>
        <v>#REF!</v>
      </c>
      <c r="CZ29" t="e">
        <f>AND(#REF!,"AAAAAG7fz2c=")</f>
        <v>#REF!</v>
      </c>
      <c r="DA29" t="e">
        <f>AND(#REF!,"AAAAAG7fz2g=")</f>
        <v>#REF!</v>
      </c>
      <c r="DB29" t="e">
        <f>AND(#REF!,"AAAAAG7fz2k=")</f>
        <v>#REF!</v>
      </c>
      <c r="DC29" t="e">
        <f>IF(#REF!,"AAAAAG7fz2o=",0)</f>
        <v>#REF!</v>
      </c>
      <c r="DD29" t="e">
        <f>AND(#REF!,"AAAAAG7fz2s=")</f>
        <v>#REF!</v>
      </c>
      <c r="DE29" t="e">
        <f>AND(#REF!,"AAAAAG7fz2w=")</f>
        <v>#REF!</v>
      </c>
      <c r="DF29" t="e">
        <f>AND(#REF!,"AAAAAG7fz20=")</f>
        <v>#REF!</v>
      </c>
      <c r="DG29" t="e">
        <f>AND(#REF!,"AAAAAG7fz24=")</f>
        <v>#REF!</v>
      </c>
      <c r="DH29" t="e">
        <f>AND(#REF!,"AAAAAG7fz28=")</f>
        <v>#REF!</v>
      </c>
      <c r="DI29" t="e">
        <f>AND(#REF!,"AAAAAG7fz3A=")</f>
        <v>#REF!</v>
      </c>
      <c r="DJ29" t="e">
        <f>AND(#REF!,"AAAAAG7fz3E=")</f>
        <v>#REF!</v>
      </c>
      <c r="DK29" t="e">
        <f>AND(#REF!,"AAAAAG7fz3I=")</f>
        <v>#REF!</v>
      </c>
      <c r="DL29" t="e">
        <f>AND(#REF!,"AAAAAG7fz3M=")</f>
        <v>#REF!</v>
      </c>
      <c r="DM29" t="e">
        <f>IF(#REF!,"AAAAAG7fz3Q=",0)</f>
        <v>#REF!</v>
      </c>
      <c r="DN29" t="e">
        <f>AND(#REF!,"AAAAAG7fz3U=")</f>
        <v>#REF!</v>
      </c>
      <c r="DO29" t="e">
        <f>AND(#REF!,"AAAAAG7fz3Y=")</f>
        <v>#REF!</v>
      </c>
      <c r="DP29" t="e">
        <f>AND(#REF!,"AAAAAG7fz3c=")</f>
        <v>#REF!</v>
      </c>
      <c r="DQ29" t="e">
        <f>AND(#REF!,"AAAAAG7fz3g=")</f>
        <v>#REF!</v>
      </c>
      <c r="DR29" t="e">
        <f>AND(#REF!,"AAAAAG7fz3k=")</f>
        <v>#REF!</v>
      </c>
      <c r="DS29" t="e">
        <f>AND(#REF!,"AAAAAG7fz3o=")</f>
        <v>#REF!</v>
      </c>
      <c r="DT29" t="e">
        <f>AND(#REF!,"AAAAAG7fz3s=")</f>
        <v>#REF!</v>
      </c>
      <c r="DU29" t="e">
        <f>AND(#REF!,"AAAAAG7fz3w=")</f>
        <v>#REF!</v>
      </c>
      <c r="DV29" t="e">
        <f>AND(#REF!,"AAAAAG7fz30=")</f>
        <v>#REF!</v>
      </c>
      <c r="DW29" t="e">
        <f>IF(#REF!,"AAAAAG7fz34=",0)</f>
        <v>#REF!</v>
      </c>
      <c r="DX29" t="e">
        <f>AND(#REF!,"AAAAAG7fz38=")</f>
        <v>#REF!</v>
      </c>
      <c r="DY29" t="e">
        <f>AND(#REF!,"AAAAAG7fz4A=")</f>
        <v>#REF!</v>
      </c>
      <c r="DZ29" t="e">
        <f>AND(#REF!,"AAAAAG7fz4E=")</f>
        <v>#REF!</v>
      </c>
      <c r="EA29" t="e">
        <f>AND(#REF!,"AAAAAG7fz4I=")</f>
        <v>#REF!</v>
      </c>
      <c r="EB29" t="e">
        <f>AND(#REF!,"AAAAAG7fz4M=")</f>
        <v>#REF!</v>
      </c>
      <c r="EC29" t="e">
        <f>AND(#REF!,"AAAAAG7fz4Q=")</f>
        <v>#REF!</v>
      </c>
      <c r="ED29" t="e">
        <f>AND(#REF!,"AAAAAG7fz4U=")</f>
        <v>#REF!</v>
      </c>
      <c r="EE29" t="e">
        <f>AND(#REF!,"AAAAAG7fz4Y=")</f>
        <v>#REF!</v>
      </c>
      <c r="EF29" t="e">
        <f>AND(#REF!,"AAAAAG7fz4c=")</f>
        <v>#REF!</v>
      </c>
      <c r="EG29" t="e">
        <f>IF(#REF!,"AAAAAG7fz4g=",0)</f>
        <v>#REF!</v>
      </c>
      <c r="EH29" t="e">
        <f>AND(#REF!,"AAAAAG7fz4k=")</f>
        <v>#REF!</v>
      </c>
      <c r="EI29" t="e">
        <f>AND(#REF!,"AAAAAG7fz4o=")</f>
        <v>#REF!</v>
      </c>
      <c r="EJ29" t="e">
        <f>AND(#REF!,"AAAAAG7fz4s=")</f>
        <v>#REF!</v>
      </c>
      <c r="EK29" t="e">
        <f>AND(#REF!,"AAAAAG7fz4w=")</f>
        <v>#REF!</v>
      </c>
      <c r="EL29" t="e">
        <f>AND(#REF!,"AAAAAG7fz40=")</f>
        <v>#REF!</v>
      </c>
      <c r="EM29" t="e">
        <f>AND(#REF!,"AAAAAG7fz44=")</f>
        <v>#REF!</v>
      </c>
      <c r="EN29" t="e">
        <f>AND(#REF!,"AAAAAG7fz48=")</f>
        <v>#REF!</v>
      </c>
      <c r="EO29" t="e">
        <f>AND(#REF!,"AAAAAG7fz5A=")</f>
        <v>#REF!</v>
      </c>
      <c r="EP29" t="e">
        <f>AND(#REF!,"AAAAAG7fz5E=")</f>
        <v>#REF!</v>
      </c>
      <c r="EQ29" t="e">
        <f>IF(#REF!,"AAAAAG7fz5I=",0)</f>
        <v>#REF!</v>
      </c>
      <c r="ER29" t="e">
        <f>AND(#REF!,"AAAAAG7fz5M=")</f>
        <v>#REF!</v>
      </c>
      <c r="ES29" t="e">
        <f>AND(#REF!,"AAAAAG7fz5Q=")</f>
        <v>#REF!</v>
      </c>
      <c r="ET29" t="e">
        <f>AND(#REF!,"AAAAAG7fz5U=")</f>
        <v>#REF!</v>
      </c>
      <c r="EU29" t="e">
        <f>AND(#REF!,"AAAAAG7fz5Y=")</f>
        <v>#REF!</v>
      </c>
      <c r="EV29" t="e">
        <f>AND(#REF!,"AAAAAG7fz5c=")</f>
        <v>#REF!</v>
      </c>
      <c r="EW29" t="e">
        <f>AND(#REF!,"AAAAAG7fz5g=")</f>
        <v>#REF!</v>
      </c>
      <c r="EX29" t="e">
        <f>AND(#REF!,"AAAAAG7fz5k=")</f>
        <v>#REF!</v>
      </c>
      <c r="EY29" t="e">
        <f>AND(#REF!,"AAAAAG7fz5o=")</f>
        <v>#REF!</v>
      </c>
      <c r="EZ29" t="e">
        <f>AND(#REF!,"AAAAAG7fz5s=")</f>
        <v>#REF!</v>
      </c>
      <c r="FA29" t="e">
        <f>IF(#REF!,"AAAAAG7fz5w=",0)</f>
        <v>#REF!</v>
      </c>
      <c r="FB29" t="e">
        <f>AND(#REF!,"AAAAAG7fz50=")</f>
        <v>#REF!</v>
      </c>
      <c r="FC29" t="e">
        <f>AND(#REF!,"AAAAAG7fz54=")</f>
        <v>#REF!</v>
      </c>
      <c r="FD29" t="e">
        <f>AND(#REF!,"AAAAAG7fz58=")</f>
        <v>#REF!</v>
      </c>
      <c r="FE29" t="e">
        <f>AND(#REF!,"AAAAAG7fz6A=")</f>
        <v>#REF!</v>
      </c>
      <c r="FF29" t="e">
        <f>AND(#REF!,"AAAAAG7fz6E=")</f>
        <v>#REF!</v>
      </c>
      <c r="FG29" t="e">
        <f>AND(#REF!,"AAAAAG7fz6I=")</f>
        <v>#REF!</v>
      </c>
      <c r="FH29" t="e">
        <f>AND(#REF!,"AAAAAG7fz6M=")</f>
        <v>#REF!</v>
      </c>
      <c r="FI29" t="e">
        <f>AND(#REF!,"AAAAAG7fz6Q=")</f>
        <v>#REF!</v>
      </c>
      <c r="FJ29" t="e">
        <f>AND(#REF!,"AAAAAG7fz6U=")</f>
        <v>#REF!</v>
      </c>
      <c r="FK29" t="e">
        <f>IF(#REF!,"AAAAAG7fz6Y=",0)</f>
        <v>#REF!</v>
      </c>
      <c r="FL29" t="e">
        <f>AND(#REF!,"AAAAAG7fz6c=")</f>
        <v>#REF!</v>
      </c>
      <c r="FM29" t="e">
        <f>AND(#REF!,"AAAAAG7fz6g=")</f>
        <v>#REF!</v>
      </c>
      <c r="FN29" t="e">
        <f>AND(#REF!,"AAAAAG7fz6k=")</f>
        <v>#REF!</v>
      </c>
      <c r="FO29" t="e">
        <f>AND(#REF!,"AAAAAG7fz6o=")</f>
        <v>#REF!</v>
      </c>
      <c r="FP29" t="e">
        <f>AND(#REF!,"AAAAAG7fz6s=")</f>
        <v>#REF!</v>
      </c>
      <c r="FQ29" t="e">
        <f>AND(#REF!,"AAAAAG7fz6w=")</f>
        <v>#REF!</v>
      </c>
      <c r="FR29" t="e">
        <f>AND(#REF!,"AAAAAG7fz60=")</f>
        <v>#REF!</v>
      </c>
      <c r="FS29" t="e">
        <f>AND(#REF!,"AAAAAG7fz64=")</f>
        <v>#REF!</v>
      </c>
      <c r="FT29" t="e">
        <f>AND(#REF!,"AAAAAG7fz68=")</f>
        <v>#REF!</v>
      </c>
      <c r="FU29" t="e">
        <f>IF(#REF!,"AAAAAG7fz7A=",0)</f>
        <v>#REF!</v>
      </c>
      <c r="FV29" t="e">
        <f>AND(#REF!,"AAAAAG7fz7E=")</f>
        <v>#REF!</v>
      </c>
      <c r="FW29" t="e">
        <f>AND(#REF!,"AAAAAG7fz7I=")</f>
        <v>#REF!</v>
      </c>
      <c r="FX29" t="e">
        <f>AND(#REF!,"AAAAAG7fz7M=")</f>
        <v>#REF!</v>
      </c>
      <c r="FY29" t="e">
        <f>AND(#REF!,"AAAAAG7fz7Q=")</f>
        <v>#REF!</v>
      </c>
      <c r="FZ29" t="e">
        <f>AND(#REF!,"AAAAAG7fz7U=")</f>
        <v>#REF!</v>
      </c>
      <c r="GA29" t="e">
        <f>AND(#REF!,"AAAAAG7fz7Y=")</f>
        <v>#REF!</v>
      </c>
      <c r="GB29" t="e">
        <f>AND(#REF!,"AAAAAG7fz7c=")</f>
        <v>#REF!</v>
      </c>
      <c r="GC29" t="e">
        <f>AND(#REF!,"AAAAAG7fz7g=")</f>
        <v>#REF!</v>
      </c>
      <c r="GD29" t="e">
        <f>AND(#REF!,"AAAAAG7fz7k=")</f>
        <v>#REF!</v>
      </c>
      <c r="GE29" t="e">
        <f>IF(#REF!,"AAAAAG7fz7o=",0)</f>
        <v>#REF!</v>
      </c>
      <c r="GF29" t="e">
        <f>AND(#REF!,"AAAAAG7fz7s=")</f>
        <v>#REF!</v>
      </c>
      <c r="GG29" t="e">
        <f>AND(#REF!,"AAAAAG7fz7w=")</f>
        <v>#REF!</v>
      </c>
      <c r="GH29" t="e">
        <f>AND(#REF!,"AAAAAG7fz70=")</f>
        <v>#REF!</v>
      </c>
      <c r="GI29" t="e">
        <f>AND(#REF!,"AAAAAG7fz74=")</f>
        <v>#REF!</v>
      </c>
      <c r="GJ29" t="e">
        <f>AND(#REF!,"AAAAAG7fz78=")</f>
        <v>#REF!</v>
      </c>
      <c r="GK29" t="e">
        <f>AND(#REF!,"AAAAAG7fz8A=")</f>
        <v>#REF!</v>
      </c>
      <c r="GL29" t="e">
        <f>AND(#REF!,"AAAAAG7fz8E=")</f>
        <v>#REF!</v>
      </c>
      <c r="GM29" t="e">
        <f>AND(#REF!,"AAAAAG7fz8I=")</f>
        <v>#REF!</v>
      </c>
      <c r="GN29" t="e">
        <f>AND(#REF!,"AAAAAG7fz8M=")</f>
        <v>#REF!</v>
      </c>
      <c r="GO29" t="e">
        <f>IF(#REF!,"AAAAAG7fz8Q=",0)</f>
        <v>#REF!</v>
      </c>
      <c r="GP29" t="e">
        <f>AND(#REF!,"AAAAAG7fz8U=")</f>
        <v>#REF!</v>
      </c>
      <c r="GQ29" t="e">
        <f>AND(#REF!,"AAAAAG7fz8Y=")</f>
        <v>#REF!</v>
      </c>
      <c r="GR29" t="e">
        <f>AND(#REF!,"AAAAAG7fz8c=")</f>
        <v>#REF!</v>
      </c>
      <c r="GS29" t="e">
        <f>AND(#REF!,"AAAAAG7fz8g=")</f>
        <v>#REF!</v>
      </c>
      <c r="GT29" t="e">
        <f>AND(#REF!,"AAAAAG7fz8k=")</f>
        <v>#REF!</v>
      </c>
      <c r="GU29" t="e">
        <f>AND(#REF!,"AAAAAG7fz8o=")</f>
        <v>#REF!</v>
      </c>
      <c r="GV29" t="e">
        <f>AND(#REF!,"AAAAAG7fz8s=")</f>
        <v>#REF!</v>
      </c>
      <c r="GW29" t="e">
        <f>AND(#REF!,"AAAAAG7fz8w=")</f>
        <v>#REF!</v>
      </c>
      <c r="GX29" t="e">
        <f>AND(#REF!,"AAAAAG7fz80=")</f>
        <v>#REF!</v>
      </c>
      <c r="GY29" t="e">
        <f>IF(#REF!,"AAAAAG7fz84=",0)</f>
        <v>#REF!</v>
      </c>
      <c r="GZ29" t="e">
        <f>AND(#REF!,"AAAAAG7fz88=")</f>
        <v>#REF!</v>
      </c>
      <c r="HA29" t="e">
        <f>AND(#REF!,"AAAAAG7fz9A=")</f>
        <v>#REF!</v>
      </c>
      <c r="HB29" t="e">
        <f>AND(#REF!,"AAAAAG7fz9E=")</f>
        <v>#REF!</v>
      </c>
      <c r="HC29" t="e">
        <f>AND(#REF!,"AAAAAG7fz9I=")</f>
        <v>#REF!</v>
      </c>
      <c r="HD29" t="e">
        <f>AND(#REF!,"AAAAAG7fz9M=")</f>
        <v>#REF!</v>
      </c>
      <c r="HE29" t="e">
        <f>AND(#REF!,"AAAAAG7fz9Q=")</f>
        <v>#REF!</v>
      </c>
      <c r="HF29" t="e">
        <f>AND(#REF!,"AAAAAG7fz9U=")</f>
        <v>#REF!</v>
      </c>
      <c r="HG29" t="e">
        <f>AND(#REF!,"AAAAAG7fz9Y=")</f>
        <v>#REF!</v>
      </c>
      <c r="HH29" t="e">
        <f>AND(#REF!,"AAAAAG7fz9c=")</f>
        <v>#REF!</v>
      </c>
      <c r="HI29" t="e">
        <f>IF(#REF!,"AAAAAG7fz9g=",0)</f>
        <v>#REF!</v>
      </c>
      <c r="HJ29" t="e">
        <f>AND(#REF!,"AAAAAG7fz9k=")</f>
        <v>#REF!</v>
      </c>
      <c r="HK29" t="e">
        <f>AND(#REF!,"AAAAAG7fz9o=")</f>
        <v>#REF!</v>
      </c>
      <c r="HL29" t="e">
        <f>AND(#REF!,"AAAAAG7fz9s=")</f>
        <v>#REF!</v>
      </c>
      <c r="HM29" t="e">
        <f>AND(#REF!,"AAAAAG7fz9w=")</f>
        <v>#REF!</v>
      </c>
      <c r="HN29" t="e">
        <f>AND(#REF!,"AAAAAG7fz90=")</f>
        <v>#REF!</v>
      </c>
      <c r="HO29" t="e">
        <f>AND(#REF!,"AAAAAG7fz94=")</f>
        <v>#REF!</v>
      </c>
      <c r="HP29" t="e">
        <f>AND(#REF!,"AAAAAG7fz98=")</f>
        <v>#REF!</v>
      </c>
      <c r="HQ29" t="e">
        <f>AND(#REF!,"AAAAAG7fz+A=")</f>
        <v>#REF!</v>
      </c>
      <c r="HR29" t="e">
        <f>AND(#REF!,"AAAAAG7fz+E=")</f>
        <v>#REF!</v>
      </c>
      <c r="HS29" t="e">
        <f>IF(#REF!,"AAAAAG7fz+I=",0)</f>
        <v>#REF!</v>
      </c>
      <c r="HT29" t="e">
        <f>AND(#REF!,"AAAAAG7fz+M=")</f>
        <v>#REF!</v>
      </c>
      <c r="HU29" t="e">
        <f>AND(#REF!,"AAAAAG7fz+Q=")</f>
        <v>#REF!</v>
      </c>
      <c r="HV29" t="e">
        <f>AND(#REF!,"AAAAAG7fz+U=")</f>
        <v>#REF!</v>
      </c>
      <c r="HW29" t="e">
        <f>AND(#REF!,"AAAAAG7fz+Y=")</f>
        <v>#REF!</v>
      </c>
      <c r="HX29" t="e">
        <f>AND(#REF!,"AAAAAG7fz+c=")</f>
        <v>#REF!</v>
      </c>
      <c r="HY29" t="e">
        <f>AND(#REF!,"AAAAAG7fz+g=")</f>
        <v>#REF!</v>
      </c>
      <c r="HZ29" t="e">
        <f>AND(#REF!,"AAAAAG7fz+k=")</f>
        <v>#REF!</v>
      </c>
      <c r="IA29" t="e">
        <f>AND(#REF!,"AAAAAG7fz+o=")</f>
        <v>#REF!</v>
      </c>
      <c r="IB29" t="e">
        <f>AND(#REF!,"AAAAAG7fz+s=")</f>
        <v>#REF!</v>
      </c>
      <c r="IC29" t="e">
        <f>IF(#REF!,"AAAAAG7fz+w=",0)</f>
        <v>#REF!</v>
      </c>
      <c r="ID29" t="e">
        <f>AND(#REF!,"AAAAAG7fz+0=")</f>
        <v>#REF!</v>
      </c>
      <c r="IE29" t="e">
        <f>AND(#REF!,"AAAAAG7fz+4=")</f>
        <v>#REF!</v>
      </c>
      <c r="IF29" t="e">
        <f>AND(#REF!,"AAAAAG7fz+8=")</f>
        <v>#REF!</v>
      </c>
      <c r="IG29" t="e">
        <f>AND(#REF!,"AAAAAG7fz/A=")</f>
        <v>#REF!</v>
      </c>
      <c r="IH29" t="e">
        <f>AND(#REF!,"AAAAAG7fz/E=")</f>
        <v>#REF!</v>
      </c>
      <c r="II29" t="e">
        <f>AND(#REF!,"AAAAAG7fz/I=")</f>
        <v>#REF!</v>
      </c>
      <c r="IJ29" t="e">
        <f>AND(#REF!,"AAAAAG7fz/M=")</f>
        <v>#REF!</v>
      </c>
      <c r="IK29" t="e">
        <f>AND(#REF!,"AAAAAG7fz/Q=")</f>
        <v>#REF!</v>
      </c>
      <c r="IL29" t="e">
        <f>AND(#REF!,"AAAAAG7fz/U=")</f>
        <v>#REF!</v>
      </c>
      <c r="IM29" t="e">
        <f>IF(#REF!,"AAAAAG7fz/Y=",0)</f>
        <v>#REF!</v>
      </c>
      <c r="IN29" t="e">
        <f>AND(#REF!,"AAAAAG7fz/c=")</f>
        <v>#REF!</v>
      </c>
      <c r="IO29" t="e">
        <f>AND(#REF!,"AAAAAG7fz/g=")</f>
        <v>#REF!</v>
      </c>
      <c r="IP29" t="e">
        <f>AND(#REF!,"AAAAAG7fz/k=")</f>
        <v>#REF!</v>
      </c>
      <c r="IQ29" t="e">
        <f>AND(#REF!,"AAAAAG7fz/o=")</f>
        <v>#REF!</v>
      </c>
      <c r="IR29" t="e">
        <f>AND(#REF!,"AAAAAG7fz/s=")</f>
        <v>#REF!</v>
      </c>
      <c r="IS29" t="e">
        <f>AND(#REF!,"AAAAAG7fz/w=")</f>
        <v>#REF!</v>
      </c>
      <c r="IT29" t="e">
        <f>AND(#REF!,"AAAAAG7fz/0=")</f>
        <v>#REF!</v>
      </c>
      <c r="IU29" t="e">
        <f>AND(#REF!,"AAAAAG7fz/4=")</f>
        <v>#REF!</v>
      </c>
      <c r="IV29" t="e">
        <f>AND(#REF!,"AAAAAG7fz/8=")</f>
        <v>#REF!</v>
      </c>
    </row>
    <row r="30" spans="1:256">
      <c r="A30" t="e">
        <f>IF(#REF!,"AAAAAG/w6QA=",0)</f>
        <v>#REF!</v>
      </c>
      <c r="B30" t="e">
        <f>AND(#REF!,"AAAAAG/w6QE=")</f>
        <v>#REF!</v>
      </c>
      <c r="C30" t="e">
        <f>AND(#REF!,"AAAAAG/w6QI=")</f>
        <v>#REF!</v>
      </c>
      <c r="D30" t="e">
        <f>AND(#REF!,"AAAAAG/w6QM=")</f>
        <v>#REF!</v>
      </c>
      <c r="E30" t="e">
        <f>AND(#REF!,"AAAAAG/w6QQ=")</f>
        <v>#REF!</v>
      </c>
      <c r="F30" t="e">
        <f>AND(#REF!,"AAAAAG/w6QU=")</f>
        <v>#REF!</v>
      </c>
      <c r="G30" t="e">
        <f>AND(#REF!,"AAAAAG/w6QY=")</f>
        <v>#REF!</v>
      </c>
      <c r="H30" t="e">
        <f>AND(#REF!,"AAAAAG/w6Qc=")</f>
        <v>#REF!</v>
      </c>
      <c r="I30" t="e">
        <f>AND(#REF!,"AAAAAG/w6Qg=")</f>
        <v>#REF!</v>
      </c>
      <c r="J30" t="e">
        <f>AND(#REF!,"AAAAAG/w6Qk=")</f>
        <v>#REF!</v>
      </c>
      <c r="K30" t="e">
        <f>IF(#REF!,"AAAAAG/w6Qo=",0)</f>
        <v>#REF!</v>
      </c>
      <c r="L30" t="e">
        <f>AND(#REF!,"AAAAAG/w6Qs=")</f>
        <v>#REF!</v>
      </c>
      <c r="M30" t="e">
        <f>AND(#REF!,"AAAAAG/w6Qw=")</f>
        <v>#REF!</v>
      </c>
      <c r="N30" t="e">
        <f>AND(#REF!,"AAAAAG/w6Q0=")</f>
        <v>#REF!</v>
      </c>
      <c r="O30" t="e">
        <f>AND(#REF!,"AAAAAG/w6Q4=")</f>
        <v>#REF!</v>
      </c>
      <c r="P30" t="e">
        <f>AND(#REF!,"AAAAAG/w6Q8=")</f>
        <v>#REF!</v>
      </c>
      <c r="Q30" t="e">
        <f>AND(#REF!,"AAAAAG/w6RA=")</f>
        <v>#REF!</v>
      </c>
      <c r="R30" t="e">
        <f>AND(#REF!,"AAAAAG/w6RE=")</f>
        <v>#REF!</v>
      </c>
      <c r="S30" t="e">
        <f>AND(#REF!,"AAAAAG/w6RI=")</f>
        <v>#REF!</v>
      </c>
      <c r="T30" t="e">
        <f>AND(#REF!,"AAAAAG/w6RM=")</f>
        <v>#REF!</v>
      </c>
      <c r="U30" t="e">
        <f>IF(#REF!,"AAAAAG/w6RQ=",0)</f>
        <v>#REF!</v>
      </c>
      <c r="V30" t="e">
        <f>AND(#REF!,"AAAAAG/w6RU=")</f>
        <v>#REF!</v>
      </c>
      <c r="W30" t="e">
        <f>AND(#REF!,"AAAAAG/w6RY=")</f>
        <v>#REF!</v>
      </c>
      <c r="X30" t="e">
        <f>AND(#REF!,"AAAAAG/w6Rc=")</f>
        <v>#REF!</v>
      </c>
      <c r="Y30" t="e">
        <f>AND(#REF!,"AAAAAG/w6Rg=")</f>
        <v>#REF!</v>
      </c>
      <c r="Z30" t="e">
        <f>AND(#REF!,"AAAAAG/w6Rk=")</f>
        <v>#REF!</v>
      </c>
      <c r="AA30" t="e">
        <f>AND(#REF!,"AAAAAG/w6Ro=")</f>
        <v>#REF!</v>
      </c>
      <c r="AB30" t="e">
        <f>AND(#REF!,"AAAAAG/w6Rs=")</f>
        <v>#REF!</v>
      </c>
      <c r="AC30" t="e">
        <f>AND(#REF!,"AAAAAG/w6Rw=")</f>
        <v>#REF!</v>
      </c>
      <c r="AD30" t="e">
        <f>AND(#REF!,"AAAAAG/w6R0=")</f>
        <v>#REF!</v>
      </c>
      <c r="AE30" t="e">
        <f>IF(#REF!,"AAAAAG/w6R4=",0)</f>
        <v>#REF!</v>
      </c>
      <c r="AF30" t="e">
        <f>AND(#REF!,"AAAAAG/w6R8=")</f>
        <v>#REF!</v>
      </c>
      <c r="AG30" t="e">
        <f>AND(#REF!,"AAAAAG/w6SA=")</f>
        <v>#REF!</v>
      </c>
      <c r="AH30" t="e">
        <f>AND(#REF!,"AAAAAG/w6SE=")</f>
        <v>#REF!</v>
      </c>
      <c r="AI30" t="e">
        <f>AND(#REF!,"AAAAAG/w6SI=")</f>
        <v>#REF!</v>
      </c>
      <c r="AJ30" t="e">
        <f>AND(#REF!,"AAAAAG/w6SM=")</f>
        <v>#REF!</v>
      </c>
      <c r="AK30" t="e">
        <f>AND(#REF!,"AAAAAG/w6SQ=")</f>
        <v>#REF!</v>
      </c>
      <c r="AL30" t="e">
        <f>AND(#REF!,"AAAAAG/w6SU=")</f>
        <v>#REF!</v>
      </c>
      <c r="AM30" t="e">
        <f>AND(#REF!,"AAAAAG/w6SY=")</f>
        <v>#REF!</v>
      </c>
      <c r="AN30" t="e">
        <f>AND(#REF!,"AAAAAG/w6Sc=")</f>
        <v>#REF!</v>
      </c>
      <c r="AO30" t="e">
        <f>IF(#REF!,"AAAAAG/w6Sg=",0)</f>
        <v>#REF!</v>
      </c>
      <c r="AP30" t="e">
        <f>AND(#REF!,"AAAAAG/w6Sk=")</f>
        <v>#REF!</v>
      </c>
      <c r="AQ30" t="e">
        <f>AND(#REF!,"AAAAAG/w6So=")</f>
        <v>#REF!</v>
      </c>
      <c r="AR30" t="e">
        <f>AND(#REF!,"AAAAAG/w6Ss=")</f>
        <v>#REF!</v>
      </c>
      <c r="AS30" t="e">
        <f>AND(#REF!,"AAAAAG/w6Sw=")</f>
        <v>#REF!</v>
      </c>
      <c r="AT30" t="e">
        <f>AND(#REF!,"AAAAAG/w6S0=")</f>
        <v>#REF!</v>
      </c>
      <c r="AU30" t="e">
        <f>AND(#REF!,"AAAAAG/w6S4=")</f>
        <v>#REF!</v>
      </c>
      <c r="AV30" t="e">
        <f>AND(#REF!,"AAAAAG/w6S8=")</f>
        <v>#REF!</v>
      </c>
      <c r="AW30" t="e">
        <f>AND(#REF!,"AAAAAG/w6TA=")</f>
        <v>#REF!</v>
      </c>
      <c r="AX30" t="e">
        <f>AND(#REF!,"AAAAAG/w6TE=")</f>
        <v>#REF!</v>
      </c>
      <c r="AY30" t="e">
        <f>IF(#REF!,"AAAAAG/w6TI=",0)</f>
        <v>#REF!</v>
      </c>
      <c r="AZ30" t="e">
        <f>AND(#REF!,"AAAAAG/w6TM=")</f>
        <v>#REF!</v>
      </c>
      <c r="BA30" t="e">
        <f>AND(#REF!,"AAAAAG/w6TQ=")</f>
        <v>#REF!</v>
      </c>
      <c r="BB30" t="e">
        <f>AND(#REF!,"AAAAAG/w6TU=")</f>
        <v>#REF!</v>
      </c>
      <c r="BC30" t="e">
        <f>AND(#REF!,"AAAAAG/w6TY=")</f>
        <v>#REF!</v>
      </c>
      <c r="BD30" t="e">
        <f>AND(#REF!,"AAAAAG/w6Tc=")</f>
        <v>#REF!</v>
      </c>
      <c r="BE30" t="e">
        <f>AND(#REF!,"AAAAAG/w6Tg=")</f>
        <v>#REF!</v>
      </c>
      <c r="BF30" t="e">
        <f>AND(#REF!,"AAAAAG/w6Tk=")</f>
        <v>#REF!</v>
      </c>
      <c r="BG30" t="e">
        <f>AND(#REF!,"AAAAAG/w6To=")</f>
        <v>#REF!</v>
      </c>
      <c r="BH30" t="e">
        <f>AND(#REF!,"AAAAAG/w6Ts=")</f>
        <v>#REF!</v>
      </c>
      <c r="BI30" t="e">
        <f>IF(#REF!,"AAAAAG/w6Tw=",0)</f>
        <v>#REF!</v>
      </c>
      <c r="BJ30" t="e">
        <f>AND(#REF!,"AAAAAG/w6T0=")</f>
        <v>#REF!</v>
      </c>
      <c r="BK30" t="e">
        <f>AND(#REF!,"AAAAAG/w6T4=")</f>
        <v>#REF!</v>
      </c>
      <c r="BL30" t="e">
        <f>AND(#REF!,"AAAAAG/w6T8=")</f>
        <v>#REF!</v>
      </c>
      <c r="BM30" t="e">
        <f>AND(#REF!,"AAAAAG/w6UA=")</f>
        <v>#REF!</v>
      </c>
      <c r="BN30" t="e">
        <f>AND(#REF!,"AAAAAG/w6UE=")</f>
        <v>#REF!</v>
      </c>
      <c r="BO30" t="e">
        <f>AND(#REF!,"AAAAAG/w6UI=")</f>
        <v>#REF!</v>
      </c>
      <c r="BP30" t="e">
        <f>AND(#REF!,"AAAAAG/w6UM=")</f>
        <v>#REF!</v>
      </c>
      <c r="BQ30" t="e">
        <f>AND(#REF!,"AAAAAG/w6UQ=")</f>
        <v>#REF!</v>
      </c>
      <c r="BR30" t="e">
        <f>AND(#REF!,"AAAAAG/w6UU=")</f>
        <v>#REF!</v>
      </c>
      <c r="BS30" t="e">
        <f>IF(#REF!,"AAAAAG/w6UY=",0)</f>
        <v>#REF!</v>
      </c>
      <c r="BT30" t="e">
        <f>AND(#REF!,"AAAAAG/w6Uc=")</f>
        <v>#REF!</v>
      </c>
      <c r="BU30" t="e">
        <f>AND(#REF!,"AAAAAG/w6Ug=")</f>
        <v>#REF!</v>
      </c>
      <c r="BV30" t="e">
        <f>AND(#REF!,"AAAAAG/w6Uk=")</f>
        <v>#REF!</v>
      </c>
      <c r="BW30" t="e">
        <f>AND(#REF!,"AAAAAG/w6Uo=")</f>
        <v>#REF!</v>
      </c>
      <c r="BX30" t="e">
        <f>AND(#REF!,"AAAAAG/w6Us=")</f>
        <v>#REF!</v>
      </c>
      <c r="BY30" t="e">
        <f>AND(#REF!,"AAAAAG/w6Uw=")</f>
        <v>#REF!</v>
      </c>
      <c r="BZ30" t="e">
        <f>AND(#REF!,"AAAAAG/w6U0=")</f>
        <v>#REF!</v>
      </c>
      <c r="CA30" t="e">
        <f>AND(#REF!,"AAAAAG/w6U4=")</f>
        <v>#REF!</v>
      </c>
      <c r="CB30" t="e">
        <f>AND(#REF!,"AAAAAG/w6U8=")</f>
        <v>#REF!</v>
      </c>
      <c r="CC30" t="e">
        <f>IF(#REF!,"AAAAAG/w6VA=",0)</f>
        <v>#REF!</v>
      </c>
      <c r="CD30" t="e">
        <f>AND(#REF!,"AAAAAG/w6VE=")</f>
        <v>#REF!</v>
      </c>
      <c r="CE30" t="e">
        <f>AND(#REF!,"AAAAAG/w6VI=")</f>
        <v>#REF!</v>
      </c>
      <c r="CF30" t="e">
        <f>AND(#REF!,"AAAAAG/w6VM=")</f>
        <v>#REF!</v>
      </c>
      <c r="CG30" t="e">
        <f>AND(#REF!,"AAAAAG/w6VQ=")</f>
        <v>#REF!</v>
      </c>
      <c r="CH30" t="e">
        <f>AND(#REF!,"AAAAAG/w6VU=")</f>
        <v>#REF!</v>
      </c>
      <c r="CI30" t="e">
        <f>AND(#REF!,"AAAAAG/w6VY=")</f>
        <v>#REF!</v>
      </c>
      <c r="CJ30" t="e">
        <f>AND(#REF!,"AAAAAG/w6Vc=")</f>
        <v>#REF!</v>
      </c>
      <c r="CK30" t="e">
        <f>AND(#REF!,"AAAAAG/w6Vg=")</f>
        <v>#REF!</v>
      </c>
      <c r="CL30" t="e">
        <f>AND(#REF!,"AAAAAG/w6Vk=")</f>
        <v>#REF!</v>
      </c>
      <c r="CM30" t="e">
        <f>IF(#REF!,"AAAAAG/w6Vo=",0)</f>
        <v>#REF!</v>
      </c>
      <c r="CN30" t="e">
        <f>AND(#REF!,"AAAAAG/w6Vs=")</f>
        <v>#REF!</v>
      </c>
      <c r="CO30" t="e">
        <f>AND(#REF!,"AAAAAG/w6Vw=")</f>
        <v>#REF!</v>
      </c>
      <c r="CP30" t="e">
        <f>AND(#REF!,"AAAAAG/w6V0=")</f>
        <v>#REF!</v>
      </c>
      <c r="CQ30" t="e">
        <f>AND(#REF!,"AAAAAG/w6V4=")</f>
        <v>#REF!</v>
      </c>
      <c r="CR30" t="e">
        <f>AND(#REF!,"AAAAAG/w6V8=")</f>
        <v>#REF!</v>
      </c>
      <c r="CS30" t="e">
        <f>AND(#REF!,"AAAAAG/w6WA=")</f>
        <v>#REF!</v>
      </c>
      <c r="CT30" t="e">
        <f>AND(#REF!,"AAAAAG/w6WE=")</f>
        <v>#REF!</v>
      </c>
      <c r="CU30" t="e">
        <f>AND(#REF!,"AAAAAG/w6WI=")</f>
        <v>#REF!</v>
      </c>
      <c r="CV30" t="e">
        <f>AND(#REF!,"AAAAAG/w6WM=")</f>
        <v>#REF!</v>
      </c>
      <c r="CW30" t="e">
        <f>IF(#REF!,"AAAAAG/w6WQ=",0)</f>
        <v>#REF!</v>
      </c>
      <c r="CX30" t="e">
        <f>AND(#REF!,"AAAAAG/w6WU=")</f>
        <v>#REF!</v>
      </c>
      <c r="CY30" t="e">
        <f>AND(#REF!,"AAAAAG/w6WY=")</f>
        <v>#REF!</v>
      </c>
      <c r="CZ30" t="e">
        <f>AND(#REF!,"AAAAAG/w6Wc=")</f>
        <v>#REF!</v>
      </c>
      <c r="DA30" t="e">
        <f>AND(#REF!,"AAAAAG/w6Wg=")</f>
        <v>#REF!</v>
      </c>
      <c r="DB30" t="e">
        <f>AND(#REF!,"AAAAAG/w6Wk=")</f>
        <v>#REF!</v>
      </c>
      <c r="DC30" t="e">
        <f>AND(#REF!,"AAAAAG/w6Wo=")</f>
        <v>#REF!</v>
      </c>
      <c r="DD30" t="e">
        <f>AND(#REF!,"AAAAAG/w6Ws=")</f>
        <v>#REF!</v>
      </c>
      <c r="DE30" t="e">
        <f>AND(#REF!,"AAAAAG/w6Ww=")</f>
        <v>#REF!</v>
      </c>
      <c r="DF30" t="e">
        <f>AND(#REF!,"AAAAAG/w6W0=")</f>
        <v>#REF!</v>
      </c>
      <c r="DG30" t="e">
        <f>IF(#REF!,"AAAAAG/w6W4=",0)</f>
        <v>#REF!</v>
      </c>
      <c r="DH30" t="e">
        <f>AND(#REF!,"AAAAAG/w6W8=")</f>
        <v>#REF!</v>
      </c>
      <c r="DI30" t="e">
        <f>AND(#REF!,"AAAAAG/w6XA=")</f>
        <v>#REF!</v>
      </c>
      <c r="DJ30" t="e">
        <f>AND(#REF!,"AAAAAG/w6XE=")</f>
        <v>#REF!</v>
      </c>
      <c r="DK30" t="e">
        <f>AND(#REF!,"AAAAAG/w6XI=")</f>
        <v>#REF!</v>
      </c>
      <c r="DL30" t="e">
        <f>AND(#REF!,"AAAAAG/w6XM=")</f>
        <v>#REF!</v>
      </c>
      <c r="DM30" t="e">
        <f>AND(#REF!,"AAAAAG/w6XQ=")</f>
        <v>#REF!</v>
      </c>
      <c r="DN30" t="e">
        <f>AND(#REF!,"AAAAAG/w6XU=")</f>
        <v>#REF!</v>
      </c>
      <c r="DO30" t="e">
        <f>AND(#REF!,"AAAAAG/w6XY=")</f>
        <v>#REF!</v>
      </c>
      <c r="DP30" t="e">
        <f>AND(#REF!,"AAAAAG/w6Xc=")</f>
        <v>#REF!</v>
      </c>
      <c r="DQ30" t="e">
        <f>IF(#REF!,"AAAAAG/w6Xg=",0)</f>
        <v>#REF!</v>
      </c>
      <c r="DR30" t="e">
        <f>AND(#REF!,"AAAAAG/w6Xk=")</f>
        <v>#REF!</v>
      </c>
      <c r="DS30" t="e">
        <f>AND(#REF!,"AAAAAG/w6Xo=")</f>
        <v>#REF!</v>
      </c>
      <c r="DT30" t="e">
        <f>AND(#REF!,"AAAAAG/w6Xs=")</f>
        <v>#REF!</v>
      </c>
      <c r="DU30" t="e">
        <f>AND(#REF!,"AAAAAG/w6Xw=")</f>
        <v>#REF!</v>
      </c>
      <c r="DV30" t="e">
        <f>AND(#REF!,"AAAAAG/w6X0=")</f>
        <v>#REF!</v>
      </c>
      <c r="DW30" t="e">
        <f>AND(#REF!,"AAAAAG/w6X4=")</f>
        <v>#REF!</v>
      </c>
      <c r="DX30" t="e">
        <f>AND(#REF!,"AAAAAG/w6X8=")</f>
        <v>#REF!</v>
      </c>
      <c r="DY30" t="e">
        <f>AND(#REF!,"AAAAAG/w6YA=")</f>
        <v>#REF!</v>
      </c>
      <c r="DZ30" t="e">
        <f>AND(#REF!,"AAAAAG/w6YE=")</f>
        <v>#REF!</v>
      </c>
      <c r="EA30" t="e">
        <f>IF(#REF!,"AAAAAG/w6YI=",0)</f>
        <v>#REF!</v>
      </c>
      <c r="EB30" t="e">
        <f>AND(#REF!,"AAAAAG/w6YM=")</f>
        <v>#REF!</v>
      </c>
      <c r="EC30" t="e">
        <f>AND(#REF!,"AAAAAG/w6YQ=")</f>
        <v>#REF!</v>
      </c>
      <c r="ED30" t="e">
        <f>AND(#REF!,"AAAAAG/w6YU=")</f>
        <v>#REF!</v>
      </c>
      <c r="EE30" t="e">
        <f>AND(#REF!,"AAAAAG/w6YY=")</f>
        <v>#REF!</v>
      </c>
      <c r="EF30" t="e">
        <f>AND(#REF!,"AAAAAG/w6Yc=")</f>
        <v>#REF!</v>
      </c>
      <c r="EG30" t="e">
        <f>AND(#REF!,"AAAAAG/w6Yg=")</f>
        <v>#REF!</v>
      </c>
      <c r="EH30" t="e">
        <f>AND(#REF!,"AAAAAG/w6Yk=")</f>
        <v>#REF!</v>
      </c>
      <c r="EI30" t="e">
        <f>AND(#REF!,"AAAAAG/w6Yo=")</f>
        <v>#REF!</v>
      </c>
      <c r="EJ30" t="e">
        <f>AND(#REF!,"AAAAAG/w6Ys=")</f>
        <v>#REF!</v>
      </c>
      <c r="EK30" t="e">
        <f>IF(#REF!,"AAAAAG/w6Yw=",0)</f>
        <v>#REF!</v>
      </c>
      <c r="EL30" t="e">
        <f>AND(#REF!,"AAAAAG/w6Y0=")</f>
        <v>#REF!</v>
      </c>
      <c r="EM30" t="e">
        <f>AND(#REF!,"AAAAAG/w6Y4=")</f>
        <v>#REF!</v>
      </c>
      <c r="EN30" t="e">
        <f>AND(#REF!,"AAAAAG/w6Y8=")</f>
        <v>#REF!</v>
      </c>
      <c r="EO30" t="e">
        <f>AND(#REF!,"AAAAAG/w6ZA=")</f>
        <v>#REF!</v>
      </c>
      <c r="EP30" t="e">
        <f>AND(#REF!,"AAAAAG/w6ZE=")</f>
        <v>#REF!</v>
      </c>
      <c r="EQ30" t="e">
        <f>AND(#REF!,"AAAAAG/w6ZI=")</f>
        <v>#REF!</v>
      </c>
      <c r="ER30" t="e">
        <f>AND(#REF!,"AAAAAG/w6ZM=")</f>
        <v>#REF!</v>
      </c>
      <c r="ES30" t="e">
        <f>AND(#REF!,"AAAAAG/w6ZQ=")</f>
        <v>#REF!</v>
      </c>
      <c r="ET30" t="e">
        <f>AND(#REF!,"AAAAAG/w6ZU=")</f>
        <v>#REF!</v>
      </c>
      <c r="EU30" t="e">
        <f>IF(#REF!,"AAAAAG/w6ZY=",0)</f>
        <v>#REF!</v>
      </c>
      <c r="EV30" t="e">
        <f>AND(#REF!,"AAAAAG/w6Zc=")</f>
        <v>#REF!</v>
      </c>
      <c r="EW30" t="e">
        <f>AND(#REF!,"AAAAAG/w6Zg=")</f>
        <v>#REF!</v>
      </c>
      <c r="EX30" t="e">
        <f>AND(#REF!,"AAAAAG/w6Zk=")</f>
        <v>#REF!</v>
      </c>
      <c r="EY30" t="e">
        <f>AND(#REF!,"AAAAAG/w6Zo=")</f>
        <v>#REF!</v>
      </c>
      <c r="EZ30" t="e">
        <f>AND(#REF!,"AAAAAG/w6Zs=")</f>
        <v>#REF!</v>
      </c>
      <c r="FA30" t="e">
        <f>AND(#REF!,"AAAAAG/w6Zw=")</f>
        <v>#REF!</v>
      </c>
      <c r="FB30" t="e">
        <f>AND(#REF!,"AAAAAG/w6Z0=")</f>
        <v>#REF!</v>
      </c>
      <c r="FC30" t="e">
        <f>AND(#REF!,"AAAAAG/w6Z4=")</f>
        <v>#REF!</v>
      </c>
      <c r="FD30" t="e">
        <f>AND(#REF!,"AAAAAG/w6Z8=")</f>
        <v>#REF!</v>
      </c>
      <c r="FE30" t="e">
        <f>IF(#REF!,"AAAAAG/w6aA=",0)</f>
        <v>#REF!</v>
      </c>
      <c r="FF30" t="e">
        <f>AND(#REF!,"AAAAAG/w6aE=")</f>
        <v>#REF!</v>
      </c>
      <c r="FG30" t="e">
        <f>AND(#REF!,"AAAAAG/w6aI=")</f>
        <v>#REF!</v>
      </c>
      <c r="FH30" t="e">
        <f>AND(#REF!,"AAAAAG/w6aM=")</f>
        <v>#REF!</v>
      </c>
      <c r="FI30" t="e">
        <f>AND(#REF!,"AAAAAG/w6aQ=")</f>
        <v>#REF!</v>
      </c>
      <c r="FJ30" t="e">
        <f>AND(#REF!,"AAAAAG/w6aU=")</f>
        <v>#REF!</v>
      </c>
      <c r="FK30" t="e">
        <f>AND(#REF!,"AAAAAG/w6aY=")</f>
        <v>#REF!</v>
      </c>
      <c r="FL30" t="e">
        <f>AND(#REF!,"AAAAAG/w6ac=")</f>
        <v>#REF!</v>
      </c>
      <c r="FM30" t="e">
        <f>AND(#REF!,"AAAAAG/w6ag=")</f>
        <v>#REF!</v>
      </c>
      <c r="FN30" t="e">
        <f>AND(#REF!,"AAAAAG/w6ak=")</f>
        <v>#REF!</v>
      </c>
      <c r="FO30" t="e">
        <f>IF(#REF!,"AAAAAG/w6ao=",0)</f>
        <v>#REF!</v>
      </c>
      <c r="FP30" t="e">
        <f>AND(#REF!,"AAAAAG/w6as=")</f>
        <v>#REF!</v>
      </c>
      <c r="FQ30" t="e">
        <f>AND(#REF!,"AAAAAG/w6aw=")</f>
        <v>#REF!</v>
      </c>
      <c r="FR30" t="e">
        <f>AND(#REF!,"AAAAAG/w6a0=")</f>
        <v>#REF!</v>
      </c>
      <c r="FS30" t="e">
        <f>AND(#REF!,"AAAAAG/w6a4=")</f>
        <v>#REF!</v>
      </c>
      <c r="FT30" t="e">
        <f>AND(#REF!,"AAAAAG/w6a8=")</f>
        <v>#REF!</v>
      </c>
      <c r="FU30" t="e">
        <f>AND(#REF!,"AAAAAG/w6bA=")</f>
        <v>#REF!</v>
      </c>
      <c r="FV30" t="e">
        <f>AND(#REF!,"AAAAAG/w6bE=")</f>
        <v>#REF!</v>
      </c>
      <c r="FW30" t="e">
        <f>AND(#REF!,"AAAAAG/w6bI=")</f>
        <v>#REF!</v>
      </c>
      <c r="FX30" t="e">
        <f>AND(#REF!,"AAAAAG/w6bM=")</f>
        <v>#REF!</v>
      </c>
      <c r="FY30" t="e">
        <f>IF(#REF!,"AAAAAG/w6bQ=",0)</f>
        <v>#REF!</v>
      </c>
      <c r="FZ30" t="e">
        <f>AND(#REF!,"AAAAAG/w6bU=")</f>
        <v>#REF!</v>
      </c>
      <c r="GA30" t="e">
        <f>AND(#REF!,"AAAAAG/w6bY=")</f>
        <v>#REF!</v>
      </c>
      <c r="GB30" t="e">
        <f>AND(#REF!,"AAAAAG/w6bc=")</f>
        <v>#REF!</v>
      </c>
      <c r="GC30" t="e">
        <f>AND(#REF!,"AAAAAG/w6bg=")</f>
        <v>#REF!</v>
      </c>
      <c r="GD30" t="e">
        <f>AND(#REF!,"AAAAAG/w6bk=")</f>
        <v>#REF!</v>
      </c>
      <c r="GE30" t="e">
        <f>AND(#REF!,"AAAAAG/w6bo=")</f>
        <v>#REF!</v>
      </c>
      <c r="GF30" t="e">
        <f>AND(#REF!,"AAAAAG/w6bs=")</f>
        <v>#REF!</v>
      </c>
      <c r="GG30" t="e">
        <f>AND(#REF!,"AAAAAG/w6bw=")</f>
        <v>#REF!</v>
      </c>
      <c r="GH30" t="e">
        <f>AND(#REF!,"AAAAAG/w6b0=")</f>
        <v>#REF!</v>
      </c>
      <c r="GI30" t="e">
        <f>IF(#REF!,"AAAAAG/w6b4=",0)</f>
        <v>#REF!</v>
      </c>
      <c r="GJ30" t="e">
        <f>AND(#REF!,"AAAAAG/w6b8=")</f>
        <v>#REF!</v>
      </c>
      <c r="GK30" t="e">
        <f>AND(#REF!,"AAAAAG/w6cA=")</f>
        <v>#REF!</v>
      </c>
      <c r="GL30" t="e">
        <f>AND(#REF!,"AAAAAG/w6cE=")</f>
        <v>#REF!</v>
      </c>
      <c r="GM30" t="e">
        <f>AND(#REF!,"AAAAAG/w6cI=")</f>
        <v>#REF!</v>
      </c>
      <c r="GN30" t="e">
        <f>AND(#REF!,"AAAAAG/w6cM=")</f>
        <v>#REF!</v>
      </c>
      <c r="GO30" t="e">
        <f>AND(#REF!,"AAAAAG/w6cQ=")</f>
        <v>#REF!</v>
      </c>
      <c r="GP30" t="e">
        <f>AND(#REF!,"AAAAAG/w6cU=")</f>
        <v>#REF!</v>
      </c>
      <c r="GQ30" t="e">
        <f>AND(#REF!,"AAAAAG/w6cY=")</f>
        <v>#REF!</v>
      </c>
      <c r="GR30" t="e">
        <f>AND(#REF!,"AAAAAG/w6cc=")</f>
        <v>#REF!</v>
      </c>
      <c r="GS30" t="e">
        <f>IF(#REF!,"AAAAAG/w6cg=",0)</f>
        <v>#REF!</v>
      </c>
      <c r="GT30" t="e">
        <f>AND(#REF!,"AAAAAG/w6ck=")</f>
        <v>#REF!</v>
      </c>
      <c r="GU30" t="e">
        <f>AND(#REF!,"AAAAAG/w6co=")</f>
        <v>#REF!</v>
      </c>
      <c r="GV30" t="e">
        <f>AND(#REF!,"AAAAAG/w6cs=")</f>
        <v>#REF!</v>
      </c>
      <c r="GW30" t="e">
        <f>AND(#REF!,"AAAAAG/w6cw=")</f>
        <v>#REF!</v>
      </c>
      <c r="GX30" t="e">
        <f>AND(#REF!,"AAAAAG/w6c0=")</f>
        <v>#REF!</v>
      </c>
      <c r="GY30" t="e">
        <f>AND(#REF!,"AAAAAG/w6c4=")</f>
        <v>#REF!</v>
      </c>
      <c r="GZ30" t="e">
        <f>AND(#REF!,"AAAAAG/w6c8=")</f>
        <v>#REF!</v>
      </c>
      <c r="HA30" t="e">
        <f>AND(#REF!,"AAAAAG/w6dA=")</f>
        <v>#REF!</v>
      </c>
      <c r="HB30" t="e">
        <f>AND(#REF!,"AAAAAG/w6dE=")</f>
        <v>#REF!</v>
      </c>
      <c r="HC30" t="e">
        <f>IF(#REF!,"AAAAAG/w6dI=",0)</f>
        <v>#REF!</v>
      </c>
      <c r="HD30" t="e">
        <f>AND(#REF!,"AAAAAG/w6dM=")</f>
        <v>#REF!</v>
      </c>
      <c r="HE30" t="e">
        <f>AND(#REF!,"AAAAAG/w6dQ=")</f>
        <v>#REF!</v>
      </c>
      <c r="HF30" t="e">
        <f>AND(#REF!,"AAAAAG/w6dU=")</f>
        <v>#REF!</v>
      </c>
      <c r="HG30" t="e">
        <f>AND(#REF!,"AAAAAG/w6dY=")</f>
        <v>#REF!</v>
      </c>
      <c r="HH30" t="e">
        <f>AND(#REF!,"AAAAAG/w6dc=")</f>
        <v>#REF!</v>
      </c>
      <c r="HI30" t="e">
        <f>AND(#REF!,"AAAAAG/w6dg=")</f>
        <v>#REF!</v>
      </c>
      <c r="HJ30" t="e">
        <f>AND(#REF!,"AAAAAG/w6dk=")</f>
        <v>#REF!</v>
      </c>
      <c r="HK30" t="e">
        <f>AND(#REF!,"AAAAAG/w6do=")</f>
        <v>#REF!</v>
      </c>
      <c r="HL30" t="e">
        <f>AND(#REF!,"AAAAAG/w6ds=")</f>
        <v>#REF!</v>
      </c>
      <c r="HM30" t="e">
        <f>IF(#REF!,"AAAAAG/w6dw=",0)</f>
        <v>#REF!</v>
      </c>
      <c r="HN30" t="e">
        <f>AND(#REF!,"AAAAAG/w6d0=")</f>
        <v>#REF!</v>
      </c>
      <c r="HO30" t="e">
        <f>AND(#REF!,"AAAAAG/w6d4=")</f>
        <v>#REF!</v>
      </c>
      <c r="HP30" t="e">
        <f>AND(#REF!,"AAAAAG/w6d8=")</f>
        <v>#REF!</v>
      </c>
      <c r="HQ30" t="e">
        <f>AND(#REF!,"AAAAAG/w6eA=")</f>
        <v>#REF!</v>
      </c>
      <c r="HR30" t="e">
        <f>AND(#REF!,"AAAAAG/w6eE=")</f>
        <v>#REF!</v>
      </c>
      <c r="HS30" t="e">
        <f>AND(#REF!,"AAAAAG/w6eI=")</f>
        <v>#REF!</v>
      </c>
      <c r="HT30" t="e">
        <f>AND(#REF!,"AAAAAG/w6eM=")</f>
        <v>#REF!</v>
      </c>
      <c r="HU30" t="e">
        <f>AND(#REF!,"AAAAAG/w6eQ=")</f>
        <v>#REF!</v>
      </c>
      <c r="HV30" t="e">
        <f>AND(#REF!,"AAAAAG/w6eU=")</f>
        <v>#REF!</v>
      </c>
      <c r="HW30" t="e">
        <f>IF(#REF!,"AAAAAG/w6eY=",0)</f>
        <v>#REF!</v>
      </c>
      <c r="HX30" t="e">
        <f>AND(#REF!,"AAAAAG/w6ec=")</f>
        <v>#REF!</v>
      </c>
      <c r="HY30" t="e">
        <f>AND(#REF!,"AAAAAG/w6eg=")</f>
        <v>#REF!</v>
      </c>
      <c r="HZ30" t="e">
        <f>AND(#REF!,"AAAAAG/w6ek=")</f>
        <v>#REF!</v>
      </c>
      <c r="IA30" t="e">
        <f>AND(#REF!,"AAAAAG/w6eo=")</f>
        <v>#REF!</v>
      </c>
      <c r="IB30" t="e">
        <f>AND(#REF!,"AAAAAG/w6es=")</f>
        <v>#REF!</v>
      </c>
      <c r="IC30" t="e">
        <f>AND(#REF!,"AAAAAG/w6ew=")</f>
        <v>#REF!</v>
      </c>
      <c r="ID30" t="e">
        <f>AND(#REF!,"AAAAAG/w6e0=")</f>
        <v>#REF!</v>
      </c>
      <c r="IE30" t="e">
        <f>AND(#REF!,"AAAAAG/w6e4=")</f>
        <v>#REF!</v>
      </c>
      <c r="IF30" t="e">
        <f>AND(#REF!,"AAAAAG/w6e8=")</f>
        <v>#REF!</v>
      </c>
      <c r="IG30" t="e">
        <f>IF(#REF!,"AAAAAG/w6fA=",0)</f>
        <v>#REF!</v>
      </c>
      <c r="IH30" t="e">
        <f>AND(#REF!,"AAAAAG/w6fE=")</f>
        <v>#REF!</v>
      </c>
      <c r="II30" t="e">
        <f>AND(#REF!,"AAAAAG/w6fI=")</f>
        <v>#REF!</v>
      </c>
      <c r="IJ30" t="e">
        <f>AND(#REF!,"AAAAAG/w6fM=")</f>
        <v>#REF!</v>
      </c>
      <c r="IK30" t="e">
        <f>AND(#REF!,"AAAAAG/w6fQ=")</f>
        <v>#REF!</v>
      </c>
      <c r="IL30" t="e">
        <f>AND(#REF!,"AAAAAG/w6fU=")</f>
        <v>#REF!</v>
      </c>
      <c r="IM30" t="e">
        <f>AND(#REF!,"AAAAAG/w6fY=")</f>
        <v>#REF!</v>
      </c>
      <c r="IN30" t="e">
        <f>AND(#REF!,"AAAAAG/w6fc=")</f>
        <v>#REF!</v>
      </c>
      <c r="IO30" t="e">
        <f>AND(#REF!,"AAAAAG/w6fg=")</f>
        <v>#REF!</v>
      </c>
      <c r="IP30" t="e">
        <f>AND(#REF!,"AAAAAG/w6fk=")</f>
        <v>#REF!</v>
      </c>
      <c r="IQ30" t="e">
        <f>IF(#REF!,"AAAAAG/w6fo=",0)</f>
        <v>#REF!</v>
      </c>
      <c r="IR30" t="e">
        <f>AND(#REF!,"AAAAAG/w6fs=")</f>
        <v>#REF!</v>
      </c>
      <c r="IS30" t="e">
        <f>AND(#REF!,"AAAAAG/w6fw=")</f>
        <v>#REF!</v>
      </c>
      <c r="IT30" t="e">
        <f>AND(#REF!,"AAAAAG/w6f0=")</f>
        <v>#REF!</v>
      </c>
      <c r="IU30" t="e">
        <f>AND(#REF!,"AAAAAG/w6f4=")</f>
        <v>#REF!</v>
      </c>
      <c r="IV30" t="e">
        <f>AND(#REF!,"AAAAAG/w6f8=")</f>
        <v>#REF!</v>
      </c>
    </row>
    <row r="31" spans="1:256">
      <c r="A31" t="e">
        <f>AND(#REF!,"AAAAAD3n+wA=")</f>
        <v>#REF!</v>
      </c>
      <c r="B31" t="e">
        <f>AND(#REF!,"AAAAAD3n+wE=")</f>
        <v>#REF!</v>
      </c>
      <c r="C31" t="e">
        <f>AND(#REF!,"AAAAAD3n+wI=")</f>
        <v>#REF!</v>
      </c>
      <c r="D31" t="e">
        <f>AND(#REF!,"AAAAAD3n+wM=")</f>
        <v>#REF!</v>
      </c>
      <c r="E31" t="e">
        <f>IF(#REF!,"AAAAAD3n+wQ=",0)</f>
        <v>#REF!</v>
      </c>
      <c r="F31" t="e">
        <f>AND(#REF!,"AAAAAD3n+wU=")</f>
        <v>#REF!</v>
      </c>
      <c r="G31" t="e">
        <f>AND(#REF!,"AAAAAD3n+wY=")</f>
        <v>#REF!</v>
      </c>
      <c r="H31" t="e">
        <f>AND(#REF!,"AAAAAD3n+wc=")</f>
        <v>#REF!</v>
      </c>
      <c r="I31" t="e">
        <f>AND(#REF!,"AAAAAD3n+wg=")</f>
        <v>#REF!</v>
      </c>
      <c r="J31" t="e">
        <f>AND(#REF!,"AAAAAD3n+wk=")</f>
        <v>#REF!</v>
      </c>
      <c r="K31" t="e">
        <f>AND(#REF!,"AAAAAD3n+wo=")</f>
        <v>#REF!</v>
      </c>
      <c r="L31" t="e">
        <f>AND(#REF!,"AAAAAD3n+ws=")</f>
        <v>#REF!</v>
      </c>
      <c r="M31" t="e">
        <f>AND(#REF!,"AAAAAD3n+ww=")</f>
        <v>#REF!</v>
      </c>
      <c r="N31" t="e">
        <f>AND(#REF!,"AAAAAD3n+w0=")</f>
        <v>#REF!</v>
      </c>
      <c r="O31" t="e">
        <f>IF(#REF!,"AAAAAD3n+w4=",0)</f>
        <v>#REF!</v>
      </c>
      <c r="P31" t="e">
        <f>AND(#REF!,"AAAAAD3n+w8=")</f>
        <v>#REF!</v>
      </c>
      <c r="Q31" t="e">
        <f>AND(#REF!,"AAAAAD3n+xA=")</f>
        <v>#REF!</v>
      </c>
      <c r="R31" t="e">
        <f>AND(#REF!,"AAAAAD3n+xE=")</f>
        <v>#REF!</v>
      </c>
      <c r="S31" t="e">
        <f>AND(#REF!,"AAAAAD3n+xI=")</f>
        <v>#REF!</v>
      </c>
      <c r="T31" t="e">
        <f>AND(#REF!,"AAAAAD3n+xM=")</f>
        <v>#REF!</v>
      </c>
      <c r="U31" t="e">
        <f>AND(#REF!,"AAAAAD3n+xQ=")</f>
        <v>#REF!</v>
      </c>
      <c r="V31" t="e">
        <f>AND(#REF!,"AAAAAD3n+xU=")</f>
        <v>#REF!</v>
      </c>
      <c r="W31" t="e">
        <f>AND(#REF!,"AAAAAD3n+xY=")</f>
        <v>#REF!</v>
      </c>
      <c r="X31" t="e">
        <f>AND(#REF!,"AAAAAD3n+xc=")</f>
        <v>#REF!</v>
      </c>
      <c r="Y31" t="e">
        <f>IF(#REF!,"AAAAAD3n+xg=",0)</f>
        <v>#REF!</v>
      </c>
      <c r="Z31" t="e">
        <f>AND(#REF!,"AAAAAD3n+xk=")</f>
        <v>#REF!</v>
      </c>
      <c r="AA31" t="e">
        <f>AND(#REF!,"AAAAAD3n+xo=")</f>
        <v>#REF!</v>
      </c>
      <c r="AB31" t="e">
        <f>AND(#REF!,"AAAAAD3n+xs=")</f>
        <v>#REF!</v>
      </c>
      <c r="AC31" t="e">
        <f>AND(#REF!,"AAAAAD3n+xw=")</f>
        <v>#REF!</v>
      </c>
      <c r="AD31" t="e">
        <f>AND(#REF!,"AAAAAD3n+x0=")</f>
        <v>#REF!</v>
      </c>
      <c r="AE31" t="e">
        <f>AND(#REF!,"AAAAAD3n+x4=")</f>
        <v>#REF!</v>
      </c>
      <c r="AF31" t="e">
        <f>AND(#REF!,"AAAAAD3n+x8=")</f>
        <v>#REF!</v>
      </c>
      <c r="AG31" t="e">
        <f>AND(#REF!,"AAAAAD3n+yA=")</f>
        <v>#REF!</v>
      </c>
      <c r="AH31" t="e">
        <f>AND(#REF!,"AAAAAD3n+yE=")</f>
        <v>#REF!</v>
      </c>
      <c r="AI31" t="e">
        <f>IF(#REF!,"AAAAAD3n+yI=",0)</f>
        <v>#REF!</v>
      </c>
      <c r="AJ31" t="e">
        <f>AND(#REF!,"AAAAAD3n+yM=")</f>
        <v>#REF!</v>
      </c>
      <c r="AK31" t="e">
        <f>AND(#REF!,"AAAAAD3n+yQ=")</f>
        <v>#REF!</v>
      </c>
      <c r="AL31" t="e">
        <f>AND(#REF!,"AAAAAD3n+yU=")</f>
        <v>#REF!</v>
      </c>
      <c r="AM31" t="e">
        <f>AND(#REF!,"AAAAAD3n+yY=")</f>
        <v>#REF!</v>
      </c>
      <c r="AN31" t="e">
        <f>AND(#REF!,"AAAAAD3n+yc=")</f>
        <v>#REF!</v>
      </c>
      <c r="AO31" t="e">
        <f>AND(#REF!,"AAAAAD3n+yg=")</f>
        <v>#REF!</v>
      </c>
      <c r="AP31" t="e">
        <f>AND(#REF!,"AAAAAD3n+yk=")</f>
        <v>#REF!</v>
      </c>
      <c r="AQ31" t="e">
        <f>AND(#REF!,"AAAAAD3n+yo=")</f>
        <v>#REF!</v>
      </c>
      <c r="AR31" t="e">
        <f>AND(#REF!,"AAAAAD3n+ys=")</f>
        <v>#REF!</v>
      </c>
      <c r="AS31" t="e">
        <f>IF(#REF!,"AAAAAD3n+yw=",0)</f>
        <v>#REF!</v>
      </c>
      <c r="AT31" t="e">
        <f>AND(#REF!,"AAAAAD3n+y0=")</f>
        <v>#REF!</v>
      </c>
      <c r="AU31" t="e">
        <f>AND(#REF!,"AAAAAD3n+y4=")</f>
        <v>#REF!</v>
      </c>
      <c r="AV31" t="e">
        <f>AND(#REF!,"AAAAAD3n+y8=")</f>
        <v>#REF!</v>
      </c>
      <c r="AW31" t="e">
        <f>AND(#REF!,"AAAAAD3n+zA=")</f>
        <v>#REF!</v>
      </c>
      <c r="AX31" t="e">
        <f>AND(#REF!,"AAAAAD3n+zE=")</f>
        <v>#REF!</v>
      </c>
      <c r="AY31" t="e">
        <f>AND(#REF!,"AAAAAD3n+zI=")</f>
        <v>#REF!</v>
      </c>
      <c r="AZ31" t="e">
        <f>AND(#REF!,"AAAAAD3n+zM=")</f>
        <v>#REF!</v>
      </c>
      <c r="BA31" t="e">
        <f>AND(#REF!,"AAAAAD3n+zQ=")</f>
        <v>#REF!</v>
      </c>
      <c r="BB31" t="e">
        <f>AND(#REF!,"AAAAAD3n+zU=")</f>
        <v>#REF!</v>
      </c>
      <c r="BC31" t="e">
        <f>IF(#REF!,"AAAAAD3n+zY=",0)</f>
        <v>#REF!</v>
      </c>
      <c r="BD31" t="e">
        <f>AND(#REF!,"AAAAAD3n+zc=")</f>
        <v>#REF!</v>
      </c>
      <c r="BE31" t="e">
        <f>AND(#REF!,"AAAAAD3n+zg=")</f>
        <v>#REF!</v>
      </c>
      <c r="BF31" t="e">
        <f>AND(#REF!,"AAAAAD3n+zk=")</f>
        <v>#REF!</v>
      </c>
      <c r="BG31" t="e">
        <f>AND(#REF!,"AAAAAD3n+zo=")</f>
        <v>#REF!</v>
      </c>
      <c r="BH31" t="e">
        <f>AND(#REF!,"AAAAAD3n+zs=")</f>
        <v>#REF!</v>
      </c>
      <c r="BI31" t="e">
        <f>AND(#REF!,"AAAAAD3n+zw=")</f>
        <v>#REF!</v>
      </c>
      <c r="BJ31" t="e">
        <f>AND(#REF!,"AAAAAD3n+z0=")</f>
        <v>#REF!</v>
      </c>
      <c r="BK31" t="e">
        <f>AND(#REF!,"AAAAAD3n+z4=")</f>
        <v>#REF!</v>
      </c>
      <c r="BL31" t="e">
        <f>AND(#REF!,"AAAAAD3n+z8=")</f>
        <v>#REF!</v>
      </c>
      <c r="BM31" t="e">
        <f>IF(#REF!,"AAAAAD3n+0A=",0)</f>
        <v>#REF!</v>
      </c>
      <c r="BN31" t="e">
        <f>AND(#REF!,"AAAAAD3n+0E=")</f>
        <v>#REF!</v>
      </c>
      <c r="BO31" t="e">
        <f>AND(#REF!,"AAAAAD3n+0I=")</f>
        <v>#REF!</v>
      </c>
      <c r="BP31" t="e">
        <f>AND(#REF!,"AAAAAD3n+0M=")</f>
        <v>#REF!</v>
      </c>
      <c r="BQ31" t="e">
        <f>AND(#REF!,"AAAAAD3n+0Q=")</f>
        <v>#REF!</v>
      </c>
      <c r="BR31" t="e">
        <f>AND(#REF!,"AAAAAD3n+0U=")</f>
        <v>#REF!</v>
      </c>
      <c r="BS31" t="e">
        <f>AND(#REF!,"AAAAAD3n+0Y=")</f>
        <v>#REF!</v>
      </c>
      <c r="BT31" t="e">
        <f>AND(#REF!,"AAAAAD3n+0c=")</f>
        <v>#REF!</v>
      </c>
      <c r="BU31" t="e">
        <f>AND(#REF!,"AAAAAD3n+0g=")</f>
        <v>#REF!</v>
      </c>
      <c r="BV31" t="e">
        <f>AND(#REF!,"AAAAAD3n+0k=")</f>
        <v>#REF!</v>
      </c>
      <c r="BW31" t="e">
        <f>IF(#REF!,"AAAAAD3n+0o=",0)</f>
        <v>#REF!</v>
      </c>
      <c r="BX31" t="e">
        <f>AND(#REF!,"AAAAAD3n+0s=")</f>
        <v>#REF!</v>
      </c>
      <c r="BY31" t="e">
        <f>AND(#REF!,"AAAAAD3n+0w=")</f>
        <v>#REF!</v>
      </c>
      <c r="BZ31" t="e">
        <f>AND(#REF!,"AAAAAD3n+00=")</f>
        <v>#REF!</v>
      </c>
      <c r="CA31" t="e">
        <f>AND(#REF!,"AAAAAD3n+04=")</f>
        <v>#REF!</v>
      </c>
      <c r="CB31" t="e">
        <f>AND(#REF!,"AAAAAD3n+08=")</f>
        <v>#REF!</v>
      </c>
      <c r="CC31" t="e">
        <f>AND(#REF!,"AAAAAD3n+1A=")</f>
        <v>#REF!</v>
      </c>
      <c r="CD31" t="e">
        <f>AND(#REF!,"AAAAAD3n+1E=")</f>
        <v>#REF!</v>
      </c>
      <c r="CE31" t="e">
        <f>AND(#REF!,"AAAAAD3n+1I=")</f>
        <v>#REF!</v>
      </c>
      <c r="CF31" t="e">
        <f>AND(#REF!,"AAAAAD3n+1M=")</f>
        <v>#REF!</v>
      </c>
      <c r="CG31" t="e">
        <f>IF(#REF!,"AAAAAD3n+1Q=",0)</f>
        <v>#REF!</v>
      </c>
      <c r="CH31" t="e">
        <f>AND(#REF!,"AAAAAD3n+1U=")</f>
        <v>#REF!</v>
      </c>
      <c r="CI31" t="e">
        <f>AND(#REF!,"AAAAAD3n+1Y=")</f>
        <v>#REF!</v>
      </c>
      <c r="CJ31" t="e">
        <f>AND(#REF!,"AAAAAD3n+1c=")</f>
        <v>#REF!</v>
      </c>
      <c r="CK31" t="e">
        <f>AND(#REF!,"AAAAAD3n+1g=")</f>
        <v>#REF!</v>
      </c>
      <c r="CL31" t="e">
        <f>AND(#REF!,"AAAAAD3n+1k=")</f>
        <v>#REF!</v>
      </c>
      <c r="CM31" t="e">
        <f>AND(#REF!,"AAAAAD3n+1o=")</f>
        <v>#REF!</v>
      </c>
      <c r="CN31" t="e">
        <f>AND(#REF!,"AAAAAD3n+1s=")</f>
        <v>#REF!</v>
      </c>
      <c r="CO31" t="e">
        <f>AND(#REF!,"AAAAAD3n+1w=")</f>
        <v>#REF!</v>
      </c>
      <c r="CP31" t="e">
        <f>AND(#REF!,"AAAAAD3n+10=")</f>
        <v>#REF!</v>
      </c>
      <c r="CQ31" t="e">
        <f>IF(#REF!,"AAAAAD3n+14=",0)</f>
        <v>#REF!</v>
      </c>
      <c r="CR31" t="e">
        <f>AND(#REF!,"AAAAAD3n+18=")</f>
        <v>#REF!</v>
      </c>
      <c r="CS31" t="e">
        <f>AND(#REF!,"AAAAAD3n+2A=")</f>
        <v>#REF!</v>
      </c>
      <c r="CT31" t="e">
        <f>AND(#REF!,"AAAAAD3n+2E=")</f>
        <v>#REF!</v>
      </c>
      <c r="CU31" t="e">
        <f>AND(#REF!,"AAAAAD3n+2I=")</f>
        <v>#REF!</v>
      </c>
      <c r="CV31" t="e">
        <f>AND(#REF!,"AAAAAD3n+2M=")</f>
        <v>#REF!</v>
      </c>
      <c r="CW31" t="e">
        <f>AND(#REF!,"AAAAAD3n+2Q=")</f>
        <v>#REF!</v>
      </c>
      <c r="CX31" t="e">
        <f>AND(#REF!,"AAAAAD3n+2U=")</f>
        <v>#REF!</v>
      </c>
      <c r="CY31" t="e">
        <f>AND(#REF!,"AAAAAD3n+2Y=")</f>
        <v>#REF!</v>
      </c>
      <c r="CZ31" t="e">
        <f>AND(#REF!,"AAAAAD3n+2c=")</f>
        <v>#REF!</v>
      </c>
      <c r="DA31" t="e">
        <f>IF(#REF!,"AAAAAD3n+2g=",0)</f>
        <v>#REF!</v>
      </c>
      <c r="DB31" t="e">
        <f>AND(#REF!,"AAAAAD3n+2k=")</f>
        <v>#REF!</v>
      </c>
      <c r="DC31" t="e">
        <f>AND(#REF!,"AAAAAD3n+2o=")</f>
        <v>#REF!</v>
      </c>
      <c r="DD31" t="e">
        <f>AND(#REF!,"AAAAAD3n+2s=")</f>
        <v>#REF!</v>
      </c>
      <c r="DE31" t="e">
        <f>AND(#REF!,"AAAAAD3n+2w=")</f>
        <v>#REF!</v>
      </c>
      <c r="DF31" t="e">
        <f>AND(#REF!,"AAAAAD3n+20=")</f>
        <v>#REF!</v>
      </c>
      <c r="DG31" t="e">
        <f>AND(#REF!,"AAAAAD3n+24=")</f>
        <v>#REF!</v>
      </c>
      <c r="DH31" t="e">
        <f>AND(#REF!,"AAAAAD3n+28=")</f>
        <v>#REF!</v>
      </c>
      <c r="DI31" t="e">
        <f>AND(#REF!,"AAAAAD3n+3A=")</f>
        <v>#REF!</v>
      </c>
      <c r="DJ31" t="e">
        <f>AND(#REF!,"AAAAAD3n+3E=")</f>
        <v>#REF!</v>
      </c>
      <c r="DK31" t="e">
        <f>IF(#REF!,"AAAAAD3n+3I=",0)</f>
        <v>#REF!</v>
      </c>
      <c r="DL31" t="e">
        <f>AND(#REF!,"AAAAAD3n+3M=")</f>
        <v>#REF!</v>
      </c>
      <c r="DM31" t="e">
        <f>AND(#REF!,"AAAAAD3n+3Q=")</f>
        <v>#REF!</v>
      </c>
      <c r="DN31" t="e">
        <f>AND(#REF!,"AAAAAD3n+3U=")</f>
        <v>#REF!</v>
      </c>
      <c r="DO31" t="e">
        <f>AND(#REF!,"AAAAAD3n+3Y=")</f>
        <v>#REF!</v>
      </c>
      <c r="DP31" t="e">
        <f>AND(#REF!,"AAAAAD3n+3c=")</f>
        <v>#REF!</v>
      </c>
      <c r="DQ31" t="e">
        <f>AND(#REF!,"AAAAAD3n+3g=")</f>
        <v>#REF!</v>
      </c>
      <c r="DR31" t="e">
        <f>AND(#REF!,"AAAAAD3n+3k=")</f>
        <v>#REF!</v>
      </c>
      <c r="DS31" t="e">
        <f>AND(#REF!,"AAAAAD3n+3o=")</f>
        <v>#REF!</v>
      </c>
      <c r="DT31" t="e">
        <f>AND(#REF!,"AAAAAD3n+3s=")</f>
        <v>#REF!</v>
      </c>
      <c r="DU31" t="e">
        <f>IF(#REF!,"AAAAAD3n+3w=",0)</f>
        <v>#REF!</v>
      </c>
      <c r="DV31" t="e">
        <f>AND(#REF!,"AAAAAD3n+30=")</f>
        <v>#REF!</v>
      </c>
      <c r="DW31" t="e">
        <f>AND(#REF!,"AAAAAD3n+34=")</f>
        <v>#REF!</v>
      </c>
      <c r="DX31" t="e">
        <f>AND(#REF!,"AAAAAD3n+38=")</f>
        <v>#REF!</v>
      </c>
      <c r="DY31" t="e">
        <f>AND(#REF!,"AAAAAD3n+4A=")</f>
        <v>#REF!</v>
      </c>
      <c r="DZ31" t="e">
        <f>AND(#REF!,"AAAAAD3n+4E=")</f>
        <v>#REF!</v>
      </c>
      <c r="EA31" t="e">
        <f>AND(#REF!,"AAAAAD3n+4I=")</f>
        <v>#REF!</v>
      </c>
      <c r="EB31" t="e">
        <f>AND(#REF!,"AAAAAD3n+4M=")</f>
        <v>#REF!</v>
      </c>
      <c r="EC31" t="e">
        <f>AND(#REF!,"AAAAAD3n+4Q=")</f>
        <v>#REF!</v>
      </c>
      <c r="ED31" t="e">
        <f>AND(#REF!,"AAAAAD3n+4U=")</f>
        <v>#REF!</v>
      </c>
      <c r="EE31" t="e">
        <f>IF(#REF!,"AAAAAD3n+4Y=",0)</f>
        <v>#REF!</v>
      </c>
      <c r="EF31" t="e">
        <f>AND(#REF!,"AAAAAD3n+4c=")</f>
        <v>#REF!</v>
      </c>
      <c r="EG31" t="e">
        <f>AND(#REF!,"AAAAAD3n+4g=")</f>
        <v>#REF!</v>
      </c>
      <c r="EH31" t="e">
        <f>AND(#REF!,"AAAAAD3n+4k=")</f>
        <v>#REF!</v>
      </c>
      <c r="EI31" t="e">
        <f>AND(#REF!,"AAAAAD3n+4o=")</f>
        <v>#REF!</v>
      </c>
      <c r="EJ31" t="e">
        <f>AND(#REF!,"AAAAAD3n+4s=")</f>
        <v>#REF!</v>
      </c>
      <c r="EK31" t="e">
        <f>AND(#REF!,"AAAAAD3n+4w=")</f>
        <v>#REF!</v>
      </c>
      <c r="EL31" t="e">
        <f>AND(#REF!,"AAAAAD3n+40=")</f>
        <v>#REF!</v>
      </c>
      <c r="EM31" t="e">
        <f>AND(#REF!,"AAAAAD3n+44=")</f>
        <v>#REF!</v>
      </c>
      <c r="EN31" t="e">
        <f>AND(#REF!,"AAAAAD3n+48=")</f>
        <v>#REF!</v>
      </c>
      <c r="EO31" t="e">
        <f>IF(#REF!,"AAAAAD3n+5A=",0)</f>
        <v>#REF!</v>
      </c>
      <c r="EP31" t="e">
        <f>AND(#REF!,"AAAAAD3n+5E=")</f>
        <v>#REF!</v>
      </c>
      <c r="EQ31" t="e">
        <f>AND(#REF!,"AAAAAD3n+5I=")</f>
        <v>#REF!</v>
      </c>
      <c r="ER31" t="e">
        <f>AND(#REF!,"AAAAAD3n+5M=")</f>
        <v>#REF!</v>
      </c>
      <c r="ES31" t="e">
        <f>AND(#REF!,"AAAAAD3n+5Q=")</f>
        <v>#REF!</v>
      </c>
      <c r="ET31" t="e">
        <f>AND(#REF!,"AAAAAD3n+5U=")</f>
        <v>#REF!</v>
      </c>
      <c r="EU31" t="e">
        <f>AND(#REF!,"AAAAAD3n+5Y=")</f>
        <v>#REF!</v>
      </c>
      <c r="EV31" t="e">
        <f>AND(#REF!,"AAAAAD3n+5c=")</f>
        <v>#REF!</v>
      </c>
      <c r="EW31" t="e">
        <f>AND(#REF!,"AAAAAD3n+5g=")</f>
        <v>#REF!</v>
      </c>
      <c r="EX31" t="e">
        <f>AND(#REF!,"AAAAAD3n+5k=")</f>
        <v>#REF!</v>
      </c>
      <c r="EY31" t="e">
        <f>IF(#REF!,"AAAAAD3n+5o=",0)</f>
        <v>#REF!</v>
      </c>
      <c r="EZ31" t="e">
        <f>AND(#REF!,"AAAAAD3n+5s=")</f>
        <v>#REF!</v>
      </c>
      <c r="FA31" t="e">
        <f>AND(#REF!,"AAAAAD3n+5w=")</f>
        <v>#REF!</v>
      </c>
      <c r="FB31" t="e">
        <f>AND(#REF!,"AAAAAD3n+50=")</f>
        <v>#REF!</v>
      </c>
      <c r="FC31" t="e">
        <f>AND(#REF!,"AAAAAD3n+54=")</f>
        <v>#REF!</v>
      </c>
      <c r="FD31" t="e">
        <f>AND(#REF!,"AAAAAD3n+58=")</f>
        <v>#REF!</v>
      </c>
      <c r="FE31" t="e">
        <f>AND(#REF!,"AAAAAD3n+6A=")</f>
        <v>#REF!</v>
      </c>
      <c r="FF31" t="e">
        <f>AND(#REF!,"AAAAAD3n+6E=")</f>
        <v>#REF!</v>
      </c>
      <c r="FG31" t="e">
        <f>AND(#REF!,"AAAAAD3n+6I=")</f>
        <v>#REF!</v>
      </c>
      <c r="FH31" t="e">
        <f>AND(#REF!,"AAAAAD3n+6M=")</f>
        <v>#REF!</v>
      </c>
      <c r="FI31" t="e">
        <f>IF(#REF!,"AAAAAD3n+6Q=",0)</f>
        <v>#REF!</v>
      </c>
      <c r="FJ31" t="e">
        <f>AND(#REF!,"AAAAAD3n+6U=")</f>
        <v>#REF!</v>
      </c>
      <c r="FK31" t="e">
        <f>AND(#REF!,"AAAAAD3n+6Y=")</f>
        <v>#REF!</v>
      </c>
      <c r="FL31" t="e">
        <f>AND(#REF!,"AAAAAD3n+6c=")</f>
        <v>#REF!</v>
      </c>
      <c r="FM31" t="e">
        <f>AND(#REF!,"AAAAAD3n+6g=")</f>
        <v>#REF!</v>
      </c>
      <c r="FN31" t="e">
        <f>AND(#REF!,"AAAAAD3n+6k=")</f>
        <v>#REF!</v>
      </c>
      <c r="FO31" t="e">
        <f>AND(#REF!,"AAAAAD3n+6o=")</f>
        <v>#REF!</v>
      </c>
      <c r="FP31" t="e">
        <f>AND(#REF!,"AAAAAD3n+6s=")</f>
        <v>#REF!</v>
      </c>
      <c r="FQ31" t="e">
        <f>AND(#REF!,"AAAAAD3n+6w=")</f>
        <v>#REF!</v>
      </c>
      <c r="FR31" t="e">
        <f>AND(#REF!,"AAAAAD3n+60=")</f>
        <v>#REF!</v>
      </c>
      <c r="FS31" t="e">
        <f>IF(#REF!,"AAAAAD3n+64=",0)</f>
        <v>#REF!</v>
      </c>
      <c r="FT31" t="e">
        <f>AND(#REF!,"AAAAAD3n+68=")</f>
        <v>#REF!</v>
      </c>
      <c r="FU31" t="e">
        <f>AND(#REF!,"AAAAAD3n+7A=")</f>
        <v>#REF!</v>
      </c>
      <c r="FV31" t="e">
        <f>AND(#REF!,"AAAAAD3n+7E=")</f>
        <v>#REF!</v>
      </c>
      <c r="FW31" t="e">
        <f>AND(#REF!,"AAAAAD3n+7I=")</f>
        <v>#REF!</v>
      </c>
      <c r="FX31" t="e">
        <f>AND(#REF!,"AAAAAD3n+7M=")</f>
        <v>#REF!</v>
      </c>
      <c r="FY31" t="e">
        <f>AND(#REF!,"AAAAAD3n+7Q=")</f>
        <v>#REF!</v>
      </c>
      <c r="FZ31" t="e">
        <f>AND(#REF!,"AAAAAD3n+7U=")</f>
        <v>#REF!</v>
      </c>
      <c r="GA31" t="e">
        <f>AND(#REF!,"AAAAAD3n+7Y=")</f>
        <v>#REF!</v>
      </c>
      <c r="GB31" t="e">
        <f>AND(#REF!,"AAAAAD3n+7c=")</f>
        <v>#REF!</v>
      </c>
      <c r="GC31" t="e">
        <f>IF(#REF!,"AAAAAD3n+7g=",0)</f>
        <v>#REF!</v>
      </c>
      <c r="GD31" t="e">
        <f>AND(#REF!,"AAAAAD3n+7k=")</f>
        <v>#REF!</v>
      </c>
      <c r="GE31" t="e">
        <f>AND(#REF!,"AAAAAD3n+7o=")</f>
        <v>#REF!</v>
      </c>
      <c r="GF31" t="e">
        <f>AND(#REF!,"AAAAAD3n+7s=")</f>
        <v>#REF!</v>
      </c>
      <c r="GG31" t="e">
        <f>AND(#REF!,"AAAAAD3n+7w=")</f>
        <v>#REF!</v>
      </c>
      <c r="GH31" t="e">
        <f>AND(#REF!,"AAAAAD3n+70=")</f>
        <v>#REF!</v>
      </c>
      <c r="GI31" t="e">
        <f>AND(#REF!,"AAAAAD3n+74=")</f>
        <v>#REF!</v>
      </c>
      <c r="GJ31" t="e">
        <f>AND(#REF!,"AAAAAD3n+78=")</f>
        <v>#REF!</v>
      </c>
      <c r="GK31" t="e">
        <f>AND(#REF!,"AAAAAD3n+8A=")</f>
        <v>#REF!</v>
      </c>
      <c r="GL31" t="e">
        <f>AND(#REF!,"AAAAAD3n+8E=")</f>
        <v>#REF!</v>
      </c>
      <c r="GM31" t="e">
        <f>IF(#REF!,"AAAAAD3n+8I=",0)</f>
        <v>#REF!</v>
      </c>
      <c r="GN31" t="e">
        <f>AND(#REF!,"AAAAAD3n+8M=")</f>
        <v>#REF!</v>
      </c>
      <c r="GO31" t="e">
        <f>AND(#REF!,"AAAAAD3n+8Q=")</f>
        <v>#REF!</v>
      </c>
      <c r="GP31" t="e">
        <f>AND(#REF!,"AAAAAD3n+8U=")</f>
        <v>#REF!</v>
      </c>
      <c r="GQ31" t="e">
        <f>AND(#REF!,"AAAAAD3n+8Y=")</f>
        <v>#REF!</v>
      </c>
      <c r="GR31" t="e">
        <f>AND(#REF!,"AAAAAD3n+8c=")</f>
        <v>#REF!</v>
      </c>
      <c r="GS31" t="e">
        <f>AND(#REF!,"AAAAAD3n+8g=")</f>
        <v>#REF!</v>
      </c>
      <c r="GT31" t="e">
        <f>AND(#REF!,"AAAAAD3n+8k=")</f>
        <v>#REF!</v>
      </c>
      <c r="GU31" t="e">
        <f>AND(#REF!,"AAAAAD3n+8o=")</f>
        <v>#REF!</v>
      </c>
      <c r="GV31" t="e">
        <f>AND(#REF!,"AAAAAD3n+8s=")</f>
        <v>#REF!</v>
      </c>
      <c r="GW31" t="e">
        <f>IF(#REF!,"AAAAAD3n+8w=",0)</f>
        <v>#REF!</v>
      </c>
      <c r="GX31" t="e">
        <f>AND(#REF!,"AAAAAD3n+80=")</f>
        <v>#REF!</v>
      </c>
      <c r="GY31" t="e">
        <f>AND(#REF!,"AAAAAD3n+84=")</f>
        <v>#REF!</v>
      </c>
      <c r="GZ31" t="e">
        <f>AND(#REF!,"AAAAAD3n+88=")</f>
        <v>#REF!</v>
      </c>
      <c r="HA31" t="e">
        <f>AND(#REF!,"AAAAAD3n+9A=")</f>
        <v>#REF!</v>
      </c>
      <c r="HB31" t="e">
        <f>AND(#REF!,"AAAAAD3n+9E=")</f>
        <v>#REF!</v>
      </c>
      <c r="HC31" t="e">
        <f>AND(#REF!,"AAAAAD3n+9I=")</f>
        <v>#REF!</v>
      </c>
      <c r="HD31" t="e">
        <f>AND(#REF!,"AAAAAD3n+9M=")</f>
        <v>#REF!</v>
      </c>
      <c r="HE31" t="e">
        <f>AND(#REF!,"AAAAAD3n+9Q=")</f>
        <v>#REF!</v>
      </c>
      <c r="HF31" t="e">
        <f>AND(#REF!,"AAAAAD3n+9U=")</f>
        <v>#REF!</v>
      </c>
      <c r="HG31" t="e">
        <f>IF(#REF!,"AAAAAD3n+9Y=",0)</f>
        <v>#REF!</v>
      </c>
      <c r="HH31" t="e">
        <f>AND(#REF!,"AAAAAD3n+9c=")</f>
        <v>#REF!</v>
      </c>
      <c r="HI31" t="e">
        <f>AND(#REF!,"AAAAAD3n+9g=")</f>
        <v>#REF!</v>
      </c>
      <c r="HJ31" t="e">
        <f>AND(#REF!,"AAAAAD3n+9k=")</f>
        <v>#REF!</v>
      </c>
      <c r="HK31" t="e">
        <f>AND(#REF!,"AAAAAD3n+9o=")</f>
        <v>#REF!</v>
      </c>
      <c r="HL31" t="e">
        <f>AND(#REF!,"AAAAAD3n+9s=")</f>
        <v>#REF!</v>
      </c>
      <c r="HM31" t="e">
        <f>AND(#REF!,"AAAAAD3n+9w=")</f>
        <v>#REF!</v>
      </c>
      <c r="HN31" t="e">
        <f>AND(#REF!,"AAAAAD3n+90=")</f>
        <v>#REF!</v>
      </c>
      <c r="HO31" t="e">
        <f>AND(#REF!,"AAAAAD3n+94=")</f>
        <v>#REF!</v>
      </c>
      <c r="HP31" t="e">
        <f>AND(#REF!,"AAAAAD3n+98=")</f>
        <v>#REF!</v>
      </c>
      <c r="HQ31" t="e">
        <f>IF(#REF!,"AAAAAD3n++A=",0)</f>
        <v>#REF!</v>
      </c>
      <c r="HR31" t="e">
        <f>AND(#REF!,"AAAAAD3n++E=")</f>
        <v>#REF!</v>
      </c>
      <c r="HS31" t="e">
        <f>AND(#REF!,"AAAAAD3n++I=")</f>
        <v>#REF!</v>
      </c>
      <c r="HT31" t="e">
        <f>AND(#REF!,"AAAAAD3n++M=")</f>
        <v>#REF!</v>
      </c>
      <c r="HU31" t="e">
        <f>AND(#REF!,"AAAAAD3n++Q=")</f>
        <v>#REF!</v>
      </c>
      <c r="HV31" t="e">
        <f>AND(#REF!,"AAAAAD3n++U=")</f>
        <v>#REF!</v>
      </c>
      <c r="HW31" t="e">
        <f>AND(#REF!,"AAAAAD3n++Y=")</f>
        <v>#REF!</v>
      </c>
      <c r="HX31" t="e">
        <f>AND(#REF!,"AAAAAD3n++c=")</f>
        <v>#REF!</v>
      </c>
      <c r="HY31" t="e">
        <f>AND(#REF!,"AAAAAD3n++g=")</f>
        <v>#REF!</v>
      </c>
      <c r="HZ31" t="e">
        <f>AND(#REF!,"AAAAAD3n++k=")</f>
        <v>#REF!</v>
      </c>
      <c r="IA31" t="e">
        <f>IF(#REF!,"AAAAAD3n++o=",0)</f>
        <v>#REF!</v>
      </c>
      <c r="IB31" t="e">
        <f>AND(#REF!,"AAAAAD3n++s=")</f>
        <v>#REF!</v>
      </c>
      <c r="IC31" t="e">
        <f>AND(#REF!,"AAAAAD3n++w=")</f>
        <v>#REF!</v>
      </c>
      <c r="ID31" t="e">
        <f>AND(#REF!,"AAAAAD3n++0=")</f>
        <v>#REF!</v>
      </c>
      <c r="IE31" t="e">
        <f>AND(#REF!,"AAAAAD3n++4=")</f>
        <v>#REF!</v>
      </c>
      <c r="IF31" t="e">
        <f>AND(#REF!,"AAAAAD3n++8=")</f>
        <v>#REF!</v>
      </c>
      <c r="IG31" t="e">
        <f>AND(#REF!,"AAAAAD3n+/A=")</f>
        <v>#REF!</v>
      </c>
      <c r="IH31" t="e">
        <f>AND(#REF!,"AAAAAD3n+/E=")</f>
        <v>#REF!</v>
      </c>
      <c r="II31" t="e">
        <f>AND(#REF!,"AAAAAD3n+/I=")</f>
        <v>#REF!</v>
      </c>
      <c r="IJ31" t="e">
        <f>AND(#REF!,"AAAAAD3n+/M=")</f>
        <v>#REF!</v>
      </c>
      <c r="IK31" t="e">
        <f>IF(#REF!,"AAAAAD3n+/Q=",0)</f>
        <v>#REF!</v>
      </c>
      <c r="IL31" t="e">
        <f>AND(#REF!,"AAAAAD3n+/U=")</f>
        <v>#REF!</v>
      </c>
      <c r="IM31" t="e">
        <f>AND(#REF!,"AAAAAD3n+/Y=")</f>
        <v>#REF!</v>
      </c>
      <c r="IN31" t="e">
        <f>AND(#REF!,"AAAAAD3n+/c=")</f>
        <v>#REF!</v>
      </c>
      <c r="IO31" t="e">
        <f>AND(#REF!,"AAAAAD3n+/g=")</f>
        <v>#REF!</v>
      </c>
      <c r="IP31" t="e">
        <f>AND(#REF!,"AAAAAD3n+/k=")</f>
        <v>#REF!</v>
      </c>
      <c r="IQ31" t="e">
        <f>AND(#REF!,"AAAAAD3n+/o=")</f>
        <v>#REF!</v>
      </c>
      <c r="IR31" t="e">
        <f>AND(#REF!,"AAAAAD3n+/s=")</f>
        <v>#REF!</v>
      </c>
      <c r="IS31" t="e">
        <f>AND(#REF!,"AAAAAD3n+/w=")</f>
        <v>#REF!</v>
      </c>
      <c r="IT31" t="e">
        <f>AND(#REF!,"AAAAAD3n+/0=")</f>
        <v>#REF!</v>
      </c>
      <c r="IU31" t="e">
        <f>IF(#REF!,"AAAAAD3n+/4=",0)</f>
        <v>#REF!</v>
      </c>
      <c r="IV31" t="e">
        <f>AND(#REF!,"AAAAAD3n+/8=")</f>
        <v>#REF!</v>
      </c>
    </row>
    <row r="32" spans="1:256">
      <c r="A32" t="e">
        <f>AND(#REF!,"AAAAADfV9AA=")</f>
        <v>#REF!</v>
      </c>
      <c r="B32" t="e">
        <f>AND(#REF!,"AAAAADfV9AE=")</f>
        <v>#REF!</v>
      </c>
      <c r="C32" t="e">
        <f>AND(#REF!,"AAAAADfV9AI=")</f>
        <v>#REF!</v>
      </c>
      <c r="D32" t="e">
        <f>AND(#REF!,"AAAAADfV9AM=")</f>
        <v>#REF!</v>
      </c>
      <c r="E32" t="e">
        <f>AND(#REF!,"AAAAADfV9AQ=")</f>
        <v>#REF!</v>
      </c>
      <c r="F32" t="e">
        <f>AND(#REF!,"AAAAADfV9AU=")</f>
        <v>#REF!</v>
      </c>
      <c r="G32" t="e">
        <f>AND(#REF!,"AAAAADfV9AY=")</f>
        <v>#REF!</v>
      </c>
      <c r="H32" t="e">
        <f>AND(#REF!,"AAAAADfV9Ac=")</f>
        <v>#REF!</v>
      </c>
      <c r="I32" t="e">
        <f>IF(#REF!,"AAAAADfV9Ag=",0)</f>
        <v>#REF!</v>
      </c>
      <c r="J32" t="e">
        <f>AND(#REF!,"AAAAADfV9Ak=")</f>
        <v>#REF!</v>
      </c>
      <c r="K32" t="e">
        <f>AND(#REF!,"AAAAADfV9Ao=")</f>
        <v>#REF!</v>
      </c>
      <c r="L32" t="e">
        <f>AND(#REF!,"AAAAADfV9As=")</f>
        <v>#REF!</v>
      </c>
      <c r="M32" t="e">
        <f>AND(#REF!,"AAAAADfV9Aw=")</f>
        <v>#REF!</v>
      </c>
      <c r="N32" t="e">
        <f>AND(#REF!,"AAAAADfV9A0=")</f>
        <v>#REF!</v>
      </c>
      <c r="O32" t="e">
        <f>AND(#REF!,"AAAAADfV9A4=")</f>
        <v>#REF!</v>
      </c>
      <c r="P32" t="e">
        <f>AND(#REF!,"AAAAADfV9A8=")</f>
        <v>#REF!</v>
      </c>
      <c r="Q32" t="e">
        <f>AND(#REF!,"AAAAADfV9BA=")</f>
        <v>#REF!</v>
      </c>
      <c r="R32" t="e">
        <f>AND(#REF!,"AAAAADfV9BE=")</f>
        <v>#REF!</v>
      </c>
      <c r="S32" t="e">
        <f>IF(#REF!,"AAAAADfV9BI=",0)</f>
        <v>#REF!</v>
      </c>
      <c r="T32" t="e">
        <f>AND(#REF!,"AAAAADfV9BM=")</f>
        <v>#REF!</v>
      </c>
      <c r="U32" t="e">
        <f>AND(#REF!,"AAAAADfV9BQ=")</f>
        <v>#REF!</v>
      </c>
      <c r="V32" t="e">
        <f>AND(#REF!,"AAAAADfV9BU=")</f>
        <v>#REF!</v>
      </c>
      <c r="W32" t="e">
        <f>AND(#REF!,"AAAAADfV9BY=")</f>
        <v>#REF!</v>
      </c>
      <c r="X32" t="e">
        <f>AND(#REF!,"AAAAADfV9Bc=")</f>
        <v>#REF!</v>
      </c>
      <c r="Y32" t="e">
        <f>AND(#REF!,"AAAAADfV9Bg=")</f>
        <v>#REF!</v>
      </c>
      <c r="Z32" t="e">
        <f>AND(#REF!,"AAAAADfV9Bk=")</f>
        <v>#REF!</v>
      </c>
      <c r="AA32" t="e">
        <f>AND(#REF!,"AAAAADfV9Bo=")</f>
        <v>#REF!</v>
      </c>
      <c r="AB32" t="e">
        <f>AND(#REF!,"AAAAADfV9Bs=")</f>
        <v>#REF!</v>
      </c>
      <c r="AC32" t="e">
        <f>IF(#REF!,"AAAAADfV9Bw=",0)</f>
        <v>#REF!</v>
      </c>
      <c r="AD32" t="e">
        <f>AND(#REF!,"AAAAADfV9B0=")</f>
        <v>#REF!</v>
      </c>
      <c r="AE32" t="e">
        <f>AND(#REF!,"AAAAADfV9B4=")</f>
        <v>#REF!</v>
      </c>
      <c r="AF32" t="e">
        <f>AND(#REF!,"AAAAADfV9B8=")</f>
        <v>#REF!</v>
      </c>
      <c r="AG32" t="e">
        <f>AND(#REF!,"AAAAADfV9CA=")</f>
        <v>#REF!</v>
      </c>
      <c r="AH32" t="e">
        <f>AND(#REF!,"AAAAADfV9CE=")</f>
        <v>#REF!</v>
      </c>
      <c r="AI32" t="e">
        <f>AND(#REF!,"AAAAADfV9CI=")</f>
        <v>#REF!</v>
      </c>
      <c r="AJ32" t="e">
        <f>AND(#REF!,"AAAAADfV9CM=")</f>
        <v>#REF!</v>
      </c>
      <c r="AK32" t="e">
        <f>AND(#REF!,"AAAAADfV9CQ=")</f>
        <v>#REF!</v>
      </c>
      <c r="AL32" t="e">
        <f>AND(#REF!,"AAAAADfV9CU=")</f>
        <v>#REF!</v>
      </c>
      <c r="AM32" t="e">
        <f>IF(#REF!,"AAAAADfV9CY=",0)</f>
        <v>#REF!</v>
      </c>
      <c r="AN32" t="e">
        <f>AND(#REF!,"AAAAADfV9Cc=")</f>
        <v>#REF!</v>
      </c>
      <c r="AO32" t="e">
        <f>AND(#REF!,"AAAAADfV9Cg=")</f>
        <v>#REF!</v>
      </c>
      <c r="AP32" t="e">
        <f>AND(#REF!,"AAAAADfV9Ck=")</f>
        <v>#REF!</v>
      </c>
      <c r="AQ32" t="e">
        <f>AND(#REF!,"AAAAADfV9Co=")</f>
        <v>#REF!</v>
      </c>
      <c r="AR32" t="e">
        <f>AND(#REF!,"AAAAADfV9Cs=")</f>
        <v>#REF!</v>
      </c>
      <c r="AS32" t="e">
        <f>AND(#REF!,"AAAAADfV9Cw=")</f>
        <v>#REF!</v>
      </c>
      <c r="AT32" t="e">
        <f>AND(#REF!,"AAAAADfV9C0=")</f>
        <v>#REF!</v>
      </c>
      <c r="AU32" t="e">
        <f>AND(#REF!,"AAAAADfV9C4=")</f>
        <v>#REF!</v>
      </c>
      <c r="AV32" t="e">
        <f>AND(#REF!,"AAAAADfV9C8=")</f>
        <v>#REF!</v>
      </c>
      <c r="AW32" t="e">
        <f>IF(#REF!,"AAAAADfV9DA=",0)</f>
        <v>#REF!</v>
      </c>
      <c r="AX32" t="e">
        <f>AND(#REF!,"AAAAADfV9DE=")</f>
        <v>#REF!</v>
      </c>
      <c r="AY32" t="e">
        <f>AND(#REF!,"AAAAADfV9DI=")</f>
        <v>#REF!</v>
      </c>
      <c r="AZ32" t="e">
        <f>AND(#REF!,"AAAAADfV9DM=")</f>
        <v>#REF!</v>
      </c>
      <c r="BA32" t="e">
        <f>AND(#REF!,"AAAAADfV9DQ=")</f>
        <v>#REF!</v>
      </c>
      <c r="BB32" t="e">
        <f>AND(#REF!,"AAAAADfV9DU=")</f>
        <v>#REF!</v>
      </c>
      <c r="BC32" t="e">
        <f>AND(#REF!,"AAAAADfV9DY=")</f>
        <v>#REF!</v>
      </c>
      <c r="BD32" t="e">
        <f>AND(#REF!,"AAAAADfV9Dc=")</f>
        <v>#REF!</v>
      </c>
      <c r="BE32" t="e">
        <f>AND(#REF!,"AAAAADfV9Dg=")</f>
        <v>#REF!</v>
      </c>
      <c r="BF32" t="e">
        <f>AND(#REF!,"AAAAADfV9Dk=")</f>
        <v>#REF!</v>
      </c>
      <c r="BG32" t="e">
        <f>IF(#REF!,"AAAAADfV9Do=",0)</f>
        <v>#REF!</v>
      </c>
      <c r="BH32" t="e">
        <f>AND(#REF!,"AAAAADfV9Ds=")</f>
        <v>#REF!</v>
      </c>
      <c r="BI32" t="e">
        <f>AND(#REF!,"AAAAADfV9Dw=")</f>
        <v>#REF!</v>
      </c>
      <c r="BJ32" t="e">
        <f>AND(#REF!,"AAAAADfV9D0=")</f>
        <v>#REF!</v>
      </c>
      <c r="BK32" t="e">
        <f>AND(#REF!,"AAAAADfV9D4=")</f>
        <v>#REF!</v>
      </c>
      <c r="BL32" t="e">
        <f>AND(#REF!,"AAAAADfV9D8=")</f>
        <v>#REF!</v>
      </c>
      <c r="BM32" t="e">
        <f>AND(#REF!,"AAAAADfV9EA=")</f>
        <v>#REF!</v>
      </c>
      <c r="BN32" t="e">
        <f>AND(#REF!,"AAAAADfV9EE=")</f>
        <v>#REF!</v>
      </c>
      <c r="BO32" t="e">
        <f>AND(#REF!,"AAAAADfV9EI=")</f>
        <v>#REF!</v>
      </c>
      <c r="BP32" t="e">
        <f>AND(#REF!,"AAAAADfV9EM=")</f>
        <v>#REF!</v>
      </c>
      <c r="BQ32" t="e">
        <f>IF(#REF!,"AAAAADfV9EQ=",0)</f>
        <v>#REF!</v>
      </c>
      <c r="BR32" t="e">
        <f>AND(#REF!,"AAAAADfV9EU=")</f>
        <v>#REF!</v>
      </c>
      <c r="BS32" t="e">
        <f>AND(#REF!,"AAAAADfV9EY=")</f>
        <v>#REF!</v>
      </c>
      <c r="BT32" t="e">
        <f>AND(#REF!,"AAAAADfV9Ec=")</f>
        <v>#REF!</v>
      </c>
      <c r="BU32" t="e">
        <f>AND(#REF!,"AAAAADfV9Eg=")</f>
        <v>#REF!</v>
      </c>
      <c r="BV32" t="e">
        <f>AND(#REF!,"AAAAADfV9Ek=")</f>
        <v>#REF!</v>
      </c>
      <c r="BW32" t="e">
        <f>AND(#REF!,"AAAAADfV9Eo=")</f>
        <v>#REF!</v>
      </c>
      <c r="BX32" t="e">
        <f>AND(#REF!,"AAAAADfV9Es=")</f>
        <v>#REF!</v>
      </c>
      <c r="BY32" t="e">
        <f>AND(#REF!,"AAAAADfV9Ew=")</f>
        <v>#REF!</v>
      </c>
      <c r="BZ32" t="e">
        <f>AND(#REF!,"AAAAADfV9E0=")</f>
        <v>#REF!</v>
      </c>
      <c r="CA32" t="e">
        <f>IF(#REF!,"AAAAADfV9E4=",0)</f>
        <v>#REF!</v>
      </c>
      <c r="CB32" t="e">
        <f>AND(#REF!,"AAAAADfV9E8=")</f>
        <v>#REF!</v>
      </c>
      <c r="CC32" t="e">
        <f>AND(#REF!,"AAAAADfV9FA=")</f>
        <v>#REF!</v>
      </c>
      <c r="CD32" t="e">
        <f>AND(#REF!,"AAAAADfV9FE=")</f>
        <v>#REF!</v>
      </c>
      <c r="CE32" t="e">
        <f>AND(#REF!,"AAAAADfV9FI=")</f>
        <v>#REF!</v>
      </c>
      <c r="CF32" t="e">
        <f>AND(#REF!,"AAAAADfV9FM=")</f>
        <v>#REF!</v>
      </c>
      <c r="CG32" t="e">
        <f>AND(#REF!,"AAAAADfV9FQ=")</f>
        <v>#REF!</v>
      </c>
      <c r="CH32" t="e">
        <f>AND(#REF!,"AAAAADfV9FU=")</f>
        <v>#REF!</v>
      </c>
      <c r="CI32" t="e">
        <f>AND(#REF!,"AAAAADfV9FY=")</f>
        <v>#REF!</v>
      </c>
      <c r="CJ32" t="e">
        <f>AND(#REF!,"AAAAADfV9Fc=")</f>
        <v>#REF!</v>
      </c>
      <c r="CK32" t="e">
        <f>IF(#REF!,"AAAAADfV9Fg=",0)</f>
        <v>#REF!</v>
      </c>
      <c r="CL32" t="e">
        <f>AND(#REF!,"AAAAADfV9Fk=")</f>
        <v>#REF!</v>
      </c>
      <c r="CM32" t="e">
        <f>AND(#REF!,"AAAAADfV9Fo=")</f>
        <v>#REF!</v>
      </c>
      <c r="CN32" t="e">
        <f>AND(#REF!,"AAAAADfV9Fs=")</f>
        <v>#REF!</v>
      </c>
      <c r="CO32" t="e">
        <f>AND(#REF!,"AAAAADfV9Fw=")</f>
        <v>#REF!</v>
      </c>
      <c r="CP32" t="e">
        <f>AND(#REF!,"AAAAADfV9F0=")</f>
        <v>#REF!</v>
      </c>
      <c r="CQ32" t="e">
        <f>AND(#REF!,"AAAAADfV9F4=")</f>
        <v>#REF!</v>
      </c>
      <c r="CR32" t="e">
        <f>AND(#REF!,"AAAAADfV9F8=")</f>
        <v>#REF!</v>
      </c>
      <c r="CS32" t="e">
        <f>AND(#REF!,"AAAAADfV9GA=")</f>
        <v>#REF!</v>
      </c>
      <c r="CT32" t="e">
        <f>AND(#REF!,"AAAAADfV9GE=")</f>
        <v>#REF!</v>
      </c>
      <c r="CU32" t="e">
        <f>IF(#REF!,"AAAAADfV9GI=",0)</f>
        <v>#REF!</v>
      </c>
      <c r="CV32" t="e">
        <f>AND(#REF!,"AAAAADfV9GM=")</f>
        <v>#REF!</v>
      </c>
      <c r="CW32" t="e">
        <f>AND(#REF!,"AAAAADfV9GQ=")</f>
        <v>#REF!</v>
      </c>
      <c r="CX32" t="e">
        <f>AND(#REF!,"AAAAADfV9GU=")</f>
        <v>#REF!</v>
      </c>
      <c r="CY32" t="e">
        <f>AND(#REF!,"AAAAADfV9GY=")</f>
        <v>#REF!</v>
      </c>
      <c r="CZ32" t="e">
        <f>AND(#REF!,"AAAAADfV9Gc=")</f>
        <v>#REF!</v>
      </c>
      <c r="DA32" t="e">
        <f>AND(#REF!,"AAAAADfV9Gg=")</f>
        <v>#REF!</v>
      </c>
      <c r="DB32" t="e">
        <f>AND(#REF!,"AAAAADfV9Gk=")</f>
        <v>#REF!</v>
      </c>
      <c r="DC32" t="e">
        <f>AND(#REF!,"AAAAADfV9Go=")</f>
        <v>#REF!</v>
      </c>
      <c r="DD32" t="e">
        <f>AND(#REF!,"AAAAADfV9Gs=")</f>
        <v>#REF!</v>
      </c>
      <c r="DE32" t="e">
        <f>IF(#REF!,"AAAAADfV9Gw=",0)</f>
        <v>#REF!</v>
      </c>
      <c r="DF32" t="e">
        <f>AND(#REF!,"AAAAADfV9G0=")</f>
        <v>#REF!</v>
      </c>
      <c r="DG32" t="e">
        <f>AND(#REF!,"AAAAADfV9G4=")</f>
        <v>#REF!</v>
      </c>
      <c r="DH32" t="e">
        <f>AND(#REF!,"AAAAADfV9G8=")</f>
        <v>#REF!</v>
      </c>
      <c r="DI32" t="e">
        <f>AND(#REF!,"AAAAADfV9HA=")</f>
        <v>#REF!</v>
      </c>
      <c r="DJ32" t="e">
        <f>AND(#REF!,"AAAAADfV9HE=")</f>
        <v>#REF!</v>
      </c>
      <c r="DK32" t="e">
        <f>AND(#REF!,"AAAAADfV9HI=")</f>
        <v>#REF!</v>
      </c>
      <c r="DL32" t="e">
        <f>AND(#REF!,"AAAAADfV9HM=")</f>
        <v>#REF!</v>
      </c>
      <c r="DM32" t="e">
        <f>AND(#REF!,"AAAAADfV9HQ=")</f>
        <v>#REF!</v>
      </c>
      <c r="DN32" t="e">
        <f>AND(#REF!,"AAAAADfV9HU=")</f>
        <v>#REF!</v>
      </c>
      <c r="DO32" t="e">
        <f>IF(#REF!,"AAAAADfV9HY=",0)</f>
        <v>#REF!</v>
      </c>
      <c r="DP32" t="e">
        <f>AND(#REF!,"AAAAADfV9Hc=")</f>
        <v>#REF!</v>
      </c>
      <c r="DQ32" t="e">
        <f>AND(#REF!,"AAAAADfV9Hg=")</f>
        <v>#REF!</v>
      </c>
      <c r="DR32" t="e">
        <f>AND(#REF!,"AAAAADfV9Hk=")</f>
        <v>#REF!</v>
      </c>
      <c r="DS32" t="e">
        <f>AND(#REF!,"AAAAADfV9Ho=")</f>
        <v>#REF!</v>
      </c>
      <c r="DT32" t="e">
        <f>AND(#REF!,"AAAAADfV9Hs=")</f>
        <v>#REF!</v>
      </c>
      <c r="DU32" t="e">
        <f>AND(#REF!,"AAAAADfV9Hw=")</f>
        <v>#REF!</v>
      </c>
      <c r="DV32" t="e">
        <f>AND(#REF!,"AAAAADfV9H0=")</f>
        <v>#REF!</v>
      </c>
      <c r="DW32" t="e">
        <f>AND(#REF!,"AAAAADfV9H4=")</f>
        <v>#REF!</v>
      </c>
      <c r="DX32" t="e">
        <f>AND(#REF!,"AAAAADfV9H8=")</f>
        <v>#REF!</v>
      </c>
      <c r="DY32" t="e">
        <f>IF(#REF!,"AAAAADfV9IA=",0)</f>
        <v>#REF!</v>
      </c>
      <c r="DZ32" t="e">
        <f>AND(#REF!,"AAAAADfV9IE=")</f>
        <v>#REF!</v>
      </c>
      <c r="EA32" t="e">
        <f>AND(#REF!,"AAAAADfV9II=")</f>
        <v>#REF!</v>
      </c>
      <c r="EB32" t="e">
        <f>AND(#REF!,"AAAAADfV9IM=")</f>
        <v>#REF!</v>
      </c>
      <c r="EC32" t="e">
        <f>AND(#REF!,"AAAAADfV9IQ=")</f>
        <v>#REF!</v>
      </c>
      <c r="ED32" t="e">
        <f>AND(#REF!,"AAAAADfV9IU=")</f>
        <v>#REF!</v>
      </c>
      <c r="EE32" t="e">
        <f>AND(#REF!,"AAAAADfV9IY=")</f>
        <v>#REF!</v>
      </c>
      <c r="EF32" t="e">
        <f>AND(#REF!,"AAAAADfV9Ic=")</f>
        <v>#REF!</v>
      </c>
      <c r="EG32" t="e">
        <f>AND(#REF!,"AAAAADfV9Ig=")</f>
        <v>#REF!</v>
      </c>
      <c r="EH32" t="e">
        <f>AND(#REF!,"AAAAADfV9Ik=")</f>
        <v>#REF!</v>
      </c>
      <c r="EI32" t="e">
        <f>IF(#REF!,"AAAAADfV9Io=",0)</f>
        <v>#REF!</v>
      </c>
      <c r="EJ32" t="e">
        <f>AND(#REF!,"AAAAADfV9Is=")</f>
        <v>#REF!</v>
      </c>
      <c r="EK32" t="e">
        <f>AND(#REF!,"AAAAADfV9Iw=")</f>
        <v>#REF!</v>
      </c>
      <c r="EL32" t="e">
        <f>AND(#REF!,"AAAAADfV9I0=")</f>
        <v>#REF!</v>
      </c>
      <c r="EM32" t="e">
        <f>AND(#REF!,"AAAAADfV9I4=")</f>
        <v>#REF!</v>
      </c>
      <c r="EN32" t="e">
        <f>AND(#REF!,"AAAAADfV9I8=")</f>
        <v>#REF!</v>
      </c>
      <c r="EO32" t="e">
        <f>AND(#REF!,"AAAAADfV9JA=")</f>
        <v>#REF!</v>
      </c>
      <c r="EP32" t="e">
        <f>AND(#REF!,"AAAAADfV9JE=")</f>
        <v>#REF!</v>
      </c>
      <c r="EQ32" t="e">
        <f>AND(#REF!,"AAAAADfV9JI=")</f>
        <v>#REF!</v>
      </c>
      <c r="ER32" t="e">
        <f>AND(#REF!,"AAAAADfV9JM=")</f>
        <v>#REF!</v>
      </c>
      <c r="ES32" t="e">
        <f>IF(#REF!,"AAAAADfV9JQ=",0)</f>
        <v>#REF!</v>
      </c>
      <c r="ET32" t="e">
        <f>AND(#REF!,"AAAAADfV9JU=")</f>
        <v>#REF!</v>
      </c>
      <c r="EU32" t="e">
        <f>AND(#REF!,"AAAAADfV9JY=")</f>
        <v>#REF!</v>
      </c>
      <c r="EV32" t="e">
        <f>AND(#REF!,"AAAAADfV9Jc=")</f>
        <v>#REF!</v>
      </c>
      <c r="EW32" t="e">
        <f>AND(#REF!,"AAAAADfV9Jg=")</f>
        <v>#REF!</v>
      </c>
      <c r="EX32" t="e">
        <f>AND(#REF!,"AAAAADfV9Jk=")</f>
        <v>#REF!</v>
      </c>
      <c r="EY32" t="e">
        <f>AND(#REF!,"AAAAADfV9Jo=")</f>
        <v>#REF!</v>
      </c>
      <c r="EZ32" t="e">
        <f>AND(#REF!,"AAAAADfV9Js=")</f>
        <v>#REF!</v>
      </c>
      <c r="FA32" t="e">
        <f>AND(#REF!,"AAAAADfV9Jw=")</f>
        <v>#REF!</v>
      </c>
      <c r="FB32" t="e">
        <f>AND(#REF!,"AAAAADfV9J0=")</f>
        <v>#REF!</v>
      </c>
      <c r="FC32" t="e">
        <f>IF(#REF!,"AAAAADfV9J4=",0)</f>
        <v>#REF!</v>
      </c>
      <c r="FD32" t="e">
        <f>AND(#REF!,"AAAAADfV9J8=")</f>
        <v>#REF!</v>
      </c>
      <c r="FE32" t="e">
        <f>AND(#REF!,"AAAAADfV9KA=")</f>
        <v>#REF!</v>
      </c>
      <c r="FF32" t="e">
        <f>AND(#REF!,"AAAAADfV9KE=")</f>
        <v>#REF!</v>
      </c>
      <c r="FG32" t="e">
        <f>AND(#REF!,"AAAAADfV9KI=")</f>
        <v>#REF!</v>
      </c>
      <c r="FH32" t="e">
        <f>AND(#REF!,"AAAAADfV9KM=")</f>
        <v>#REF!</v>
      </c>
      <c r="FI32" t="e">
        <f>AND(#REF!,"AAAAADfV9KQ=")</f>
        <v>#REF!</v>
      </c>
      <c r="FJ32" t="e">
        <f>AND(#REF!,"AAAAADfV9KU=")</f>
        <v>#REF!</v>
      </c>
      <c r="FK32" t="e">
        <f>AND(#REF!,"AAAAADfV9KY=")</f>
        <v>#REF!</v>
      </c>
      <c r="FL32" t="e">
        <f>AND(#REF!,"AAAAADfV9Kc=")</f>
        <v>#REF!</v>
      </c>
      <c r="FM32" t="e">
        <f>IF(#REF!,"AAAAADfV9Kg=",0)</f>
        <v>#REF!</v>
      </c>
      <c r="FN32" t="e">
        <f>AND(#REF!,"AAAAADfV9Kk=")</f>
        <v>#REF!</v>
      </c>
      <c r="FO32" t="e">
        <f>AND(#REF!,"AAAAADfV9Ko=")</f>
        <v>#REF!</v>
      </c>
      <c r="FP32" t="e">
        <f>AND(#REF!,"AAAAADfV9Ks=")</f>
        <v>#REF!</v>
      </c>
      <c r="FQ32" t="e">
        <f>AND(#REF!,"AAAAADfV9Kw=")</f>
        <v>#REF!</v>
      </c>
      <c r="FR32" t="e">
        <f>AND(#REF!,"AAAAADfV9K0=")</f>
        <v>#REF!</v>
      </c>
      <c r="FS32" t="e">
        <f>AND(#REF!,"AAAAADfV9K4=")</f>
        <v>#REF!</v>
      </c>
      <c r="FT32" t="e">
        <f>AND(#REF!,"AAAAADfV9K8=")</f>
        <v>#REF!</v>
      </c>
      <c r="FU32" t="e">
        <f>AND(#REF!,"AAAAADfV9LA=")</f>
        <v>#REF!</v>
      </c>
      <c r="FV32" t="e">
        <f>AND(#REF!,"AAAAADfV9LE=")</f>
        <v>#REF!</v>
      </c>
      <c r="FW32" t="e">
        <f>IF(#REF!,"AAAAADfV9LI=",0)</f>
        <v>#REF!</v>
      </c>
      <c r="FX32" t="e">
        <f>AND(#REF!,"AAAAADfV9LM=")</f>
        <v>#REF!</v>
      </c>
      <c r="FY32" t="e">
        <f>AND(#REF!,"AAAAADfV9LQ=")</f>
        <v>#REF!</v>
      </c>
      <c r="FZ32" t="e">
        <f>AND(#REF!,"AAAAADfV9LU=")</f>
        <v>#REF!</v>
      </c>
      <c r="GA32" t="e">
        <f>AND(#REF!,"AAAAADfV9LY=")</f>
        <v>#REF!</v>
      </c>
      <c r="GB32" t="e">
        <f>AND(#REF!,"AAAAADfV9Lc=")</f>
        <v>#REF!</v>
      </c>
      <c r="GC32" t="e">
        <f>AND(#REF!,"AAAAADfV9Lg=")</f>
        <v>#REF!</v>
      </c>
      <c r="GD32" t="e">
        <f>AND(#REF!,"AAAAADfV9Lk=")</f>
        <v>#REF!</v>
      </c>
      <c r="GE32" t="e">
        <f>AND(#REF!,"AAAAADfV9Lo=")</f>
        <v>#REF!</v>
      </c>
      <c r="GF32" t="e">
        <f>AND(#REF!,"AAAAADfV9Ls=")</f>
        <v>#REF!</v>
      </c>
      <c r="GG32" t="e">
        <f>IF(#REF!,"AAAAADfV9Lw=",0)</f>
        <v>#REF!</v>
      </c>
      <c r="GH32" t="e">
        <f>AND(#REF!,"AAAAADfV9L0=")</f>
        <v>#REF!</v>
      </c>
      <c r="GI32" t="e">
        <f>AND(#REF!,"AAAAADfV9L4=")</f>
        <v>#REF!</v>
      </c>
      <c r="GJ32" t="e">
        <f>AND(#REF!,"AAAAADfV9L8=")</f>
        <v>#REF!</v>
      </c>
      <c r="GK32" t="e">
        <f>AND(#REF!,"AAAAADfV9MA=")</f>
        <v>#REF!</v>
      </c>
      <c r="GL32" t="e">
        <f>AND(#REF!,"AAAAADfV9ME=")</f>
        <v>#REF!</v>
      </c>
      <c r="GM32" t="e">
        <f>AND(#REF!,"AAAAADfV9MI=")</f>
        <v>#REF!</v>
      </c>
      <c r="GN32" t="e">
        <f>AND(#REF!,"AAAAADfV9MM=")</f>
        <v>#REF!</v>
      </c>
      <c r="GO32" t="e">
        <f>AND(#REF!,"AAAAADfV9MQ=")</f>
        <v>#REF!</v>
      </c>
      <c r="GP32" t="e">
        <f>AND(#REF!,"AAAAADfV9MU=")</f>
        <v>#REF!</v>
      </c>
      <c r="GQ32" t="e">
        <f>IF(#REF!,"AAAAADfV9MY=",0)</f>
        <v>#REF!</v>
      </c>
      <c r="GR32" t="e">
        <f>AND(#REF!,"AAAAADfV9Mc=")</f>
        <v>#REF!</v>
      </c>
      <c r="GS32" t="e">
        <f>AND(#REF!,"AAAAADfV9Mg=")</f>
        <v>#REF!</v>
      </c>
      <c r="GT32" t="e">
        <f>AND(#REF!,"AAAAADfV9Mk=")</f>
        <v>#REF!</v>
      </c>
      <c r="GU32" t="e">
        <f>AND(#REF!,"AAAAADfV9Mo=")</f>
        <v>#REF!</v>
      </c>
      <c r="GV32" t="e">
        <f>AND(#REF!,"AAAAADfV9Ms=")</f>
        <v>#REF!</v>
      </c>
      <c r="GW32" t="e">
        <f>AND(#REF!,"AAAAADfV9Mw=")</f>
        <v>#REF!</v>
      </c>
      <c r="GX32" t="e">
        <f>AND(#REF!,"AAAAADfV9M0=")</f>
        <v>#REF!</v>
      </c>
      <c r="GY32" t="e">
        <f>AND(#REF!,"AAAAADfV9M4=")</f>
        <v>#REF!</v>
      </c>
      <c r="GZ32" t="e">
        <f>AND(#REF!,"AAAAADfV9M8=")</f>
        <v>#REF!</v>
      </c>
      <c r="HA32" t="e">
        <f>IF(#REF!,"AAAAADfV9NA=",0)</f>
        <v>#REF!</v>
      </c>
      <c r="HB32" t="e">
        <f>AND(#REF!,"AAAAADfV9NE=")</f>
        <v>#REF!</v>
      </c>
      <c r="HC32" t="e">
        <f>AND(#REF!,"AAAAADfV9NI=")</f>
        <v>#REF!</v>
      </c>
      <c r="HD32" t="e">
        <f>AND(#REF!,"AAAAADfV9NM=")</f>
        <v>#REF!</v>
      </c>
      <c r="HE32" t="e">
        <f>AND(#REF!,"AAAAADfV9NQ=")</f>
        <v>#REF!</v>
      </c>
      <c r="HF32" t="e">
        <f>AND(#REF!,"AAAAADfV9NU=")</f>
        <v>#REF!</v>
      </c>
      <c r="HG32" t="e">
        <f>AND(#REF!,"AAAAADfV9NY=")</f>
        <v>#REF!</v>
      </c>
      <c r="HH32" t="e">
        <f>AND(#REF!,"AAAAADfV9Nc=")</f>
        <v>#REF!</v>
      </c>
      <c r="HI32" t="e">
        <f>AND(#REF!,"AAAAADfV9Ng=")</f>
        <v>#REF!</v>
      </c>
      <c r="HJ32" t="e">
        <f>AND(#REF!,"AAAAADfV9Nk=")</f>
        <v>#REF!</v>
      </c>
      <c r="HK32" t="e">
        <f>IF(#REF!,"AAAAADfV9No=",0)</f>
        <v>#REF!</v>
      </c>
      <c r="HL32" t="e">
        <f>AND(#REF!,"AAAAADfV9Ns=")</f>
        <v>#REF!</v>
      </c>
      <c r="HM32" t="e">
        <f>AND(#REF!,"AAAAADfV9Nw=")</f>
        <v>#REF!</v>
      </c>
      <c r="HN32" t="e">
        <f>AND(#REF!,"AAAAADfV9N0=")</f>
        <v>#REF!</v>
      </c>
      <c r="HO32" t="e">
        <f>AND(#REF!,"AAAAADfV9N4=")</f>
        <v>#REF!</v>
      </c>
      <c r="HP32" t="e">
        <f>AND(#REF!,"AAAAADfV9N8=")</f>
        <v>#REF!</v>
      </c>
      <c r="HQ32" t="e">
        <f>AND(#REF!,"AAAAADfV9OA=")</f>
        <v>#REF!</v>
      </c>
      <c r="HR32" t="e">
        <f>AND(#REF!,"AAAAADfV9OE=")</f>
        <v>#REF!</v>
      </c>
      <c r="HS32" t="e">
        <f>AND(#REF!,"AAAAADfV9OI=")</f>
        <v>#REF!</v>
      </c>
      <c r="HT32" t="e">
        <f>AND(#REF!,"AAAAADfV9OM=")</f>
        <v>#REF!</v>
      </c>
      <c r="HU32" t="e">
        <f>IF(#REF!,"AAAAADfV9OQ=",0)</f>
        <v>#REF!</v>
      </c>
      <c r="HV32" t="e">
        <f>AND(#REF!,"AAAAADfV9OU=")</f>
        <v>#REF!</v>
      </c>
      <c r="HW32" t="e">
        <f>AND(#REF!,"AAAAADfV9OY=")</f>
        <v>#REF!</v>
      </c>
      <c r="HX32" t="e">
        <f>AND(#REF!,"AAAAADfV9Oc=")</f>
        <v>#REF!</v>
      </c>
      <c r="HY32" t="e">
        <f>AND(#REF!,"AAAAADfV9Og=")</f>
        <v>#REF!</v>
      </c>
      <c r="HZ32" t="e">
        <f>AND(#REF!,"AAAAADfV9Ok=")</f>
        <v>#REF!</v>
      </c>
      <c r="IA32" t="e">
        <f>AND(#REF!,"AAAAADfV9Oo=")</f>
        <v>#REF!</v>
      </c>
      <c r="IB32" t="e">
        <f>AND(#REF!,"AAAAADfV9Os=")</f>
        <v>#REF!</v>
      </c>
      <c r="IC32" t="e">
        <f>AND(#REF!,"AAAAADfV9Ow=")</f>
        <v>#REF!</v>
      </c>
      <c r="ID32" t="e">
        <f>AND(#REF!,"AAAAADfV9O0=")</f>
        <v>#REF!</v>
      </c>
      <c r="IE32" t="e">
        <f>IF(#REF!,"AAAAADfV9O4=",0)</f>
        <v>#REF!</v>
      </c>
      <c r="IF32" t="e">
        <f>AND(#REF!,"AAAAADfV9O8=")</f>
        <v>#REF!</v>
      </c>
      <c r="IG32" t="e">
        <f>AND(#REF!,"AAAAADfV9PA=")</f>
        <v>#REF!</v>
      </c>
      <c r="IH32" t="e">
        <f>AND(#REF!,"AAAAADfV9PE=")</f>
        <v>#REF!</v>
      </c>
      <c r="II32" t="e">
        <f>AND(#REF!,"AAAAADfV9PI=")</f>
        <v>#REF!</v>
      </c>
      <c r="IJ32" t="e">
        <f>AND(#REF!,"AAAAADfV9PM=")</f>
        <v>#REF!</v>
      </c>
      <c r="IK32" t="e">
        <f>AND(#REF!,"AAAAADfV9PQ=")</f>
        <v>#REF!</v>
      </c>
      <c r="IL32" t="e">
        <f>AND(#REF!,"AAAAADfV9PU=")</f>
        <v>#REF!</v>
      </c>
      <c r="IM32" t="e">
        <f>AND(#REF!,"AAAAADfV9PY=")</f>
        <v>#REF!</v>
      </c>
      <c r="IN32" t="e">
        <f>AND(#REF!,"AAAAADfV9Pc=")</f>
        <v>#REF!</v>
      </c>
      <c r="IO32" t="e">
        <f>IF(#REF!,"AAAAADfV9Pg=",0)</f>
        <v>#REF!</v>
      </c>
      <c r="IP32" t="e">
        <f>AND(#REF!,"AAAAADfV9Pk=")</f>
        <v>#REF!</v>
      </c>
      <c r="IQ32" t="e">
        <f>AND(#REF!,"AAAAADfV9Po=")</f>
        <v>#REF!</v>
      </c>
      <c r="IR32" t="e">
        <f>AND(#REF!,"AAAAADfV9Ps=")</f>
        <v>#REF!</v>
      </c>
      <c r="IS32" t="e">
        <f>AND(#REF!,"AAAAADfV9Pw=")</f>
        <v>#REF!</v>
      </c>
      <c r="IT32" t="e">
        <f>AND(#REF!,"AAAAADfV9P0=")</f>
        <v>#REF!</v>
      </c>
      <c r="IU32" t="e">
        <f>AND(#REF!,"AAAAADfV9P4=")</f>
        <v>#REF!</v>
      </c>
      <c r="IV32" t="e">
        <f>AND(#REF!,"AAAAADfV9P8=")</f>
        <v>#REF!</v>
      </c>
    </row>
    <row r="33" spans="1:256">
      <c r="A33" t="e">
        <f>AND(#REF!,"AAAAAE+9/gA=")</f>
        <v>#REF!</v>
      </c>
      <c r="B33" t="e">
        <f>AND(#REF!,"AAAAAE+9/gE=")</f>
        <v>#REF!</v>
      </c>
      <c r="C33" t="e">
        <f>IF(#REF!,"AAAAAE+9/gI=",0)</f>
        <v>#REF!</v>
      </c>
      <c r="D33" t="e">
        <f>AND(#REF!,"AAAAAE+9/gM=")</f>
        <v>#REF!</v>
      </c>
      <c r="E33" t="e">
        <f>AND(#REF!,"AAAAAE+9/gQ=")</f>
        <v>#REF!</v>
      </c>
      <c r="F33" t="e">
        <f>AND(#REF!,"AAAAAE+9/gU=")</f>
        <v>#REF!</v>
      </c>
      <c r="G33" t="e">
        <f>AND(#REF!,"AAAAAE+9/gY=")</f>
        <v>#REF!</v>
      </c>
      <c r="H33" t="e">
        <f>AND(#REF!,"AAAAAE+9/gc=")</f>
        <v>#REF!</v>
      </c>
      <c r="I33" t="e">
        <f>AND(#REF!,"AAAAAE+9/gg=")</f>
        <v>#REF!</v>
      </c>
      <c r="J33" t="e">
        <f>AND(#REF!,"AAAAAE+9/gk=")</f>
        <v>#REF!</v>
      </c>
      <c r="K33" t="e">
        <f>AND(#REF!,"AAAAAE+9/go=")</f>
        <v>#REF!</v>
      </c>
      <c r="L33" t="e">
        <f>AND(#REF!,"AAAAAE+9/gs=")</f>
        <v>#REF!</v>
      </c>
      <c r="M33" t="e">
        <f>IF(#REF!,"AAAAAE+9/gw=",0)</f>
        <v>#REF!</v>
      </c>
      <c r="N33" t="e">
        <f>AND(#REF!,"AAAAAE+9/g0=")</f>
        <v>#REF!</v>
      </c>
      <c r="O33" t="e">
        <f>AND(#REF!,"AAAAAE+9/g4=")</f>
        <v>#REF!</v>
      </c>
      <c r="P33" t="e">
        <f>AND(#REF!,"AAAAAE+9/g8=")</f>
        <v>#REF!</v>
      </c>
      <c r="Q33" t="e">
        <f>AND(#REF!,"AAAAAE+9/hA=")</f>
        <v>#REF!</v>
      </c>
      <c r="R33" t="e">
        <f>AND(#REF!,"AAAAAE+9/hE=")</f>
        <v>#REF!</v>
      </c>
      <c r="S33" t="e">
        <f>AND(#REF!,"AAAAAE+9/hI=")</f>
        <v>#REF!</v>
      </c>
      <c r="T33" t="e">
        <f>AND(#REF!,"AAAAAE+9/hM=")</f>
        <v>#REF!</v>
      </c>
      <c r="U33" t="e">
        <f>AND(#REF!,"AAAAAE+9/hQ=")</f>
        <v>#REF!</v>
      </c>
      <c r="V33" t="e">
        <f>AND(#REF!,"AAAAAE+9/hU=")</f>
        <v>#REF!</v>
      </c>
      <c r="W33" t="e">
        <f>IF(#REF!,"AAAAAE+9/hY=",0)</f>
        <v>#REF!</v>
      </c>
      <c r="X33" t="e">
        <f>AND(#REF!,"AAAAAE+9/hc=")</f>
        <v>#REF!</v>
      </c>
      <c r="Y33" t="e">
        <f>AND(#REF!,"AAAAAE+9/hg=")</f>
        <v>#REF!</v>
      </c>
      <c r="Z33" t="e">
        <f>AND(#REF!,"AAAAAE+9/hk=")</f>
        <v>#REF!</v>
      </c>
      <c r="AA33" t="e">
        <f>AND(#REF!,"AAAAAE+9/ho=")</f>
        <v>#REF!</v>
      </c>
      <c r="AB33" t="e">
        <f>AND(#REF!,"AAAAAE+9/hs=")</f>
        <v>#REF!</v>
      </c>
      <c r="AC33" t="e">
        <f>AND(#REF!,"AAAAAE+9/hw=")</f>
        <v>#REF!</v>
      </c>
      <c r="AD33" t="e">
        <f>AND(#REF!,"AAAAAE+9/h0=")</f>
        <v>#REF!</v>
      </c>
      <c r="AE33" t="e">
        <f>AND(#REF!,"AAAAAE+9/h4=")</f>
        <v>#REF!</v>
      </c>
      <c r="AF33" t="e">
        <f>AND(#REF!,"AAAAAE+9/h8=")</f>
        <v>#REF!</v>
      </c>
      <c r="AG33" t="e">
        <f>IF(#REF!,"AAAAAE+9/iA=",0)</f>
        <v>#REF!</v>
      </c>
      <c r="AH33" t="e">
        <f>AND(#REF!,"AAAAAE+9/iE=")</f>
        <v>#REF!</v>
      </c>
      <c r="AI33" t="e">
        <f>AND(#REF!,"AAAAAE+9/iI=")</f>
        <v>#REF!</v>
      </c>
      <c r="AJ33" t="e">
        <f>AND(#REF!,"AAAAAE+9/iM=")</f>
        <v>#REF!</v>
      </c>
      <c r="AK33" t="e">
        <f>AND(#REF!,"AAAAAE+9/iQ=")</f>
        <v>#REF!</v>
      </c>
      <c r="AL33" t="e">
        <f>AND(#REF!,"AAAAAE+9/iU=")</f>
        <v>#REF!</v>
      </c>
      <c r="AM33" t="e">
        <f>AND(#REF!,"AAAAAE+9/iY=")</f>
        <v>#REF!</v>
      </c>
      <c r="AN33" t="e">
        <f>AND(#REF!,"AAAAAE+9/ic=")</f>
        <v>#REF!</v>
      </c>
      <c r="AO33" t="e">
        <f>AND(#REF!,"AAAAAE+9/ig=")</f>
        <v>#REF!</v>
      </c>
      <c r="AP33" t="e">
        <f>AND(#REF!,"AAAAAE+9/ik=")</f>
        <v>#REF!</v>
      </c>
      <c r="AQ33" t="e">
        <f>IF(#REF!,"AAAAAE+9/io=",0)</f>
        <v>#REF!</v>
      </c>
      <c r="AR33" t="e">
        <f>AND(#REF!,"AAAAAE+9/is=")</f>
        <v>#REF!</v>
      </c>
      <c r="AS33" t="e">
        <f>AND(#REF!,"AAAAAE+9/iw=")</f>
        <v>#REF!</v>
      </c>
      <c r="AT33" t="e">
        <f>AND(#REF!,"AAAAAE+9/i0=")</f>
        <v>#REF!</v>
      </c>
      <c r="AU33" t="e">
        <f>AND(#REF!,"AAAAAE+9/i4=")</f>
        <v>#REF!</v>
      </c>
      <c r="AV33" t="e">
        <f>AND(#REF!,"AAAAAE+9/i8=")</f>
        <v>#REF!</v>
      </c>
      <c r="AW33" t="e">
        <f>AND(#REF!,"AAAAAE+9/jA=")</f>
        <v>#REF!</v>
      </c>
      <c r="AX33" t="e">
        <f>AND(#REF!,"AAAAAE+9/jE=")</f>
        <v>#REF!</v>
      </c>
      <c r="AY33" t="e">
        <f>AND(#REF!,"AAAAAE+9/jI=")</f>
        <v>#REF!</v>
      </c>
      <c r="AZ33" t="e">
        <f>AND(#REF!,"AAAAAE+9/jM=")</f>
        <v>#REF!</v>
      </c>
      <c r="BA33" t="e">
        <f>IF(#REF!,"AAAAAE+9/jQ=",0)</f>
        <v>#REF!</v>
      </c>
      <c r="BB33" t="e">
        <f>AND(#REF!,"AAAAAE+9/jU=")</f>
        <v>#REF!</v>
      </c>
      <c r="BC33" t="e">
        <f>AND(#REF!,"AAAAAE+9/jY=")</f>
        <v>#REF!</v>
      </c>
      <c r="BD33" t="e">
        <f>AND(#REF!,"AAAAAE+9/jc=")</f>
        <v>#REF!</v>
      </c>
      <c r="BE33" t="e">
        <f>AND(#REF!,"AAAAAE+9/jg=")</f>
        <v>#REF!</v>
      </c>
      <c r="BF33" t="e">
        <f>AND(#REF!,"AAAAAE+9/jk=")</f>
        <v>#REF!</v>
      </c>
      <c r="BG33" t="e">
        <f>AND(#REF!,"AAAAAE+9/jo=")</f>
        <v>#REF!</v>
      </c>
      <c r="BH33" t="e">
        <f>AND(#REF!,"AAAAAE+9/js=")</f>
        <v>#REF!</v>
      </c>
      <c r="BI33" t="e">
        <f>AND(#REF!,"AAAAAE+9/jw=")</f>
        <v>#REF!</v>
      </c>
      <c r="BJ33" t="e">
        <f>AND(#REF!,"AAAAAE+9/j0=")</f>
        <v>#REF!</v>
      </c>
      <c r="BK33" t="e">
        <f>IF(#REF!,"AAAAAE+9/j4=",0)</f>
        <v>#REF!</v>
      </c>
      <c r="BL33" t="e">
        <f>IF(#REF!,"AAAAAE+9/j8=",0)</f>
        <v>#REF!</v>
      </c>
      <c r="BM33" t="e">
        <f>IF(#REF!,"AAAAAE+9/kA=",0)</f>
        <v>#REF!</v>
      </c>
      <c r="BN33" t="e">
        <f>IF(#REF!,"AAAAAE+9/kE=",0)</f>
        <v>#REF!</v>
      </c>
      <c r="BO33" t="e">
        <f>IF(#REF!,"AAAAAE+9/kI=",0)</f>
        <v>#REF!</v>
      </c>
      <c r="BP33" t="e">
        <f>IF(#REF!,"AAAAAE+9/kM=",0)</f>
        <v>#REF!</v>
      </c>
      <c r="BQ33" t="e">
        <f>IF(#REF!,"AAAAAE+9/kQ=",0)</f>
        <v>#REF!</v>
      </c>
      <c r="BR33" t="e">
        <f>IF(#REF!,"AAAAAE+9/kU=",0)</f>
        <v>#REF!</v>
      </c>
      <c r="BS33" t="e">
        <f>IF(#REF!,"AAAAAE+9/kY=",0)</f>
        <v>#REF!</v>
      </c>
      <c r="BT33" t="e">
        <f>IF(#REF!,"AAAAAE+9/kc=",0)</f>
        <v>#REF!</v>
      </c>
      <c r="BU33" t="e">
        <f>AND(#REF!,"AAAAAE+9/kg=")</f>
        <v>#REF!</v>
      </c>
      <c r="BV33" t="e">
        <f>AND(#REF!,"AAAAAE+9/kk=")</f>
        <v>#REF!</v>
      </c>
      <c r="BW33" t="e">
        <f>AND(#REF!,"AAAAAE+9/ko=")</f>
        <v>#REF!</v>
      </c>
      <c r="BX33" t="e">
        <f>AND(#REF!,"AAAAAE+9/ks=")</f>
        <v>#REF!</v>
      </c>
      <c r="BY33" t="e">
        <f>AND(#REF!,"AAAAAE+9/kw=")</f>
        <v>#REF!</v>
      </c>
      <c r="BZ33" t="e">
        <f>AND(#REF!,"AAAAAE+9/k0=")</f>
        <v>#REF!</v>
      </c>
      <c r="CA33" t="e">
        <f>AND(#REF!,"AAAAAE+9/k4=")</f>
        <v>#REF!</v>
      </c>
      <c r="CB33" t="e">
        <f>AND(#REF!,"AAAAAE+9/k8=")</f>
        <v>#REF!</v>
      </c>
      <c r="CC33" t="e">
        <f>AND(#REF!,"AAAAAE+9/lA=")</f>
        <v>#REF!</v>
      </c>
      <c r="CD33" t="e">
        <f>IF(#REF!,"AAAAAE+9/lE=",0)</f>
        <v>#REF!</v>
      </c>
      <c r="CE33" t="e">
        <f>AND(#REF!,"AAAAAE+9/lI=")</f>
        <v>#REF!</v>
      </c>
      <c r="CF33" t="e">
        <f>AND(#REF!,"AAAAAE+9/lM=")</f>
        <v>#REF!</v>
      </c>
      <c r="CG33" t="e">
        <f>AND(#REF!,"AAAAAE+9/lQ=")</f>
        <v>#REF!</v>
      </c>
      <c r="CH33" t="e">
        <f>AND(#REF!,"AAAAAE+9/lU=")</f>
        <v>#REF!</v>
      </c>
      <c r="CI33" t="e">
        <f>AND(#REF!,"AAAAAE+9/lY=")</f>
        <v>#REF!</v>
      </c>
      <c r="CJ33" t="e">
        <f>AND(#REF!,"AAAAAE+9/lc=")</f>
        <v>#REF!</v>
      </c>
      <c r="CK33" t="e">
        <f>AND(#REF!,"AAAAAE+9/lg=")</f>
        <v>#REF!</v>
      </c>
      <c r="CL33" t="e">
        <f>AND(#REF!,"AAAAAE+9/lk=")</f>
        <v>#REF!</v>
      </c>
      <c r="CM33" t="e">
        <f>AND(#REF!,"AAAAAE+9/lo=")</f>
        <v>#REF!</v>
      </c>
      <c r="CN33" t="e">
        <f>IF(#REF!,"AAAAAE+9/ls=",0)</f>
        <v>#REF!</v>
      </c>
      <c r="CO33" t="e">
        <f>AND(#REF!,"AAAAAE+9/lw=")</f>
        <v>#REF!</v>
      </c>
      <c r="CP33" t="e">
        <f>AND(#REF!,"AAAAAE+9/l0=")</f>
        <v>#REF!</v>
      </c>
      <c r="CQ33" t="e">
        <f>AND(#REF!,"AAAAAE+9/l4=")</f>
        <v>#REF!</v>
      </c>
      <c r="CR33" t="e">
        <f>AND(#REF!,"AAAAAE+9/l8=")</f>
        <v>#REF!</v>
      </c>
      <c r="CS33" t="e">
        <f>AND(#REF!,"AAAAAE+9/mA=")</f>
        <v>#REF!</v>
      </c>
      <c r="CT33" t="e">
        <f>AND(#REF!,"AAAAAE+9/mE=")</f>
        <v>#REF!</v>
      </c>
      <c r="CU33" t="e">
        <f>AND(#REF!,"AAAAAE+9/mI=")</f>
        <v>#REF!</v>
      </c>
      <c r="CV33" t="e">
        <f>AND(#REF!,"AAAAAE+9/mM=")</f>
        <v>#REF!</v>
      </c>
      <c r="CW33" t="e">
        <f>AND(#REF!,"AAAAAE+9/mQ=")</f>
        <v>#REF!</v>
      </c>
      <c r="CX33" t="e">
        <f>IF(#REF!,"AAAAAE+9/mU=",0)</f>
        <v>#REF!</v>
      </c>
      <c r="CY33" t="e">
        <f>AND(#REF!,"AAAAAE+9/mY=")</f>
        <v>#REF!</v>
      </c>
      <c r="CZ33" t="e">
        <f>AND(#REF!,"AAAAAE+9/mc=")</f>
        <v>#REF!</v>
      </c>
      <c r="DA33" t="e">
        <f>AND(#REF!,"AAAAAE+9/mg=")</f>
        <v>#REF!</v>
      </c>
      <c r="DB33" t="e">
        <f>AND(#REF!,"AAAAAE+9/mk=")</f>
        <v>#REF!</v>
      </c>
      <c r="DC33" t="e">
        <f>AND(#REF!,"AAAAAE+9/mo=")</f>
        <v>#REF!</v>
      </c>
      <c r="DD33" t="e">
        <f>AND(#REF!,"AAAAAE+9/ms=")</f>
        <v>#REF!</v>
      </c>
      <c r="DE33" t="e">
        <f>AND(#REF!,"AAAAAE+9/mw=")</f>
        <v>#REF!</v>
      </c>
      <c r="DF33" t="e">
        <f>AND(#REF!,"AAAAAE+9/m0=")</f>
        <v>#REF!</v>
      </c>
      <c r="DG33" t="e">
        <f>AND(#REF!,"AAAAAE+9/m4=")</f>
        <v>#REF!</v>
      </c>
      <c r="DH33" t="e">
        <f>IF(#REF!,"AAAAAE+9/m8=",0)</f>
        <v>#REF!</v>
      </c>
      <c r="DI33" t="e">
        <f>AND(#REF!,"AAAAAE+9/nA=")</f>
        <v>#REF!</v>
      </c>
      <c r="DJ33" t="e">
        <f>AND(#REF!,"AAAAAE+9/nE=")</f>
        <v>#REF!</v>
      </c>
      <c r="DK33" t="e">
        <f>AND(#REF!,"AAAAAE+9/nI=")</f>
        <v>#REF!</v>
      </c>
      <c r="DL33" t="e">
        <f>AND(#REF!,"AAAAAE+9/nM=")</f>
        <v>#REF!</v>
      </c>
      <c r="DM33" t="e">
        <f>AND(#REF!,"AAAAAE+9/nQ=")</f>
        <v>#REF!</v>
      </c>
      <c r="DN33" t="e">
        <f>AND(#REF!,"AAAAAE+9/nU=")</f>
        <v>#REF!</v>
      </c>
      <c r="DO33" t="e">
        <f>AND(#REF!,"AAAAAE+9/nY=")</f>
        <v>#REF!</v>
      </c>
      <c r="DP33" t="e">
        <f>AND(#REF!,"AAAAAE+9/nc=")</f>
        <v>#REF!</v>
      </c>
      <c r="DQ33" t="e">
        <f>AND(#REF!,"AAAAAE+9/ng=")</f>
        <v>#REF!</v>
      </c>
      <c r="DR33" t="e">
        <f>IF(#REF!,"AAAAAE+9/nk=",0)</f>
        <v>#REF!</v>
      </c>
      <c r="DS33" t="e">
        <f>AND(#REF!,"AAAAAE+9/no=")</f>
        <v>#REF!</v>
      </c>
      <c r="DT33" t="e">
        <f>AND(#REF!,"AAAAAE+9/ns=")</f>
        <v>#REF!</v>
      </c>
      <c r="DU33" t="e">
        <f>AND(#REF!,"AAAAAE+9/nw=")</f>
        <v>#REF!</v>
      </c>
      <c r="DV33" t="e">
        <f>AND(#REF!,"AAAAAE+9/n0=")</f>
        <v>#REF!</v>
      </c>
      <c r="DW33" t="e">
        <f>AND(#REF!,"AAAAAE+9/n4=")</f>
        <v>#REF!</v>
      </c>
      <c r="DX33" t="e">
        <f>AND(#REF!,"AAAAAE+9/n8=")</f>
        <v>#REF!</v>
      </c>
      <c r="DY33" t="e">
        <f>AND(#REF!,"AAAAAE+9/oA=")</f>
        <v>#REF!</v>
      </c>
      <c r="DZ33" t="e">
        <f>AND(#REF!,"AAAAAE+9/oE=")</f>
        <v>#REF!</v>
      </c>
      <c r="EA33" t="e">
        <f>AND(#REF!,"AAAAAE+9/oI=")</f>
        <v>#REF!</v>
      </c>
      <c r="EB33" t="e">
        <f>IF(#REF!,"AAAAAE+9/oM=",0)</f>
        <v>#REF!</v>
      </c>
      <c r="EC33" t="e">
        <f>AND(#REF!,"AAAAAE+9/oQ=")</f>
        <v>#REF!</v>
      </c>
      <c r="ED33" t="e">
        <f>AND(#REF!,"AAAAAE+9/oU=")</f>
        <v>#REF!</v>
      </c>
      <c r="EE33" t="e">
        <f>AND(#REF!,"AAAAAE+9/oY=")</f>
        <v>#REF!</v>
      </c>
      <c r="EF33" t="e">
        <f>AND(#REF!,"AAAAAE+9/oc=")</f>
        <v>#REF!</v>
      </c>
      <c r="EG33" t="e">
        <f>AND(#REF!,"AAAAAE+9/og=")</f>
        <v>#REF!</v>
      </c>
      <c r="EH33" t="e">
        <f>AND(#REF!,"AAAAAE+9/ok=")</f>
        <v>#REF!</v>
      </c>
      <c r="EI33" t="e">
        <f>AND(#REF!,"AAAAAE+9/oo=")</f>
        <v>#REF!</v>
      </c>
      <c r="EJ33" t="e">
        <f>AND(#REF!,"AAAAAE+9/os=")</f>
        <v>#REF!</v>
      </c>
      <c r="EK33" t="e">
        <f>AND(#REF!,"AAAAAE+9/ow=")</f>
        <v>#REF!</v>
      </c>
      <c r="EL33" t="e">
        <f>IF(#REF!,"AAAAAE+9/o0=",0)</f>
        <v>#REF!</v>
      </c>
      <c r="EM33" t="e">
        <f>AND(#REF!,"AAAAAE+9/o4=")</f>
        <v>#REF!</v>
      </c>
      <c r="EN33" t="e">
        <f>AND(#REF!,"AAAAAE+9/o8=")</f>
        <v>#REF!</v>
      </c>
      <c r="EO33" t="e">
        <f>AND(#REF!,"AAAAAE+9/pA=")</f>
        <v>#REF!</v>
      </c>
      <c r="EP33" t="e">
        <f>AND(#REF!,"AAAAAE+9/pE=")</f>
        <v>#REF!</v>
      </c>
      <c r="EQ33" t="e">
        <f>AND(#REF!,"AAAAAE+9/pI=")</f>
        <v>#REF!</v>
      </c>
      <c r="ER33" t="e">
        <f>AND(#REF!,"AAAAAE+9/pM=")</f>
        <v>#REF!</v>
      </c>
      <c r="ES33" t="e">
        <f>AND(#REF!,"AAAAAE+9/pQ=")</f>
        <v>#REF!</v>
      </c>
      <c r="ET33" t="e">
        <f>AND(#REF!,"AAAAAE+9/pU=")</f>
        <v>#REF!</v>
      </c>
      <c r="EU33" t="e">
        <f>AND(#REF!,"AAAAAE+9/pY=")</f>
        <v>#REF!</v>
      </c>
      <c r="EV33" t="e">
        <f>IF(#REF!,"AAAAAE+9/pc=",0)</f>
        <v>#REF!</v>
      </c>
      <c r="EW33" t="e">
        <f>AND(#REF!,"AAAAAE+9/pg=")</f>
        <v>#REF!</v>
      </c>
      <c r="EX33" t="e">
        <f>AND(#REF!,"AAAAAE+9/pk=")</f>
        <v>#REF!</v>
      </c>
      <c r="EY33" t="e">
        <f>AND(#REF!,"AAAAAE+9/po=")</f>
        <v>#REF!</v>
      </c>
      <c r="EZ33" t="e">
        <f>AND(#REF!,"AAAAAE+9/ps=")</f>
        <v>#REF!</v>
      </c>
      <c r="FA33" t="e">
        <f>AND(#REF!,"AAAAAE+9/pw=")</f>
        <v>#REF!</v>
      </c>
      <c r="FB33" t="e">
        <f>AND(#REF!,"AAAAAE+9/p0=")</f>
        <v>#REF!</v>
      </c>
      <c r="FC33" t="e">
        <f>AND(#REF!,"AAAAAE+9/p4=")</f>
        <v>#REF!</v>
      </c>
      <c r="FD33" t="e">
        <f>AND(#REF!,"AAAAAE+9/p8=")</f>
        <v>#REF!</v>
      </c>
      <c r="FE33" t="e">
        <f>AND(#REF!,"AAAAAE+9/qA=")</f>
        <v>#REF!</v>
      </c>
      <c r="FF33" t="e">
        <f>IF(#REF!,"AAAAAE+9/qE=",0)</f>
        <v>#REF!</v>
      </c>
      <c r="FG33" t="e">
        <f>AND(#REF!,"AAAAAE+9/qI=")</f>
        <v>#REF!</v>
      </c>
      <c r="FH33" t="e">
        <f>AND(#REF!,"AAAAAE+9/qM=")</f>
        <v>#REF!</v>
      </c>
      <c r="FI33" t="e">
        <f>AND(#REF!,"AAAAAE+9/qQ=")</f>
        <v>#REF!</v>
      </c>
      <c r="FJ33" t="e">
        <f>AND(#REF!,"AAAAAE+9/qU=")</f>
        <v>#REF!</v>
      </c>
      <c r="FK33" t="e">
        <f>AND(#REF!,"AAAAAE+9/qY=")</f>
        <v>#REF!</v>
      </c>
      <c r="FL33" t="e">
        <f>AND(#REF!,"AAAAAE+9/qc=")</f>
        <v>#REF!</v>
      </c>
      <c r="FM33" t="e">
        <f>AND(#REF!,"AAAAAE+9/qg=")</f>
        <v>#REF!</v>
      </c>
      <c r="FN33" t="e">
        <f>AND(#REF!,"AAAAAE+9/qk=")</f>
        <v>#REF!</v>
      </c>
      <c r="FO33" t="e">
        <f>AND(#REF!,"AAAAAE+9/qo=")</f>
        <v>#REF!</v>
      </c>
      <c r="FP33" t="e">
        <f>IF(#REF!,"AAAAAE+9/qs=",0)</f>
        <v>#REF!</v>
      </c>
      <c r="FQ33" t="e">
        <f>AND(#REF!,"AAAAAE+9/qw=")</f>
        <v>#REF!</v>
      </c>
      <c r="FR33" t="e">
        <f>AND(#REF!,"AAAAAE+9/q0=")</f>
        <v>#REF!</v>
      </c>
      <c r="FS33" t="e">
        <f>AND(#REF!,"AAAAAE+9/q4=")</f>
        <v>#REF!</v>
      </c>
      <c r="FT33" t="e">
        <f>AND(#REF!,"AAAAAE+9/q8=")</f>
        <v>#REF!</v>
      </c>
      <c r="FU33" t="e">
        <f>AND(#REF!,"AAAAAE+9/rA=")</f>
        <v>#REF!</v>
      </c>
      <c r="FV33" t="e">
        <f>AND(#REF!,"AAAAAE+9/rE=")</f>
        <v>#REF!</v>
      </c>
      <c r="FW33" t="e">
        <f>AND(#REF!,"AAAAAE+9/rI=")</f>
        <v>#REF!</v>
      </c>
      <c r="FX33" t="e">
        <f>AND(#REF!,"AAAAAE+9/rM=")</f>
        <v>#REF!</v>
      </c>
      <c r="FY33" t="e">
        <f>AND(#REF!,"AAAAAE+9/rQ=")</f>
        <v>#REF!</v>
      </c>
      <c r="FZ33" t="e">
        <f>IF(#REF!,"AAAAAE+9/rU=",0)</f>
        <v>#REF!</v>
      </c>
      <c r="GA33" t="e">
        <f>AND(#REF!,"AAAAAE+9/rY=")</f>
        <v>#REF!</v>
      </c>
      <c r="GB33" t="e">
        <f>AND(#REF!,"AAAAAE+9/rc=")</f>
        <v>#REF!</v>
      </c>
      <c r="GC33" t="e">
        <f>AND(#REF!,"AAAAAE+9/rg=")</f>
        <v>#REF!</v>
      </c>
      <c r="GD33" t="e">
        <f>AND(#REF!,"AAAAAE+9/rk=")</f>
        <v>#REF!</v>
      </c>
      <c r="GE33" t="e">
        <f>AND(#REF!,"AAAAAE+9/ro=")</f>
        <v>#REF!</v>
      </c>
      <c r="GF33" t="e">
        <f>AND(#REF!,"AAAAAE+9/rs=")</f>
        <v>#REF!</v>
      </c>
      <c r="GG33" t="e">
        <f>AND(#REF!,"AAAAAE+9/rw=")</f>
        <v>#REF!</v>
      </c>
      <c r="GH33" t="e">
        <f>AND(#REF!,"AAAAAE+9/r0=")</f>
        <v>#REF!</v>
      </c>
      <c r="GI33" t="e">
        <f>AND(#REF!,"AAAAAE+9/r4=")</f>
        <v>#REF!</v>
      </c>
      <c r="GJ33" t="e">
        <f>IF(#REF!,"AAAAAE+9/r8=",0)</f>
        <v>#REF!</v>
      </c>
      <c r="GK33" t="e">
        <f>AND(#REF!,"AAAAAE+9/sA=")</f>
        <v>#REF!</v>
      </c>
      <c r="GL33" t="e">
        <f>AND(#REF!,"AAAAAE+9/sE=")</f>
        <v>#REF!</v>
      </c>
      <c r="GM33" t="e">
        <f>AND(#REF!,"AAAAAE+9/sI=")</f>
        <v>#REF!</v>
      </c>
      <c r="GN33" t="e">
        <f>AND(#REF!,"AAAAAE+9/sM=")</f>
        <v>#REF!</v>
      </c>
      <c r="GO33" t="e">
        <f>AND(#REF!,"AAAAAE+9/sQ=")</f>
        <v>#REF!</v>
      </c>
      <c r="GP33" t="e">
        <f>AND(#REF!,"AAAAAE+9/sU=")</f>
        <v>#REF!</v>
      </c>
      <c r="GQ33" t="e">
        <f>AND(#REF!,"AAAAAE+9/sY=")</f>
        <v>#REF!</v>
      </c>
      <c r="GR33" t="e">
        <f>AND(#REF!,"AAAAAE+9/sc=")</f>
        <v>#REF!</v>
      </c>
      <c r="GS33" t="e">
        <f>AND(#REF!,"AAAAAE+9/sg=")</f>
        <v>#REF!</v>
      </c>
      <c r="GT33" t="e">
        <f>IF(#REF!,"AAAAAE+9/sk=",0)</f>
        <v>#REF!</v>
      </c>
      <c r="GU33" t="e">
        <f>AND(#REF!,"AAAAAE+9/so=")</f>
        <v>#REF!</v>
      </c>
      <c r="GV33" t="e">
        <f>AND(#REF!,"AAAAAE+9/ss=")</f>
        <v>#REF!</v>
      </c>
      <c r="GW33" t="e">
        <f>AND(#REF!,"AAAAAE+9/sw=")</f>
        <v>#REF!</v>
      </c>
      <c r="GX33" t="e">
        <f>AND(#REF!,"AAAAAE+9/s0=")</f>
        <v>#REF!</v>
      </c>
      <c r="GY33" t="e">
        <f>AND(#REF!,"AAAAAE+9/s4=")</f>
        <v>#REF!</v>
      </c>
      <c r="GZ33" t="e">
        <f>AND(#REF!,"AAAAAE+9/s8=")</f>
        <v>#REF!</v>
      </c>
      <c r="HA33" t="e">
        <f>AND(#REF!,"AAAAAE+9/tA=")</f>
        <v>#REF!</v>
      </c>
      <c r="HB33" t="e">
        <f>AND(#REF!,"AAAAAE+9/tE=")</f>
        <v>#REF!</v>
      </c>
      <c r="HC33" t="e">
        <f>AND(#REF!,"AAAAAE+9/tI=")</f>
        <v>#REF!</v>
      </c>
      <c r="HD33" t="e">
        <f>IF(#REF!,"AAAAAE+9/tM=",0)</f>
        <v>#REF!</v>
      </c>
      <c r="HE33" t="e">
        <f>AND(#REF!,"AAAAAE+9/tQ=")</f>
        <v>#REF!</v>
      </c>
      <c r="HF33" t="e">
        <f>AND(#REF!,"AAAAAE+9/tU=")</f>
        <v>#REF!</v>
      </c>
      <c r="HG33" t="e">
        <f>AND(#REF!,"AAAAAE+9/tY=")</f>
        <v>#REF!</v>
      </c>
      <c r="HH33" t="e">
        <f>AND(#REF!,"AAAAAE+9/tc=")</f>
        <v>#REF!</v>
      </c>
      <c r="HI33" t="e">
        <f>AND(#REF!,"AAAAAE+9/tg=")</f>
        <v>#REF!</v>
      </c>
      <c r="HJ33" t="e">
        <f>AND(#REF!,"AAAAAE+9/tk=")</f>
        <v>#REF!</v>
      </c>
      <c r="HK33" t="e">
        <f>AND(#REF!,"AAAAAE+9/to=")</f>
        <v>#REF!</v>
      </c>
      <c r="HL33" t="e">
        <f>AND(#REF!,"AAAAAE+9/ts=")</f>
        <v>#REF!</v>
      </c>
      <c r="HM33" t="e">
        <f>AND(#REF!,"AAAAAE+9/tw=")</f>
        <v>#REF!</v>
      </c>
      <c r="HN33" t="e">
        <f>IF(#REF!,"AAAAAE+9/t0=",0)</f>
        <v>#REF!</v>
      </c>
      <c r="HO33" t="e">
        <f>AND(#REF!,"AAAAAE+9/t4=")</f>
        <v>#REF!</v>
      </c>
      <c r="HP33" t="e">
        <f>AND(#REF!,"AAAAAE+9/t8=")</f>
        <v>#REF!</v>
      </c>
      <c r="HQ33" t="e">
        <f>AND(#REF!,"AAAAAE+9/uA=")</f>
        <v>#REF!</v>
      </c>
      <c r="HR33" t="e">
        <f>AND(#REF!,"AAAAAE+9/uE=")</f>
        <v>#REF!</v>
      </c>
      <c r="HS33" t="e">
        <f>AND(#REF!,"AAAAAE+9/uI=")</f>
        <v>#REF!</v>
      </c>
      <c r="HT33" t="e">
        <f>AND(#REF!,"AAAAAE+9/uM=")</f>
        <v>#REF!</v>
      </c>
      <c r="HU33" t="e">
        <f>AND(#REF!,"AAAAAE+9/uQ=")</f>
        <v>#REF!</v>
      </c>
      <c r="HV33" t="e">
        <f>AND(#REF!,"AAAAAE+9/uU=")</f>
        <v>#REF!</v>
      </c>
      <c r="HW33" t="e">
        <f>AND(#REF!,"AAAAAE+9/uY=")</f>
        <v>#REF!</v>
      </c>
      <c r="HX33" t="e">
        <f>IF(#REF!,"AAAAAE+9/uc=",0)</f>
        <v>#REF!</v>
      </c>
      <c r="HY33" t="e">
        <f>AND(#REF!,"AAAAAE+9/ug=")</f>
        <v>#REF!</v>
      </c>
      <c r="HZ33" t="e">
        <f>AND(#REF!,"AAAAAE+9/uk=")</f>
        <v>#REF!</v>
      </c>
      <c r="IA33" t="e">
        <f>AND(#REF!,"AAAAAE+9/uo=")</f>
        <v>#REF!</v>
      </c>
      <c r="IB33" t="e">
        <f>AND(#REF!,"AAAAAE+9/us=")</f>
        <v>#REF!</v>
      </c>
      <c r="IC33" t="e">
        <f>AND(#REF!,"AAAAAE+9/uw=")</f>
        <v>#REF!</v>
      </c>
      <c r="ID33" t="e">
        <f>AND(#REF!,"AAAAAE+9/u0=")</f>
        <v>#REF!</v>
      </c>
      <c r="IE33" t="e">
        <f>AND(#REF!,"AAAAAE+9/u4=")</f>
        <v>#REF!</v>
      </c>
      <c r="IF33" t="e">
        <f>AND(#REF!,"AAAAAE+9/u8=")</f>
        <v>#REF!</v>
      </c>
      <c r="IG33" t="e">
        <f>AND(#REF!,"AAAAAE+9/vA=")</f>
        <v>#REF!</v>
      </c>
      <c r="IH33" t="e">
        <f>IF(#REF!,"AAAAAE+9/vE=",0)</f>
        <v>#REF!</v>
      </c>
      <c r="II33" t="e">
        <f>AND(#REF!,"AAAAAE+9/vI=")</f>
        <v>#REF!</v>
      </c>
      <c r="IJ33" t="e">
        <f>AND(#REF!,"AAAAAE+9/vM=")</f>
        <v>#REF!</v>
      </c>
      <c r="IK33" t="e">
        <f>AND(#REF!,"AAAAAE+9/vQ=")</f>
        <v>#REF!</v>
      </c>
      <c r="IL33" t="e">
        <f>AND(#REF!,"AAAAAE+9/vU=")</f>
        <v>#REF!</v>
      </c>
      <c r="IM33" t="e">
        <f>AND(#REF!,"AAAAAE+9/vY=")</f>
        <v>#REF!</v>
      </c>
      <c r="IN33" t="e">
        <f>AND(#REF!,"AAAAAE+9/vc=")</f>
        <v>#REF!</v>
      </c>
      <c r="IO33" t="e">
        <f>AND(#REF!,"AAAAAE+9/vg=")</f>
        <v>#REF!</v>
      </c>
      <c r="IP33" t="e">
        <f>AND(#REF!,"AAAAAE+9/vk=")</f>
        <v>#REF!</v>
      </c>
      <c r="IQ33" t="e">
        <f>AND(#REF!,"AAAAAE+9/vo=")</f>
        <v>#REF!</v>
      </c>
      <c r="IR33" t="e">
        <f>IF(#REF!,"AAAAAE+9/vs=",0)</f>
        <v>#REF!</v>
      </c>
      <c r="IS33" t="e">
        <f>AND(#REF!,"AAAAAE+9/vw=")</f>
        <v>#REF!</v>
      </c>
      <c r="IT33" t="e">
        <f>AND(#REF!,"AAAAAE+9/v0=")</f>
        <v>#REF!</v>
      </c>
      <c r="IU33" t="e">
        <f>AND(#REF!,"AAAAAE+9/v4=")</f>
        <v>#REF!</v>
      </c>
      <c r="IV33" t="e">
        <f>AND(#REF!,"AAAAAE+9/v8=")</f>
        <v>#REF!</v>
      </c>
    </row>
    <row r="34" spans="1:256">
      <c r="A34" t="e">
        <f>AND(#REF!,"AAAAADdc7wA=")</f>
        <v>#REF!</v>
      </c>
      <c r="B34" t="e">
        <f>AND(#REF!,"AAAAADdc7wE=")</f>
        <v>#REF!</v>
      </c>
      <c r="C34" t="e">
        <f>AND(#REF!,"AAAAADdc7wI=")</f>
        <v>#REF!</v>
      </c>
      <c r="D34" t="e">
        <f>AND(#REF!,"AAAAADdc7wM=")</f>
        <v>#REF!</v>
      </c>
      <c r="E34" t="e">
        <f>AND(#REF!,"AAAAADdc7wQ=")</f>
        <v>#REF!</v>
      </c>
      <c r="F34" t="e">
        <f>IF(#REF!,"AAAAADdc7wU=",0)</f>
        <v>#REF!</v>
      </c>
      <c r="G34" t="e">
        <f>AND(#REF!,"AAAAADdc7wY=")</f>
        <v>#REF!</v>
      </c>
      <c r="H34" t="e">
        <f>AND(#REF!,"AAAAADdc7wc=")</f>
        <v>#REF!</v>
      </c>
      <c r="I34" t="e">
        <f>AND(#REF!,"AAAAADdc7wg=")</f>
        <v>#REF!</v>
      </c>
      <c r="J34" t="e">
        <f>AND(#REF!,"AAAAADdc7wk=")</f>
        <v>#REF!</v>
      </c>
      <c r="K34" t="e">
        <f>AND(#REF!,"AAAAADdc7wo=")</f>
        <v>#REF!</v>
      </c>
      <c r="L34" t="e">
        <f>AND(#REF!,"AAAAADdc7ws=")</f>
        <v>#REF!</v>
      </c>
      <c r="M34" t="e">
        <f>AND(#REF!,"AAAAADdc7ww=")</f>
        <v>#REF!</v>
      </c>
      <c r="N34" t="e">
        <f>AND(#REF!,"AAAAADdc7w0=")</f>
        <v>#REF!</v>
      </c>
      <c r="O34" t="e">
        <f>AND(#REF!,"AAAAADdc7w4=")</f>
        <v>#REF!</v>
      </c>
      <c r="P34" t="e">
        <f>IF(#REF!,"AAAAADdc7w8=",0)</f>
        <v>#REF!</v>
      </c>
      <c r="Q34" t="e">
        <f>AND(#REF!,"AAAAADdc7xA=")</f>
        <v>#REF!</v>
      </c>
      <c r="R34" t="e">
        <f>AND(#REF!,"AAAAADdc7xE=")</f>
        <v>#REF!</v>
      </c>
      <c r="S34" t="e">
        <f>AND(#REF!,"AAAAADdc7xI=")</f>
        <v>#REF!</v>
      </c>
      <c r="T34" t="e">
        <f>AND(#REF!,"AAAAADdc7xM=")</f>
        <v>#REF!</v>
      </c>
      <c r="U34" t="e">
        <f>AND(#REF!,"AAAAADdc7xQ=")</f>
        <v>#REF!</v>
      </c>
      <c r="V34" t="e">
        <f>AND(#REF!,"AAAAADdc7xU=")</f>
        <v>#REF!</v>
      </c>
      <c r="W34" t="e">
        <f>AND(#REF!,"AAAAADdc7xY=")</f>
        <v>#REF!</v>
      </c>
      <c r="X34" t="e">
        <f>AND(#REF!,"AAAAADdc7xc=")</f>
        <v>#REF!</v>
      </c>
      <c r="Y34" t="e">
        <f>AND(#REF!,"AAAAADdc7xg=")</f>
        <v>#REF!</v>
      </c>
      <c r="Z34" t="e">
        <f>IF(#REF!,"AAAAADdc7xk=",0)</f>
        <v>#REF!</v>
      </c>
      <c r="AA34" t="e">
        <f>AND(#REF!,"AAAAADdc7xo=")</f>
        <v>#REF!</v>
      </c>
      <c r="AB34" t="e">
        <f>AND(#REF!,"AAAAADdc7xs=")</f>
        <v>#REF!</v>
      </c>
      <c r="AC34" t="e">
        <f>AND(#REF!,"AAAAADdc7xw=")</f>
        <v>#REF!</v>
      </c>
      <c r="AD34" t="e">
        <f>AND(#REF!,"AAAAADdc7x0=")</f>
        <v>#REF!</v>
      </c>
      <c r="AE34" t="e">
        <f>AND(#REF!,"AAAAADdc7x4=")</f>
        <v>#REF!</v>
      </c>
      <c r="AF34" t="e">
        <f>AND(#REF!,"AAAAADdc7x8=")</f>
        <v>#REF!</v>
      </c>
      <c r="AG34" t="e">
        <f>AND(#REF!,"AAAAADdc7yA=")</f>
        <v>#REF!</v>
      </c>
      <c r="AH34" t="e">
        <f>AND(#REF!,"AAAAADdc7yE=")</f>
        <v>#REF!</v>
      </c>
      <c r="AI34" t="e">
        <f>AND(#REF!,"AAAAADdc7yI=")</f>
        <v>#REF!</v>
      </c>
      <c r="AJ34" t="e">
        <f>IF(#REF!,"AAAAADdc7yM=",0)</f>
        <v>#REF!</v>
      </c>
      <c r="AK34" t="e">
        <f>AND(#REF!,"AAAAADdc7yQ=")</f>
        <v>#REF!</v>
      </c>
      <c r="AL34" t="e">
        <f>AND(#REF!,"AAAAADdc7yU=")</f>
        <v>#REF!</v>
      </c>
      <c r="AM34" t="e">
        <f>AND(#REF!,"AAAAADdc7yY=")</f>
        <v>#REF!</v>
      </c>
      <c r="AN34" t="e">
        <f>AND(#REF!,"AAAAADdc7yc=")</f>
        <v>#REF!</v>
      </c>
      <c r="AO34" t="e">
        <f>AND(#REF!,"AAAAADdc7yg=")</f>
        <v>#REF!</v>
      </c>
      <c r="AP34" t="e">
        <f>AND(#REF!,"AAAAADdc7yk=")</f>
        <v>#REF!</v>
      </c>
      <c r="AQ34" t="e">
        <f>AND(#REF!,"AAAAADdc7yo=")</f>
        <v>#REF!</v>
      </c>
      <c r="AR34" t="e">
        <f>AND(#REF!,"AAAAADdc7ys=")</f>
        <v>#REF!</v>
      </c>
      <c r="AS34" t="e">
        <f>AND(#REF!,"AAAAADdc7yw=")</f>
        <v>#REF!</v>
      </c>
      <c r="AT34" t="e">
        <f>IF(#REF!,"AAAAADdc7y0=",0)</f>
        <v>#REF!</v>
      </c>
      <c r="AU34" t="e">
        <f>AND(#REF!,"AAAAADdc7y4=")</f>
        <v>#REF!</v>
      </c>
      <c r="AV34" t="e">
        <f>AND(#REF!,"AAAAADdc7y8=")</f>
        <v>#REF!</v>
      </c>
      <c r="AW34" t="e">
        <f>AND(#REF!,"AAAAADdc7zA=")</f>
        <v>#REF!</v>
      </c>
      <c r="AX34" t="e">
        <f>AND(#REF!,"AAAAADdc7zE=")</f>
        <v>#REF!</v>
      </c>
      <c r="AY34" t="e">
        <f>AND(#REF!,"AAAAADdc7zI=")</f>
        <v>#REF!</v>
      </c>
      <c r="AZ34" t="e">
        <f>AND(#REF!,"AAAAADdc7zM=")</f>
        <v>#REF!</v>
      </c>
      <c r="BA34" t="e">
        <f>AND(#REF!,"AAAAADdc7zQ=")</f>
        <v>#REF!</v>
      </c>
      <c r="BB34" t="e">
        <f>AND(#REF!,"AAAAADdc7zU=")</f>
        <v>#REF!</v>
      </c>
      <c r="BC34" t="e">
        <f>AND(#REF!,"AAAAADdc7zY=")</f>
        <v>#REF!</v>
      </c>
      <c r="BD34" t="e">
        <f>IF(#REF!,"AAAAADdc7zc=",0)</f>
        <v>#REF!</v>
      </c>
      <c r="BE34" t="e">
        <f>AND(#REF!,"AAAAADdc7zg=")</f>
        <v>#REF!</v>
      </c>
      <c r="BF34" t="e">
        <f>AND(#REF!,"AAAAADdc7zk=")</f>
        <v>#REF!</v>
      </c>
      <c r="BG34" t="e">
        <f>AND(#REF!,"AAAAADdc7zo=")</f>
        <v>#REF!</v>
      </c>
      <c r="BH34" t="e">
        <f>AND(#REF!,"AAAAADdc7zs=")</f>
        <v>#REF!</v>
      </c>
      <c r="BI34" t="e">
        <f>AND(#REF!,"AAAAADdc7zw=")</f>
        <v>#REF!</v>
      </c>
      <c r="BJ34" t="e">
        <f>AND(#REF!,"AAAAADdc7z0=")</f>
        <v>#REF!</v>
      </c>
      <c r="BK34" t="e">
        <f>AND(#REF!,"AAAAADdc7z4=")</f>
        <v>#REF!</v>
      </c>
      <c r="BL34" t="e">
        <f>AND(#REF!,"AAAAADdc7z8=")</f>
        <v>#REF!</v>
      </c>
      <c r="BM34" t="e">
        <f>AND(#REF!,"AAAAADdc70A=")</f>
        <v>#REF!</v>
      </c>
      <c r="BN34" t="e">
        <f>IF(#REF!,"AAAAADdc70E=",0)</f>
        <v>#REF!</v>
      </c>
      <c r="BO34" t="e">
        <f>AND(#REF!,"AAAAADdc70I=")</f>
        <v>#REF!</v>
      </c>
      <c r="BP34" t="e">
        <f>AND(#REF!,"AAAAADdc70M=")</f>
        <v>#REF!</v>
      </c>
      <c r="BQ34" t="e">
        <f>AND(#REF!,"AAAAADdc70Q=")</f>
        <v>#REF!</v>
      </c>
      <c r="BR34" t="e">
        <f>AND(#REF!,"AAAAADdc70U=")</f>
        <v>#REF!</v>
      </c>
      <c r="BS34" t="e">
        <f>AND(#REF!,"AAAAADdc70Y=")</f>
        <v>#REF!</v>
      </c>
      <c r="BT34" t="e">
        <f>AND(#REF!,"AAAAADdc70c=")</f>
        <v>#REF!</v>
      </c>
      <c r="BU34" t="e">
        <f>AND(#REF!,"AAAAADdc70g=")</f>
        <v>#REF!</v>
      </c>
      <c r="BV34" t="e">
        <f>AND(#REF!,"AAAAADdc70k=")</f>
        <v>#REF!</v>
      </c>
      <c r="BW34" t="e">
        <f>AND(#REF!,"AAAAADdc70o=")</f>
        <v>#REF!</v>
      </c>
      <c r="BX34" t="e">
        <f>IF(#REF!,"AAAAADdc70s=",0)</f>
        <v>#REF!</v>
      </c>
      <c r="BY34" t="e">
        <f>AND(#REF!,"AAAAADdc70w=")</f>
        <v>#REF!</v>
      </c>
      <c r="BZ34" t="e">
        <f>AND(#REF!,"AAAAADdc700=")</f>
        <v>#REF!</v>
      </c>
      <c r="CA34" t="e">
        <f>AND(#REF!,"AAAAADdc704=")</f>
        <v>#REF!</v>
      </c>
      <c r="CB34" t="e">
        <f>AND(#REF!,"AAAAADdc708=")</f>
        <v>#REF!</v>
      </c>
      <c r="CC34" t="e">
        <f>AND(#REF!,"AAAAADdc71A=")</f>
        <v>#REF!</v>
      </c>
      <c r="CD34" t="e">
        <f>AND(#REF!,"AAAAADdc71E=")</f>
        <v>#REF!</v>
      </c>
      <c r="CE34" t="e">
        <f>AND(#REF!,"AAAAADdc71I=")</f>
        <v>#REF!</v>
      </c>
      <c r="CF34" t="e">
        <f>AND(#REF!,"AAAAADdc71M=")</f>
        <v>#REF!</v>
      </c>
      <c r="CG34" t="e">
        <f>AND(#REF!,"AAAAADdc71Q=")</f>
        <v>#REF!</v>
      </c>
      <c r="CH34" t="e">
        <f>IF(#REF!,"AAAAADdc71U=",0)</f>
        <v>#REF!</v>
      </c>
      <c r="CI34" t="e">
        <f>AND(#REF!,"AAAAADdc71Y=")</f>
        <v>#REF!</v>
      </c>
      <c r="CJ34" t="e">
        <f>AND(#REF!,"AAAAADdc71c=")</f>
        <v>#REF!</v>
      </c>
      <c r="CK34" t="e">
        <f>AND(#REF!,"AAAAADdc71g=")</f>
        <v>#REF!</v>
      </c>
      <c r="CL34" t="e">
        <f>AND(#REF!,"AAAAADdc71k=")</f>
        <v>#REF!</v>
      </c>
      <c r="CM34" t="e">
        <f>AND(#REF!,"AAAAADdc71o=")</f>
        <v>#REF!</v>
      </c>
      <c r="CN34" t="e">
        <f>AND(#REF!,"AAAAADdc71s=")</f>
        <v>#REF!</v>
      </c>
      <c r="CO34" t="e">
        <f>AND(#REF!,"AAAAADdc71w=")</f>
        <v>#REF!</v>
      </c>
      <c r="CP34" t="e">
        <f>AND(#REF!,"AAAAADdc710=")</f>
        <v>#REF!</v>
      </c>
      <c r="CQ34" t="e">
        <f>AND(#REF!,"AAAAADdc714=")</f>
        <v>#REF!</v>
      </c>
      <c r="CR34" t="e">
        <f>IF(#REF!,"AAAAADdc718=",0)</f>
        <v>#REF!</v>
      </c>
      <c r="CS34" t="e">
        <f>AND(#REF!,"AAAAADdc72A=")</f>
        <v>#REF!</v>
      </c>
      <c r="CT34" t="e">
        <f>AND(#REF!,"AAAAADdc72E=")</f>
        <v>#REF!</v>
      </c>
      <c r="CU34" t="e">
        <f>AND(#REF!,"AAAAADdc72I=")</f>
        <v>#REF!</v>
      </c>
      <c r="CV34" t="e">
        <f>AND(#REF!,"AAAAADdc72M=")</f>
        <v>#REF!</v>
      </c>
      <c r="CW34" t="e">
        <f>AND(#REF!,"AAAAADdc72Q=")</f>
        <v>#REF!</v>
      </c>
      <c r="CX34" t="e">
        <f>AND(#REF!,"AAAAADdc72U=")</f>
        <v>#REF!</v>
      </c>
      <c r="CY34" t="e">
        <f>AND(#REF!,"AAAAADdc72Y=")</f>
        <v>#REF!</v>
      </c>
      <c r="CZ34" t="e">
        <f>AND(#REF!,"AAAAADdc72c=")</f>
        <v>#REF!</v>
      </c>
      <c r="DA34" t="e">
        <f>AND(#REF!,"AAAAADdc72g=")</f>
        <v>#REF!</v>
      </c>
      <c r="DB34" t="e">
        <f>IF(#REF!,"AAAAADdc72k=",0)</f>
        <v>#REF!</v>
      </c>
      <c r="DC34" t="e">
        <f>AND(#REF!,"AAAAADdc72o=")</f>
        <v>#REF!</v>
      </c>
      <c r="DD34" t="e">
        <f>AND(#REF!,"AAAAADdc72s=")</f>
        <v>#REF!</v>
      </c>
      <c r="DE34" t="e">
        <f>AND(#REF!,"AAAAADdc72w=")</f>
        <v>#REF!</v>
      </c>
      <c r="DF34" t="e">
        <f>AND(#REF!,"AAAAADdc720=")</f>
        <v>#REF!</v>
      </c>
      <c r="DG34" t="e">
        <f>AND(#REF!,"AAAAADdc724=")</f>
        <v>#REF!</v>
      </c>
      <c r="DH34" t="e">
        <f>AND(#REF!,"AAAAADdc728=")</f>
        <v>#REF!</v>
      </c>
      <c r="DI34" t="e">
        <f>AND(#REF!,"AAAAADdc73A=")</f>
        <v>#REF!</v>
      </c>
      <c r="DJ34" t="e">
        <f>AND(#REF!,"AAAAADdc73E=")</f>
        <v>#REF!</v>
      </c>
      <c r="DK34" t="e">
        <f>AND(#REF!,"AAAAADdc73I=")</f>
        <v>#REF!</v>
      </c>
      <c r="DL34" t="e">
        <f>IF(#REF!,"AAAAADdc73M=",0)</f>
        <v>#REF!</v>
      </c>
      <c r="DM34" t="e">
        <f>AND(#REF!,"AAAAADdc73Q=")</f>
        <v>#REF!</v>
      </c>
      <c r="DN34" t="e">
        <f>AND(#REF!,"AAAAADdc73U=")</f>
        <v>#REF!</v>
      </c>
      <c r="DO34" t="e">
        <f>AND(#REF!,"AAAAADdc73Y=")</f>
        <v>#REF!</v>
      </c>
      <c r="DP34" t="e">
        <f>AND(#REF!,"AAAAADdc73c=")</f>
        <v>#REF!</v>
      </c>
      <c r="DQ34" t="e">
        <f>AND(#REF!,"AAAAADdc73g=")</f>
        <v>#REF!</v>
      </c>
      <c r="DR34" t="e">
        <f>AND(#REF!,"AAAAADdc73k=")</f>
        <v>#REF!</v>
      </c>
      <c r="DS34" t="e">
        <f>AND(#REF!,"AAAAADdc73o=")</f>
        <v>#REF!</v>
      </c>
      <c r="DT34" t="e">
        <f>AND(#REF!,"AAAAADdc73s=")</f>
        <v>#REF!</v>
      </c>
      <c r="DU34" t="e">
        <f>AND(#REF!,"AAAAADdc73w=")</f>
        <v>#REF!</v>
      </c>
      <c r="DV34" t="e">
        <f>IF(#REF!,"AAAAADdc730=",0)</f>
        <v>#REF!</v>
      </c>
      <c r="DW34" t="e">
        <f>AND(#REF!,"AAAAADdc734=")</f>
        <v>#REF!</v>
      </c>
      <c r="DX34" t="e">
        <f>AND(#REF!,"AAAAADdc738=")</f>
        <v>#REF!</v>
      </c>
      <c r="DY34" t="e">
        <f>AND(#REF!,"AAAAADdc74A=")</f>
        <v>#REF!</v>
      </c>
      <c r="DZ34" t="e">
        <f>AND(#REF!,"AAAAADdc74E=")</f>
        <v>#REF!</v>
      </c>
      <c r="EA34" t="e">
        <f>AND(#REF!,"AAAAADdc74I=")</f>
        <v>#REF!</v>
      </c>
      <c r="EB34" t="e">
        <f>AND(#REF!,"AAAAADdc74M=")</f>
        <v>#REF!</v>
      </c>
      <c r="EC34" t="e">
        <f>AND(#REF!,"AAAAADdc74Q=")</f>
        <v>#REF!</v>
      </c>
      <c r="ED34" t="e">
        <f>AND(#REF!,"AAAAADdc74U=")</f>
        <v>#REF!</v>
      </c>
      <c r="EE34" t="e">
        <f>AND(#REF!,"AAAAADdc74Y=")</f>
        <v>#REF!</v>
      </c>
      <c r="EF34" t="e">
        <f>IF(#REF!,"AAAAADdc74c=",0)</f>
        <v>#REF!</v>
      </c>
      <c r="EG34" t="e">
        <f>AND(#REF!,"AAAAADdc74g=")</f>
        <v>#REF!</v>
      </c>
      <c r="EH34" t="e">
        <f>AND(#REF!,"AAAAADdc74k=")</f>
        <v>#REF!</v>
      </c>
      <c r="EI34" t="e">
        <f>AND(#REF!,"AAAAADdc74o=")</f>
        <v>#REF!</v>
      </c>
      <c r="EJ34" t="e">
        <f>AND(#REF!,"AAAAADdc74s=")</f>
        <v>#REF!</v>
      </c>
      <c r="EK34" t="e">
        <f>AND(#REF!,"AAAAADdc74w=")</f>
        <v>#REF!</v>
      </c>
      <c r="EL34" t="e">
        <f>AND(#REF!,"AAAAADdc740=")</f>
        <v>#REF!</v>
      </c>
      <c r="EM34" t="e">
        <f>AND(#REF!,"AAAAADdc744=")</f>
        <v>#REF!</v>
      </c>
      <c r="EN34" t="e">
        <f>AND(#REF!,"AAAAADdc748=")</f>
        <v>#REF!</v>
      </c>
      <c r="EO34" t="e">
        <f>AND(#REF!,"AAAAADdc75A=")</f>
        <v>#REF!</v>
      </c>
      <c r="EP34" t="e">
        <f>IF(#REF!,"AAAAADdc75E=",0)</f>
        <v>#REF!</v>
      </c>
      <c r="EQ34" t="e">
        <f>AND(#REF!,"AAAAADdc75I=")</f>
        <v>#REF!</v>
      </c>
      <c r="ER34" t="e">
        <f>AND(#REF!,"AAAAADdc75M=")</f>
        <v>#REF!</v>
      </c>
      <c r="ES34" t="e">
        <f>AND(#REF!,"AAAAADdc75Q=")</f>
        <v>#REF!</v>
      </c>
      <c r="ET34" t="e">
        <f>AND(#REF!,"AAAAADdc75U=")</f>
        <v>#REF!</v>
      </c>
      <c r="EU34" t="e">
        <f>AND(#REF!,"AAAAADdc75Y=")</f>
        <v>#REF!</v>
      </c>
      <c r="EV34" t="e">
        <f>AND(#REF!,"AAAAADdc75c=")</f>
        <v>#REF!</v>
      </c>
      <c r="EW34" t="e">
        <f>AND(#REF!,"AAAAADdc75g=")</f>
        <v>#REF!</v>
      </c>
      <c r="EX34" t="e">
        <f>AND(#REF!,"AAAAADdc75k=")</f>
        <v>#REF!</v>
      </c>
      <c r="EY34" t="e">
        <f>AND(#REF!,"AAAAADdc75o=")</f>
        <v>#REF!</v>
      </c>
      <c r="EZ34" t="e">
        <f>IF(#REF!,"AAAAADdc75s=",0)</f>
        <v>#REF!</v>
      </c>
      <c r="FA34" t="e">
        <f>AND(#REF!,"AAAAADdc75w=")</f>
        <v>#REF!</v>
      </c>
      <c r="FB34" t="e">
        <f>AND(#REF!,"AAAAADdc750=")</f>
        <v>#REF!</v>
      </c>
      <c r="FC34" t="e">
        <f>AND(#REF!,"AAAAADdc754=")</f>
        <v>#REF!</v>
      </c>
      <c r="FD34" t="e">
        <f>AND(#REF!,"AAAAADdc758=")</f>
        <v>#REF!</v>
      </c>
      <c r="FE34" t="e">
        <f>AND(#REF!,"AAAAADdc76A=")</f>
        <v>#REF!</v>
      </c>
      <c r="FF34" t="e">
        <f>AND(#REF!,"AAAAADdc76E=")</f>
        <v>#REF!</v>
      </c>
      <c r="FG34" t="e">
        <f>AND(#REF!,"AAAAADdc76I=")</f>
        <v>#REF!</v>
      </c>
      <c r="FH34" t="e">
        <f>AND(#REF!,"AAAAADdc76M=")</f>
        <v>#REF!</v>
      </c>
      <c r="FI34" t="e">
        <f>AND(#REF!,"AAAAADdc76Q=")</f>
        <v>#REF!</v>
      </c>
      <c r="FJ34" t="e">
        <f>IF(#REF!,"AAAAADdc76U=",0)</f>
        <v>#REF!</v>
      </c>
      <c r="FK34" t="e">
        <f>AND(#REF!,"AAAAADdc76Y=")</f>
        <v>#REF!</v>
      </c>
      <c r="FL34" t="e">
        <f>AND(#REF!,"AAAAADdc76c=")</f>
        <v>#REF!</v>
      </c>
      <c r="FM34" t="e">
        <f>AND(#REF!,"AAAAADdc76g=")</f>
        <v>#REF!</v>
      </c>
      <c r="FN34" t="e">
        <f>AND(#REF!,"AAAAADdc76k=")</f>
        <v>#REF!</v>
      </c>
      <c r="FO34" t="e">
        <f>AND(#REF!,"AAAAADdc76o=")</f>
        <v>#REF!</v>
      </c>
      <c r="FP34" t="e">
        <f>AND(#REF!,"AAAAADdc76s=")</f>
        <v>#REF!</v>
      </c>
      <c r="FQ34" t="e">
        <f>AND(#REF!,"AAAAADdc76w=")</f>
        <v>#REF!</v>
      </c>
      <c r="FR34" t="e">
        <f>AND(#REF!,"AAAAADdc760=")</f>
        <v>#REF!</v>
      </c>
      <c r="FS34" t="e">
        <f>AND(#REF!,"AAAAADdc764=")</f>
        <v>#REF!</v>
      </c>
      <c r="FT34" t="e">
        <f>IF(#REF!,"AAAAADdc768=",0)</f>
        <v>#REF!</v>
      </c>
      <c r="FU34" t="e">
        <f>AND(#REF!,"AAAAADdc77A=")</f>
        <v>#REF!</v>
      </c>
      <c r="FV34" t="e">
        <f>AND(#REF!,"AAAAADdc77E=")</f>
        <v>#REF!</v>
      </c>
      <c r="FW34" t="e">
        <f>AND(#REF!,"AAAAADdc77I=")</f>
        <v>#REF!</v>
      </c>
      <c r="FX34" t="e">
        <f>AND(#REF!,"AAAAADdc77M=")</f>
        <v>#REF!</v>
      </c>
      <c r="FY34" t="e">
        <f>AND(#REF!,"AAAAADdc77Q=")</f>
        <v>#REF!</v>
      </c>
      <c r="FZ34" t="e">
        <f>AND(#REF!,"AAAAADdc77U=")</f>
        <v>#REF!</v>
      </c>
      <c r="GA34" t="e">
        <f>AND(#REF!,"AAAAADdc77Y=")</f>
        <v>#REF!</v>
      </c>
      <c r="GB34" t="e">
        <f>AND(#REF!,"AAAAADdc77c=")</f>
        <v>#REF!</v>
      </c>
      <c r="GC34" t="e">
        <f>AND(#REF!,"AAAAADdc77g=")</f>
        <v>#REF!</v>
      </c>
      <c r="GD34" t="e">
        <f>IF(#REF!,"AAAAADdc77k=",0)</f>
        <v>#REF!</v>
      </c>
      <c r="GE34" t="e">
        <f>AND(#REF!,"AAAAADdc77o=")</f>
        <v>#REF!</v>
      </c>
      <c r="GF34" t="e">
        <f>AND(#REF!,"AAAAADdc77s=")</f>
        <v>#REF!</v>
      </c>
      <c r="GG34" t="e">
        <f>AND(#REF!,"AAAAADdc77w=")</f>
        <v>#REF!</v>
      </c>
      <c r="GH34" t="e">
        <f>AND(#REF!,"AAAAADdc770=")</f>
        <v>#REF!</v>
      </c>
      <c r="GI34" t="e">
        <f>AND(#REF!,"AAAAADdc774=")</f>
        <v>#REF!</v>
      </c>
      <c r="GJ34" t="e">
        <f>AND(#REF!,"AAAAADdc778=")</f>
        <v>#REF!</v>
      </c>
      <c r="GK34" t="e">
        <f>AND(#REF!,"AAAAADdc78A=")</f>
        <v>#REF!</v>
      </c>
      <c r="GL34" t="e">
        <f>AND(#REF!,"AAAAADdc78E=")</f>
        <v>#REF!</v>
      </c>
      <c r="GM34" t="e">
        <f>AND(#REF!,"AAAAADdc78I=")</f>
        <v>#REF!</v>
      </c>
      <c r="GN34" t="e">
        <f>IF(#REF!,"AAAAADdc78M=",0)</f>
        <v>#REF!</v>
      </c>
      <c r="GO34" t="e">
        <f>AND(#REF!,"AAAAADdc78Q=")</f>
        <v>#REF!</v>
      </c>
      <c r="GP34" t="e">
        <f>AND(#REF!,"AAAAADdc78U=")</f>
        <v>#REF!</v>
      </c>
      <c r="GQ34" t="e">
        <f>AND(#REF!,"AAAAADdc78Y=")</f>
        <v>#REF!</v>
      </c>
      <c r="GR34" t="e">
        <f>AND(#REF!,"AAAAADdc78c=")</f>
        <v>#REF!</v>
      </c>
      <c r="GS34" t="e">
        <f>AND(#REF!,"AAAAADdc78g=")</f>
        <v>#REF!</v>
      </c>
      <c r="GT34" t="e">
        <f>AND(#REF!,"AAAAADdc78k=")</f>
        <v>#REF!</v>
      </c>
      <c r="GU34" t="e">
        <f>AND(#REF!,"AAAAADdc78o=")</f>
        <v>#REF!</v>
      </c>
      <c r="GV34" t="e">
        <f>AND(#REF!,"AAAAADdc78s=")</f>
        <v>#REF!</v>
      </c>
      <c r="GW34" t="e">
        <f>AND(#REF!,"AAAAADdc78w=")</f>
        <v>#REF!</v>
      </c>
      <c r="GX34" t="e">
        <f>IF(#REF!,"AAAAADdc780=",0)</f>
        <v>#REF!</v>
      </c>
      <c r="GY34" t="e">
        <f>AND(#REF!,"AAAAADdc784=")</f>
        <v>#REF!</v>
      </c>
      <c r="GZ34" t="e">
        <f>AND(#REF!,"AAAAADdc788=")</f>
        <v>#REF!</v>
      </c>
      <c r="HA34" t="e">
        <f>AND(#REF!,"AAAAADdc79A=")</f>
        <v>#REF!</v>
      </c>
      <c r="HB34" t="e">
        <f>AND(#REF!,"AAAAADdc79E=")</f>
        <v>#REF!</v>
      </c>
      <c r="HC34" t="e">
        <f>AND(#REF!,"AAAAADdc79I=")</f>
        <v>#REF!</v>
      </c>
      <c r="HD34" t="e">
        <f>AND(#REF!,"AAAAADdc79M=")</f>
        <v>#REF!</v>
      </c>
      <c r="HE34" t="e">
        <f>AND(#REF!,"AAAAADdc79Q=")</f>
        <v>#REF!</v>
      </c>
      <c r="HF34" t="e">
        <f>AND(#REF!,"AAAAADdc79U=")</f>
        <v>#REF!</v>
      </c>
      <c r="HG34" t="e">
        <f>AND(#REF!,"AAAAADdc79Y=")</f>
        <v>#REF!</v>
      </c>
      <c r="HH34" t="e">
        <f>IF(#REF!,"AAAAADdc79c=",0)</f>
        <v>#REF!</v>
      </c>
      <c r="HI34" t="e">
        <f>AND(#REF!,"AAAAADdc79g=")</f>
        <v>#REF!</v>
      </c>
      <c r="HJ34" t="e">
        <f>AND(#REF!,"AAAAADdc79k=")</f>
        <v>#REF!</v>
      </c>
      <c r="HK34" t="e">
        <f>AND(#REF!,"AAAAADdc79o=")</f>
        <v>#REF!</v>
      </c>
      <c r="HL34" t="e">
        <f>AND(#REF!,"AAAAADdc79s=")</f>
        <v>#REF!</v>
      </c>
      <c r="HM34" t="e">
        <f>AND(#REF!,"AAAAADdc79w=")</f>
        <v>#REF!</v>
      </c>
      <c r="HN34" t="e">
        <f>AND(#REF!,"AAAAADdc790=")</f>
        <v>#REF!</v>
      </c>
      <c r="HO34" t="e">
        <f>AND(#REF!,"AAAAADdc794=")</f>
        <v>#REF!</v>
      </c>
      <c r="HP34" t="e">
        <f>AND(#REF!,"AAAAADdc798=")</f>
        <v>#REF!</v>
      </c>
      <c r="HQ34" t="e">
        <f>AND(#REF!,"AAAAADdc7+A=")</f>
        <v>#REF!</v>
      </c>
      <c r="HR34" t="e">
        <f>IF(#REF!,"AAAAADdc7+E=",0)</f>
        <v>#REF!</v>
      </c>
      <c r="HS34" t="e">
        <f>AND(#REF!,"AAAAADdc7+I=")</f>
        <v>#REF!</v>
      </c>
      <c r="HT34" t="e">
        <f>AND(#REF!,"AAAAADdc7+M=")</f>
        <v>#REF!</v>
      </c>
      <c r="HU34" t="e">
        <f>AND(#REF!,"AAAAADdc7+Q=")</f>
        <v>#REF!</v>
      </c>
      <c r="HV34" t="e">
        <f>AND(#REF!,"AAAAADdc7+U=")</f>
        <v>#REF!</v>
      </c>
      <c r="HW34" t="e">
        <f>AND(#REF!,"AAAAADdc7+Y=")</f>
        <v>#REF!</v>
      </c>
      <c r="HX34" t="e">
        <f>AND(#REF!,"AAAAADdc7+c=")</f>
        <v>#REF!</v>
      </c>
      <c r="HY34" t="e">
        <f>AND(#REF!,"AAAAADdc7+g=")</f>
        <v>#REF!</v>
      </c>
      <c r="HZ34" t="e">
        <f>AND(#REF!,"AAAAADdc7+k=")</f>
        <v>#REF!</v>
      </c>
      <c r="IA34" t="e">
        <f>AND(#REF!,"AAAAADdc7+o=")</f>
        <v>#REF!</v>
      </c>
      <c r="IB34" t="e">
        <f>IF(#REF!,"AAAAADdc7+s=",0)</f>
        <v>#REF!</v>
      </c>
      <c r="IC34" t="e">
        <f>AND(#REF!,"AAAAADdc7+w=")</f>
        <v>#REF!</v>
      </c>
      <c r="ID34" t="e">
        <f>AND(#REF!,"AAAAADdc7+0=")</f>
        <v>#REF!</v>
      </c>
      <c r="IE34" t="e">
        <f>AND(#REF!,"AAAAADdc7+4=")</f>
        <v>#REF!</v>
      </c>
      <c r="IF34" t="e">
        <f>AND(#REF!,"AAAAADdc7+8=")</f>
        <v>#REF!</v>
      </c>
      <c r="IG34" t="e">
        <f>AND(#REF!,"AAAAADdc7/A=")</f>
        <v>#REF!</v>
      </c>
      <c r="IH34" t="e">
        <f>AND(#REF!,"AAAAADdc7/E=")</f>
        <v>#REF!</v>
      </c>
      <c r="II34" t="e">
        <f>AND(#REF!,"AAAAADdc7/I=")</f>
        <v>#REF!</v>
      </c>
      <c r="IJ34" t="e">
        <f>AND(#REF!,"AAAAADdc7/M=")</f>
        <v>#REF!</v>
      </c>
      <c r="IK34" t="e">
        <f>AND(#REF!,"AAAAADdc7/Q=")</f>
        <v>#REF!</v>
      </c>
      <c r="IL34" t="e">
        <f>IF(#REF!,"AAAAADdc7/U=",0)</f>
        <v>#REF!</v>
      </c>
      <c r="IM34" t="e">
        <f>AND(#REF!,"AAAAADdc7/Y=")</f>
        <v>#REF!</v>
      </c>
      <c r="IN34" t="e">
        <f>AND(#REF!,"AAAAADdc7/c=")</f>
        <v>#REF!</v>
      </c>
      <c r="IO34" t="e">
        <f>AND(#REF!,"AAAAADdc7/g=")</f>
        <v>#REF!</v>
      </c>
      <c r="IP34" t="e">
        <f>AND(#REF!,"AAAAADdc7/k=")</f>
        <v>#REF!</v>
      </c>
      <c r="IQ34" t="e">
        <f>AND(#REF!,"AAAAADdc7/o=")</f>
        <v>#REF!</v>
      </c>
      <c r="IR34" t="e">
        <f>AND(#REF!,"AAAAADdc7/s=")</f>
        <v>#REF!</v>
      </c>
      <c r="IS34" t="e">
        <f>AND(#REF!,"AAAAADdc7/w=")</f>
        <v>#REF!</v>
      </c>
      <c r="IT34" t="e">
        <f>AND(#REF!,"AAAAADdc7/0=")</f>
        <v>#REF!</v>
      </c>
      <c r="IU34" t="e">
        <f>AND(#REF!,"AAAAADdc7/4=")</f>
        <v>#REF!</v>
      </c>
      <c r="IV34" t="e">
        <f>IF(#REF!,"AAAAADdc7/8=",0)</f>
        <v>#REF!</v>
      </c>
    </row>
    <row r="35" spans="1:256">
      <c r="A35" t="e">
        <f>AND(#REF!,"AAAAAA8v/gA=")</f>
        <v>#REF!</v>
      </c>
      <c r="B35" t="e">
        <f>AND(#REF!,"AAAAAA8v/gE=")</f>
        <v>#REF!</v>
      </c>
      <c r="C35" t="e">
        <f>AND(#REF!,"AAAAAA8v/gI=")</f>
        <v>#REF!</v>
      </c>
      <c r="D35" t="e">
        <f>AND(#REF!,"AAAAAA8v/gM=")</f>
        <v>#REF!</v>
      </c>
      <c r="E35" t="e">
        <f>AND(#REF!,"AAAAAA8v/gQ=")</f>
        <v>#REF!</v>
      </c>
      <c r="F35" t="e">
        <f>AND(#REF!,"AAAAAA8v/gU=")</f>
        <v>#REF!</v>
      </c>
      <c r="G35" t="e">
        <f>AND(#REF!,"AAAAAA8v/gY=")</f>
        <v>#REF!</v>
      </c>
      <c r="H35" t="e">
        <f>AND(#REF!,"AAAAAA8v/gc=")</f>
        <v>#REF!</v>
      </c>
      <c r="I35" t="e">
        <f>AND(#REF!,"AAAAAA8v/gg=")</f>
        <v>#REF!</v>
      </c>
      <c r="J35" t="e">
        <f>IF(#REF!,"AAAAAA8v/gk=",0)</f>
        <v>#REF!</v>
      </c>
      <c r="K35" t="e">
        <f>AND(#REF!,"AAAAAA8v/go=")</f>
        <v>#REF!</v>
      </c>
      <c r="L35" t="e">
        <f>AND(#REF!,"AAAAAA8v/gs=")</f>
        <v>#REF!</v>
      </c>
      <c r="M35" t="e">
        <f>AND(#REF!,"AAAAAA8v/gw=")</f>
        <v>#REF!</v>
      </c>
      <c r="N35" t="e">
        <f>AND(#REF!,"AAAAAA8v/g0=")</f>
        <v>#REF!</v>
      </c>
      <c r="O35" t="e">
        <f>AND(#REF!,"AAAAAA8v/g4=")</f>
        <v>#REF!</v>
      </c>
      <c r="P35" t="e">
        <f>AND(#REF!,"AAAAAA8v/g8=")</f>
        <v>#REF!</v>
      </c>
      <c r="Q35" t="e">
        <f>AND(#REF!,"AAAAAA8v/hA=")</f>
        <v>#REF!</v>
      </c>
      <c r="R35" t="e">
        <f>AND(#REF!,"AAAAAA8v/hE=")</f>
        <v>#REF!</v>
      </c>
      <c r="S35" t="e">
        <f>AND(#REF!,"AAAAAA8v/hI=")</f>
        <v>#REF!</v>
      </c>
      <c r="T35" t="e">
        <f>IF(#REF!,"AAAAAA8v/hM=",0)</f>
        <v>#REF!</v>
      </c>
      <c r="U35" t="e">
        <f>AND(#REF!,"AAAAAA8v/hQ=")</f>
        <v>#REF!</v>
      </c>
      <c r="V35" t="e">
        <f>AND(#REF!,"AAAAAA8v/hU=")</f>
        <v>#REF!</v>
      </c>
      <c r="W35" t="e">
        <f>AND(#REF!,"AAAAAA8v/hY=")</f>
        <v>#REF!</v>
      </c>
      <c r="X35" t="e">
        <f>AND(#REF!,"AAAAAA8v/hc=")</f>
        <v>#REF!</v>
      </c>
      <c r="Y35" t="e">
        <f>AND(#REF!,"AAAAAA8v/hg=")</f>
        <v>#REF!</v>
      </c>
      <c r="Z35" t="e">
        <f>AND(#REF!,"AAAAAA8v/hk=")</f>
        <v>#REF!</v>
      </c>
      <c r="AA35" t="e">
        <f>AND(#REF!,"AAAAAA8v/ho=")</f>
        <v>#REF!</v>
      </c>
      <c r="AB35" t="e">
        <f>AND(#REF!,"AAAAAA8v/hs=")</f>
        <v>#REF!</v>
      </c>
      <c r="AC35" t="e">
        <f>AND(#REF!,"AAAAAA8v/hw=")</f>
        <v>#REF!</v>
      </c>
      <c r="AD35" t="e">
        <f>IF(#REF!,"AAAAAA8v/h0=",0)</f>
        <v>#REF!</v>
      </c>
      <c r="AE35" t="e">
        <f>AND(#REF!,"AAAAAA8v/h4=")</f>
        <v>#REF!</v>
      </c>
      <c r="AF35" t="e">
        <f>AND(#REF!,"AAAAAA8v/h8=")</f>
        <v>#REF!</v>
      </c>
      <c r="AG35" t="e">
        <f>AND(#REF!,"AAAAAA8v/iA=")</f>
        <v>#REF!</v>
      </c>
      <c r="AH35" t="e">
        <f>AND(#REF!,"AAAAAA8v/iE=")</f>
        <v>#REF!</v>
      </c>
      <c r="AI35" t="e">
        <f>AND(#REF!,"AAAAAA8v/iI=")</f>
        <v>#REF!</v>
      </c>
      <c r="AJ35" t="e">
        <f>AND(#REF!,"AAAAAA8v/iM=")</f>
        <v>#REF!</v>
      </c>
      <c r="AK35" t="e">
        <f>AND(#REF!,"AAAAAA8v/iQ=")</f>
        <v>#REF!</v>
      </c>
      <c r="AL35" t="e">
        <f>AND(#REF!,"AAAAAA8v/iU=")</f>
        <v>#REF!</v>
      </c>
      <c r="AM35" t="e">
        <f>AND(#REF!,"AAAAAA8v/iY=")</f>
        <v>#REF!</v>
      </c>
      <c r="AN35" t="e">
        <f>IF(#REF!,"AAAAAA8v/ic=",0)</f>
        <v>#REF!</v>
      </c>
      <c r="AO35" t="e">
        <f>AND(#REF!,"AAAAAA8v/ig=")</f>
        <v>#REF!</v>
      </c>
      <c r="AP35" t="e">
        <f>AND(#REF!,"AAAAAA8v/ik=")</f>
        <v>#REF!</v>
      </c>
      <c r="AQ35" t="e">
        <f>AND(#REF!,"AAAAAA8v/io=")</f>
        <v>#REF!</v>
      </c>
      <c r="AR35" t="e">
        <f>AND(#REF!,"AAAAAA8v/is=")</f>
        <v>#REF!</v>
      </c>
      <c r="AS35" t="e">
        <f>AND(#REF!,"AAAAAA8v/iw=")</f>
        <v>#REF!</v>
      </c>
      <c r="AT35" t="e">
        <f>AND(#REF!,"AAAAAA8v/i0=")</f>
        <v>#REF!</v>
      </c>
      <c r="AU35" t="e">
        <f>AND(#REF!,"AAAAAA8v/i4=")</f>
        <v>#REF!</v>
      </c>
      <c r="AV35" t="e">
        <f>AND(#REF!,"AAAAAA8v/i8=")</f>
        <v>#REF!</v>
      </c>
      <c r="AW35" t="e">
        <f>AND(#REF!,"AAAAAA8v/jA=")</f>
        <v>#REF!</v>
      </c>
      <c r="AX35" t="e">
        <f>IF(#REF!,"AAAAAA8v/jE=",0)</f>
        <v>#REF!</v>
      </c>
      <c r="AY35" t="e">
        <f>AND(#REF!,"AAAAAA8v/jI=")</f>
        <v>#REF!</v>
      </c>
      <c r="AZ35" t="e">
        <f>AND(#REF!,"AAAAAA8v/jM=")</f>
        <v>#REF!</v>
      </c>
      <c r="BA35" t="e">
        <f>AND(#REF!,"AAAAAA8v/jQ=")</f>
        <v>#REF!</v>
      </c>
      <c r="BB35" t="e">
        <f>AND(#REF!,"AAAAAA8v/jU=")</f>
        <v>#REF!</v>
      </c>
      <c r="BC35" t="e">
        <f>AND(#REF!,"AAAAAA8v/jY=")</f>
        <v>#REF!</v>
      </c>
      <c r="BD35" t="e">
        <f>AND(#REF!,"AAAAAA8v/jc=")</f>
        <v>#REF!</v>
      </c>
      <c r="BE35" t="e">
        <f>AND(#REF!,"AAAAAA8v/jg=")</f>
        <v>#REF!</v>
      </c>
      <c r="BF35" t="e">
        <f>AND(#REF!,"AAAAAA8v/jk=")</f>
        <v>#REF!</v>
      </c>
      <c r="BG35" t="e">
        <f>AND(#REF!,"AAAAAA8v/jo=")</f>
        <v>#REF!</v>
      </c>
      <c r="BH35" t="e">
        <f>IF(#REF!,"AAAAAA8v/js=",0)</f>
        <v>#REF!</v>
      </c>
      <c r="BI35" t="e">
        <f>AND(#REF!,"AAAAAA8v/jw=")</f>
        <v>#REF!</v>
      </c>
      <c r="BJ35" t="e">
        <f>AND(#REF!,"AAAAAA8v/j0=")</f>
        <v>#REF!</v>
      </c>
      <c r="BK35" t="e">
        <f>AND(#REF!,"AAAAAA8v/j4=")</f>
        <v>#REF!</v>
      </c>
      <c r="BL35" t="e">
        <f>AND(#REF!,"AAAAAA8v/j8=")</f>
        <v>#REF!</v>
      </c>
      <c r="BM35" t="e">
        <f>AND(#REF!,"AAAAAA8v/kA=")</f>
        <v>#REF!</v>
      </c>
      <c r="BN35" t="e">
        <f>AND(#REF!,"AAAAAA8v/kE=")</f>
        <v>#REF!</v>
      </c>
      <c r="BO35" t="e">
        <f>AND(#REF!,"AAAAAA8v/kI=")</f>
        <v>#REF!</v>
      </c>
      <c r="BP35" t="e">
        <f>AND(#REF!,"AAAAAA8v/kM=")</f>
        <v>#REF!</v>
      </c>
      <c r="BQ35" t="e">
        <f>AND(#REF!,"AAAAAA8v/kQ=")</f>
        <v>#REF!</v>
      </c>
      <c r="BR35" t="e">
        <f>IF(#REF!,"AAAAAA8v/kU=",0)</f>
        <v>#REF!</v>
      </c>
      <c r="BS35" t="e">
        <f>AND(#REF!,"AAAAAA8v/kY=")</f>
        <v>#REF!</v>
      </c>
      <c r="BT35" t="e">
        <f>AND(#REF!,"AAAAAA8v/kc=")</f>
        <v>#REF!</v>
      </c>
      <c r="BU35" t="e">
        <f>AND(#REF!,"AAAAAA8v/kg=")</f>
        <v>#REF!</v>
      </c>
      <c r="BV35" t="e">
        <f>AND(#REF!,"AAAAAA8v/kk=")</f>
        <v>#REF!</v>
      </c>
      <c r="BW35" t="e">
        <f>AND(#REF!,"AAAAAA8v/ko=")</f>
        <v>#REF!</v>
      </c>
      <c r="BX35" t="e">
        <f>AND(#REF!,"AAAAAA8v/ks=")</f>
        <v>#REF!</v>
      </c>
      <c r="BY35" t="e">
        <f>AND(#REF!,"AAAAAA8v/kw=")</f>
        <v>#REF!</v>
      </c>
      <c r="BZ35" t="e">
        <f>AND(#REF!,"AAAAAA8v/k0=")</f>
        <v>#REF!</v>
      </c>
      <c r="CA35" t="e">
        <f>AND(#REF!,"AAAAAA8v/k4=")</f>
        <v>#REF!</v>
      </c>
      <c r="CB35" t="e">
        <f>IF(#REF!,"AAAAAA8v/k8=",0)</f>
        <v>#REF!</v>
      </c>
      <c r="CC35" t="e">
        <f>AND(#REF!,"AAAAAA8v/lA=")</f>
        <v>#REF!</v>
      </c>
      <c r="CD35" t="e">
        <f>AND(#REF!,"AAAAAA8v/lE=")</f>
        <v>#REF!</v>
      </c>
      <c r="CE35" t="e">
        <f>AND(#REF!,"AAAAAA8v/lI=")</f>
        <v>#REF!</v>
      </c>
      <c r="CF35" t="e">
        <f>AND(#REF!,"AAAAAA8v/lM=")</f>
        <v>#REF!</v>
      </c>
      <c r="CG35" t="e">
        <f>AND(#REF!,"AAAAAA8v/lQ=")</f>
        <v>#REF!</v>
      </c>
      <c r="CH35" t="e">
        <f>AND(#REF!,"AAAAAA8v/lU=")</f>
        <v>#REF!</v>
      </c>
      <c r="CI35" t="e">
        <f>AND(#REF!,"AAAAAA8v/lY=")</f>
        <v>#REF!</v>
      </c>
      <c r="CJ35" t="e">
        <f>AND(#REF!,"AAAAAA8v/lc=")</f>
        <v>#REF!</v>
      </c>
      <c r="CK35" t="e">
        <f>AND(#REF!,"AAAAAA8v/lg=")</f>
        <v>#REF!</v>
      </c>
      <c r="CL35" t="e">
        <f>IF(#REF!,"AAAAAA8v/lk=",0)</f>
        <v>#REF!</v>
      </c>
      <c r="CM35" t="e">
        <f>AND(#REF!,"AAAAAA8v/lo=")</f>
        <v>#REF!</v>
      </c>
      <c r="CN35" t="e">
        <f>AND(#REF!,"AAAAAA8v/ls=")</f>
        <v>#REF!</v>
      </c>
      <c r="CO35" t="e">
        <f>AND(#REF!,"AAAAAA8v/lw=")</f>
        <v>#REF!</v>
      </c>
      <c r="CP35" t="e">
        <f>AND(#REF!,"AAAAAA8v/l0=")</f>
        <v>#REF!</v>
      </c>
      <c r="CQ35" t="e">
        <f>AND(#REF!,"AAAAAA8v/l4=")</f>
        <v>#REF!</v>
      </c>
      <c r="CR35" t="e">
        <f>AND(#REF!,"AAAAAA8v/l8=")</f>
        <v>#REF!</v>
      </c>
      <c r="CS35" t="e">
        <f>AND(#REF!,"AAAAAA8v/mA=")</f>
        <v>#REF!</v>
      </c>
      <c r="CT35" t="e">
        <f>AND(#REF!,"AAAAAA8v/mE=")</f>
        <v>#REF!</v>
      </c>
      <c r="CU35" t="e">
        <f>AND(#REF!,"AAAAAA8v/mI=")</f>
        <v>#REF!</v>
      </c>
      <c r="CV35" t="e">
        <f>IF(#REF!,"AAAAAA8v/mM=",0)</f>
        <v>#REF!</v>
      </c>
      <c r="CW35" t="e">
        <f>AND(#REF!,"AAAAAA8v/mQ=")</f>
        <v>#REF!</v>
      </c>
      <c r="CX35" t="e">
        <f>AND(#REF!,"AAAAAA8v/mU=")</f>
        <v>#REF!</v>
      </c>
      <c r="CY35" t="e">
        <f>AND(#REF!,"AAAAAA8v/mY=")</f>
        <v>#REF!</v>
      </c>
      <c r="CZ35" t="e">
        <f>AND(#REF!,"AAAAAA8v/mc=")</f>
        <v>#REF!</v>
      </c>
      <c r="DA35" t="e">
        <f>AND(#REF!,"AAAAAA8v/mg=")</f>
        <v>#REF!</v>
      </c>
      <c r="DB35" t="e">
        <f>AND(#REF!,"AAAAAA8v/mk=")</f>
        <v>#REF!</v>
      </c>
      <c r="DC35" t="e">
        <f>AND(#REF!,"AAAAAA8v/mo=")</f>
        <v>#REF!</v>
      </c>
      <c r="DD35" t="e">
        <f>AND(#REF!,"AAAAAA8v/ms=")</f>
        <v>#REF!</v>
      </c>
      <c r="DE35" t="e">
        <f>AND(#REF!,"AAAAAA8v/mw=")</f>
        <v>#REF!</v>
      </c>
      <c r="DF35" t="e">
        <f>IF(#REF!,"AAAAAA8v/m0=",0)</f>
        <v>#REF!</v>
      </c>
      <c r="DG35" t="e">
        <f>AND(#REF!,"AAAAAA8v/m4=")</f>
        <v>#REF!</v>
      </c>
      <c r="DH35" t="e">
        <f>AND(#REF!,"AAAAAA8v/m8=")</f>
        <v>#REF!</v>
      </c>
      <c r="DI35" t="e">
        <f>AND(#REF!,"AAAAAA8v/nA=")</f>
        <v>#REF!</v>
      </c>
      <c r="DJ35" t="e">
        <f>AND(#REF!,"AAAAAA8v/nE=")</f>
        <v>#REF!</v>
      </c>
      <c r="DK35" t="e">
        <f>AND(#REF!,"AAAAAA8v/nI=")</f>
        <v>#REF!</v>
      </c>
      <c r="DL35" t="e">
        <f>AND(#REF!,"AAAAAA8v/nM=")</f>
        <v>#REF!</v>
      </c>
      <c r="DM35" t="e">
        <f>AND(#REF!,"AAAAAA8v/nQ=")</f>
        <v>#REF!</v>
      </c>
      <c r="DN35" t="e">
        <f>AND(#REF!,"AAAAAA8v/nU=")</f>
        <v>#REF!</v>
      </c>
      <c r="DO35" t="e">
        <f>AND(#REF!,"AAAAAA8v/nY=")</f>
        <v>#REF!</v>
      </c>
      <c r="DP35" t="e">
        <f>IF(#REF!,"AAAAAA8v/nc=",0)</f>
        <v>#REF!</v>
      </c>
      <c r="DQ35" t="e">
        <f>AND(#REF!,"AAAAAA8v/ng=")</f>
        <v>#REF!</v>
      </c>
      <c r="DR35" t="e">
        <f>AND(#REF!,"AAAAAA8v/nk=")</f>
        <v>#REF!</v>
      </c>
      <c r="DS35" t="e">
        <f>AND(#REF!,"AAAAAA8v/no=")</f>
        <v>#REF!</v>
      </c>
      <c r="DT35" t="e">
        <f>AND(#REF!,"AAAAAA8v/ns=")</f>
        <v>#REF!</v>
      </c>
      <c r="DU35" t="e">
        <f>AND(#REF!,"AAAAAA8v/nw=")</f>
        <v>#REF!</v>
      </c>
      <c r="DV35" t="e">
        <f>AND(#REF!,"AAAAAA8v/n0=")</f>
        <v>#REF!</v>
      </c>
      <c r="DW35" t="e">
        <f>AND(#REF!,"AAAAAA8v/n4=")</f>
        <v>#REF!</v>
      </c>
      <c r="DX35" t="e">
        <f>AND(#REF!,"AAAAAA8v/n8=")</f>
        <v>#REF!</v>
      </c>
      <c r="DY35" t="e">
        <f>AND(#REF!,"AAAAAA8v/oA=")</f>
        <v>#REF!</v>
      </c>
      <c r="DZ35" t="e">
        <f>IF(#REF!,"AAAAAA8v/oE=",0)</f>
        <v>#REF!</v>
      </c>
      <c r="EA35" t="e">
        <f>AND(#REF!,"AAAAAA8v/oI=")</f>
        <v>#REF!</v>
      </c>
      <c r="EB35" t="e">
        <f>AND(#REF!,"AAAAAA8v/oM=")</f>
        <v>#REF!</v>
      </c>
      <c r="EC35" t="e">
        <f>AND(#REF!,"AAAAAA8v/oQ=")</f>
        <v>#REF!</v>
      </c>
      <c r="ED35" t="e">
        <f>AND(#REF!,"AAAAAA8v/oU=")</f>
        <v>#REF!</v>
      </c>
      <c r="EE35" t="e">
        <f>AND(#REF!,"AAAAAA8v/oY=")</f>
        <v>#REF!</v>
      </c>
      <c r="EF35" t="e">
        <f>AND(#REF!,"AAAAAA8v/oc=")</f>
        <v>#REF!</v>
      </c>
      <c r="EG35" t="e">
        <f>AND(#REF!,"AAAAAA8v/og=")</f>
        <v>#REF!</v>
      </c>
      <c r="EH35" t="e">
        <f>AND(#REF!,"AAAAAA8v/ok=")</f>
        <v>#REF!</v>
      </c>
      <c r="EI35" t="e">
        <f>AND(#REF!,"AAAAAA8v/oo=")</f>
        <v>#REF!</v>
      </c>
      <c r="EJ35" t="e">
        <f>IF(#REF!,"AAAAAA8v/os=",0)</f>
        <v>#REF!</v>
      </c>
      <c r="EK35" t="e">
        <f>AND(#REF!,"AAAAAA8v/ow=")</f>
        <v>#REF!</v>
      </c>
      <c r="EL35" t="e">
        <f>AND(#REF!,"AAAAAA8v/o0=")</f>
        <v>#REF!</v>
      </c>
      <c r="EM35" t="e">
        <f>AND(#REF!,"AAAAAA8v/o4=")</f>
        <v>#REF!</v>
      </c>
      <c r="EN35" t="e">
        <f>AND(#REF!,"AAAAAA8v/o8=")</f>
        <v>#REF!</v>
      </c>
      <c r="EO35" t="e">
        <f>AND(#REF!,"AAAAAA8v/pA=")</f>
        <v>#REF!</v>
      </c>
      <c r="EP35" t="e">
        <f>AND(#REF!,"AAAAAA8v/pE=")</f>
        <v>#REF!</v>
      </c>
      <c r="EQ35" t="e">
        <f>AND(#REF!,"AAAAAA8v/pI=")</f>
        <v>#REF!</v>
      </c>
      <c r="ER35" t="e">
        <f>AND(#REF!,"AAAAAA8v/pM=")</f>
        <v>#REF!</v>
      </c>
      <c r="ES35" t="e">
        <f>AND(#REF!,"AAAAAA8v/pQ=")</f>
        <v>#REF!</v>
      </c>
      <c r="ET35" t="e">
        <f>IF(#REF!,"AAAAAA8v/pU=",0)</f>
        <v>#REF!</v>
      </c>
      <c r="EU35" t="e">
        <f>AND(#REF!,"AAAAAA8v/pY=")</f>
        <v>#REF!</v>
      </c>
      <c r="EV35" t="e">
        <f>AND(#REF!,"AAAAAA8v/pc=")</f>
        <v>#REF!</v>
      </c>
      <c r="EW35" t="e">
        <f>AND(#REF!,"AAAAAA8v/pg=")</f>
        <v>#REF!</v>
      </c>
      <c r="EX35" t="e">
        <f>AND(#REF!,"AAAAAA8v/pk=")</f>
        <v>#REF!</v>
      </c>
      <c r="EY35" t="e">
        <f>AND(#REF!,"AAAAAA8v/po=")</f>
        <v>#REF!</v>
      </c>
      <c r="EZ35" t="e">
        <f>AND(#REF!,"AAAAAA8v/ps=")</f>
        <v>#REF!</v>
      </c>
      <c r="FA35" t="e">
        <f>AND(#REF!,"AAAAAA8v/pw=")</f>
        <v>#REF!</v>
      </c>
      <c r="FB35" t="e">
        <f>AND(#REF!,"AAAAAA8v/p0=")</f>
        <v>#REF!</v>
      </c>
      <c r="FC35" t="e">
        <f>AND(#REF!,"AAAAAA8v/p4=")</f>
        <v>#REF!</v>
      </c>
      <c r="FD35" t="e">
        <f>IF(#REF!,"AAAAAA8v/p8=",0)</f>
        <v>#REF!</v>
      </c>
      <c r="FE35" t="e">
        <f>AND(#REF!,"AAAAAA8v/qA=")</f>
        <v>#REF!</v>
      </c>
      <c r="FF35" t="e">
        <f>AND(#REF!,"AAAAAA8v/qE=")</f>
        <v>#REF!</v>
      </c>
      <c r="FG35" t="e">
        <f>AND(#REF!,"AAAAAA8v/qI=")</f>
        <v>#REF!</v>
      </c>
      <c r="FH35" t="e">
        <f>AND(#REF!,"AAAAAA8v/qM=")</f>
        <v>#REF!</v>
      </c>
      <c r="FI35" t="e">
        <f>AND(#REF!,"AAAAAA8v/qQ=")</f>
        <v>#REF!</v>
      </c>
      <c r="FJ35" t="e">
        <f>AND(#REF!,"AAAAAA8v/qU=")</f>
        <v>#REF!</v>
      </c>
      <c r="FK35" t="e">
        <f>AND(#REF!,"AAAAAA8v/qY=")</f>
        <v>#REF!</v>
      </c>
      <c r="FL35" t="e">
        <f>AND(#REF!,"AAAAAA8v/qc=")</f>
        <v>#REF!</v>
      </c>
      <c r="FM35" t="e">
        <f>AND(#REF!,"AAAAAA8v/qg=")</f>
        <v>#REF!</v>
      </c>
      <c r="FN35" t="e">
        <f>IF(#REF!,"AAAAAA8v/qk=",0)</f>
        <v>#REF!</v>
      </c>
      <c r="FO35" t="e">
        <f>AND(#REF!,"AAAAAA8v/qo=")</f>
        <v>#REF!</v>
      </c>
      <c r="FP35" t="e">
        <f>AND(#REF!,"AAAAAA8v/qs=")</f>
        <v>#REF!</v>
      </c>
      <c r="FQ35" t="e">
        <f>AND(#REF!,"AAAAAA8v/qw=")</f>
        <v>#REF!</v>
      </c>
      <c r="FR35" t="e">
        <f>AND(#REF!,"AAAAAA8v/q0=")</f>
        <v>#REF!</v>
      </c>
      <c r="FS35" t="e">
        <f>AND(#REF!,"AAAAAA8v/q4=")</f>
        <v>#REF!</v>
      </c>
      <c r="FT35" t="e">
        <f>AND(#REF!,"AAAAAA8v/q8=")</f>
        <v>#REF!</v>
      </c>
      <c r="FU35" t="e">
        <f>AND(#REF!,"AAAAAA8v/rA=")</f>
        <v>#REF!</v>
      </c>
      <c r="FV35" t="e">
        <f>AND(#REF!,"AAAAAA8v/rE=")</f>
        <v>#REF!</v>
      </c>
      <c r="FW35" t="e">
        <f>AND(#REF!,"AAAAAA8v/rI=")</f>
        <v>#REF!</v>
      </c>
      <c r="FX35" t="e">
        <f>IF(#REF!,"AAAAAA8v/rM=",0)</f>
        <v>#REF!</v>
      </c>
      <c r="FY35" t="e">
        <f>AND(#REF!,"AAAAAA8v/rQ=")</f>
        <v>#REF!</v>
      </c>
      <c r="FZ35" t="e">
        <f>AND(#REF!,"AAAAAA8v/rU=")</f>
        <v>#REF!</v>
      </c>
      <c r="GA35" t="e">
        <f>AND(#REF!,"AAAAAA8v/rY=")</f>
        <v>#REF!</v>
      </c>
      <c r="GB35" t="e">
        <f>AND(#REF!,"AAAAAA8v/rc=")</f>
        <v>#REF!</v>
      </c>
      <c r="GC35" t="e">
        <f>AND(#REF!,"AAAAAA8v/rg=")</f>
        <v>#REF!</v>
      </c>
      <c r="GD35" t="e">
        <f>AND(#REF!,"AAAAAA8v/rk=")</f>
        <v>#REF!</v>
      </c>
      <c r="GE35" t="e">
        <f>AND(#REF!,"AAAAAA8v/ro=")</f>
        <v>#REF!</v>
      </c>
      <c r="GF35" t="e">
        <f>AND(#REF!,"AAAAAA8v/rs=")</f>
        <v>#REF!</v>
      </c>
      <c r="GG35" t="e">
        <f>AND(#REF!,"AAAAAA8v/rw=")</f>
        <v>#REF!</v>
      </c>
      <c r="GH35" t="e">
        <f>IF(#REF!,"AAAAAA8v/r0=",0)</f>
        <v>#REF!</v>
      </c>
      <c r="GI35" t="e">
        <f>AND(#REF!,"AAAAAA8v/r4=")</f>
        <v>#REF!</v>
      </c>
      <c r="GJ35" t="e">
        <f>AND(#REF!,"AAAAAA8v/r8=")</f>
        <v>#REF!</v>
      </c>
      <c r="GK35" t="e">
        <f>AND(#REF!,"AAAAAA8v/sA=")</f>
        <v>#REF!</v>
      </c>
      <c r="GL35" t="e">
        <f>AND(#REF!,"AAAAAA8v/sE=")</f>
        <v>#REF!</v>
      </c>
      <c r="GM35" t="e">
        <f>AND(#REF!,"AAAAAA8v/sI=")</f>
        <v>#REF!</v>
      </c>
      <c r="GN35" t="e">
        <f>AND(#REF!,"AAAAAA8v/sM=")</f>
        <v>#REF!</v>
      </c>
      <c r="GO35" t="e">
        <f>AND(#REF!,"AAAAAA8v/sQ=")</f>
        <v>#REF!</v>
      </c>
      <c r="GP35" t="e">
        <f>AND(#REF!,"AAAAAA8v/sU=")</f>
        <v>#REF!</v>
      </c>
      <c r="GQ35" t="e">
        <f>AND(#REF!,"AAAAAA8v/sY=")</f>
        <v>#REF!</v>
      </c>
      <c r="GR35" t="e">
        <f>IF(#REF!,"AAAAAA8v/sc=",0)</f>
        <v>#REF!</v>
      </c>
      <c r="GS35" t="e">
        <f>AND(#REF!,"AAAAAA8v/sg=")</f>
        <v>#REF!</v>
      </c>
      <c r="GT35" t="e">
        <f>AND(#REF!,"AAAAAA8v/sk=")</f>
        <v>#REF!</v>
      </c>
      <c r="GU35" t="e">
        <f>AND(#REF!,"AAAAAA8v/so=")</f>
        <v>#REF!</v>
      </c>
      <c r="GV35" t="e">
        <f>AND(#REF!,"AAAAAA8v/ss=")</f>
        <v>#REF!</v>
      </c>
      <c r="GW35" t="e">
        <f>AND(#REF!,"AAAAAA8v/sw=")</f>
        <v>#REF!</v>
      </c>
      <c r="GX35" t="e">
        <f>AND(#REF!,"AAAAAA8v/s0=")</f>
        <v>#REF!</v>
      </c>
      <c r="GY35" t="e">
        <f>AND(#REF!,"AAAAAA8v/s4=")</f>
        <v>#REF!</v>
      </c>
      <c r="GZ35" t="e">
        <f>AND(#REF!,"AAAAAA8v/s8=")</f>
        <v>#REF!</v>
      </c>
      <c r="HA35" t="e">
        <f>AND(#REF!,"AAAAAA8v/tA=")</f>
        <v>#REF!</v>
      </c>
      <c r="HB35" t="e">
        <f>IF(#REF!,"AAAAAA8v/tE=",0)</f>
        <v>#REF!</v>
      </c>
      <c r="HC35" t="e">
        <f>AND(#REF!,"AAAAAA8v/tI=")</f>
        <v>#REF!</v>
      </c>
      <c r="HD35" t="e">
        <f>AND(#REF!,"AAAAAA8v/tM=")</f>
        <v>#REF!</v>
      </c>
      <c r="HE35" t="e">
        <f>AND(#REF!,"AAAAAA8v/tQ=")</f>
        <v>#REF!</v>
      </c>
      <c r="HF35" t="e">
        <f>AND(#REF!,"AAAAAA8v/tU=")</f>
        <v>#REF!</v>
      </c>
      <c r="HG35" t="e">
        <f>AND(#REF!,"AAAAAA8v/tY=")</f>
        <v>#REF!</v>
      </c>
      <c r="HH35" t="e">
        <f>AND(#REF!,"AAAAAA8v/tc=")</f>
        <v>#REF!</v>
      </c>
      <c r="HI35" t="e">
        <f>AND(#REF!,"AAAAAA8v/tg=")</f>
        <v>#REF!</v>
      </c>
      <c r="HJ35" t="e">
        <f>AND(#REF!,"AAAAAA8v/tk=")</f>
        <v>#REF!</v>
      </c>
      <c r="HK35" t="e">
        <f>AND(#REF!,"AAAAAA8v/to=")</f>
        <v>#REF!</v>
      </c>
      <c r="HL35" t="e">
        <f>IF(#REF!,"AAAAAA8v/ts=",0)</f>
        <v>#REF!</v>
      </c>
      <c r="HM35" t="e">
        <f>AND(#REF!,"AAAAAA8v/tw=")</f>
        <v>#REF!</v>
      </c>
      <c r="HN35" t="e">
        <f>AND(#REF!,"AAAAAA8v/t0=")</f>
        <v>#REF!</v>
      </c>
      <c r="HO35" t="e">
        <f>AND(#REF!,"AAAAAA8v/t4=")</f>
        <v>#REF!</v>
      </c>
      <c r="HP35" t="e">
        <f>AND(#REF!,"AAAAAA8v/t8=")</f>
        <v>#REF!</v>
      </c>
      <c r="HQ35" t="e">
        <f>AND(#REF!,"AAAAAA8v/uA=")</f>
        <v>#REF!</v>
      </c>
      <c r="HR35" t="e">
        <f>AND(#REF!,"AAAAAA8v/uE=")</f>
        <v>#REF!</v>
      </c>
      <c r="HS35" t="e">
        <f>AND(#REF!,"AAAAAA8v/uI=")</f>
        <v>#REF!</v>
      </c>
      <c r="HT35" t="e">
        <f>AND(#REF!,"AAAAAA8v/uM=")</f>
        <v>#REF!</v>
      </c>
      <c r="HU35" t="e">
        <f>AND(#REF!,"AAAAAA8v/uQ=")</f>
        <v>#REF!</v>
      </c>
      <c r="HV35" t="e">
        <f>IF(#REF!,"AAAAAA8v/uU=",0)</f>
        <v>#REF!</v>
      </c>
      <c r="HW35" t="e">
        <f>AND(#REF!,"AAAAAA8v/uY=")</f>
        <v>#REF!</v>
      </c>
      <c r="HX35" t="e">
        <f>AND(#REF!,"AAAAAA8v/uc=")</f>
        <v>#REF!</v>
      </c>
      <c r="HY35" t="e">
        <f>AND(#REF!,"AAAAAA8v/ug=")</f>
        <v>#REF!</v>
      </c>
      <c r="HZ35" t="e">
        <f>AND(#REF!,"AAAAAA8v/uk=")</f>
        <v>#REF!</v>
      </c>
      <c r="IA35" t="e">
        <f>AND(#REF!,"AAAAAA8v/uo=")</f>
        <v>#REF!</v>
      </c>
      <c r="IB35" t="e">
        <f>AND(#REF!,"AAAAAA8v/us=")</f>
        <v>#REF!</v>
      </c>
      <c r="IC35" t="e">
        <f>AND(#REF!,"AAAAAA8v/uw=")</f>
        <v>#REF!</v>
      </c>
      <c r="ID35" t="e">
        <f>AND(#REF!,"AAAAAA8v/u0=")</f>
        <v>#REF!</v>
      </c>
      <c r="IE35" t="e">
        <f>AND(#REF!,"AAAAAA8v/u4=")</f>
        <v>#REF!</v>
      </c>
      <c r="IF35" t="e">
        <f>IF(#REF!,"AAAAAA8v/u8=",0)</f>
        <v>#REF!</v>
      </c>
      <c r="IG35" t="e">
        <f>AND(#REF!,"AAAAAA8v/vA=")</f>
        <v>#REF!</v>
      </c>
      <c r="IH35" t="e">
        <f>AND(#REF!,"AAAAAA8v/vE=")</f>
        <v>#REF!</v>
      </c>
      <c r="II35" t="e">
        <f>AND(#REF!,"AAAAAA8v/vI=")</f>
        <v>#REF!</v>
      </c>
      <c r="IJ35" t="e">
        <f>AND(#REF!,"AAAAAA8v/vM=")</f>
        <v>#REF!</v>
      </c>
      <c r="IK35" t="e">
        <f>AND(#REF!,"AAAAAA8v/vQ=")</f>
        <v>#REF!</v>
      </c>
      <c r="IL35" t="e">
        <f>AND(#REF!,"AAAAAA8v/vU=")</f>
        <v>#REF!</v>
      </c>
      <c r="IM35" t="e">
        <f>AND(#REF!,"AAAAAA8v/vY=")</f>
        <v>#REF!</v>
      </c>
      <c r="IN35" t="e">
        <f>AND(#REF!,"AAAAAA8v/vc=")</f>
        <v>#REF!</v>
      </c>
      <c r="IO35" t="e">
        <f>AND(#REF!,"AAAAAA8v/vg=")</f>
        <v>#REF!</v>
      </c>
      <c r="IP35" t="e">
        <f>IF(#REF!,"AAAAAA8v/vk=",0)</f>
        <v>#REF!</v>
      </c>
      <c r="IQ35" t="e">
        <f>AND(#REF!,"AAAAAA8v/vo=")</f>
        <v>#REF!</v>
      </c>
      <c r="IR35" t="e">
        <f>AND(#REF!,"AAAAAA8v/vs=")</f>
        <v>#REF!</v>
      </c>
      <c r="IS35" t="e">
        <f>AND(#REF!,"AAAAAA8v/vw=")</f>
        <v>#REF!</v>
      </c>
      <c r="IT35" t="e">
        <f>AND(#REF!,"AAAAAA8v/v0=")</f>
        <v>#REF!</v>
      </c>
      <c r="IU35" t="e">
        <f>AND(#REF!,"AAAAAA8v/v4=")</f>
        <v>#REF!</v>
      </c>
      <c r="IV35" t="e">
        <f>AND(#REF!,"AAAAAA8v/v8=")</f>
        <v>#REF!</v>
      </c>
    </row>
    <row r="36" spans="1:256">
      <c r="A36" t="e">
        <f>AND(#REF!,"AAAAAD3Z/wA=")</f>
        <v>#REF!</v>
      </c>
      <c r="B36" t="e">
        <f>AND(#REF!,"AAAAAD3Z/wE=")</f>
        <v>#REF!</v>
      </c>
      <c r="C36" t="e">
        <f>AND(#REF!,"AAAAAD3Z/wI=")</f>
        <v>#REF!</v>
      </c>
      <c r="D36" t="e">
        <f>IF(#REF!,"AAAAAD3Z/wM=",0)</f>
        <v>#REF!</v>
      </c>
      <c r="E36" t="e">
        <f>AND(#REF!,"AAAAAD3Z/wQ=")</f>
        <v>#REF!</v>
      </c>
      <c r="F36" t="e">
        <f>AND(#REF!,"AAAAAD3Z/wU=")</f>
        <v>#REF!</v>
      </c>
      <c r="G36" t="e">
        <f>AND(#REF!,"AAAAAD3Z/wY=")</f>
        <v>#REF!</v>
      </c>
      <c r="H36" t="e">
        <f>AND(#REF!,"AAAAAD3Z/wc=")</f>
        <v>#REF!</v>
      </c>
      <c r="I36" t="e">
        <f>AND(#REF!,"AAAAAD3Z/wg=")</f>
        <v>#REF!</v>
      </c>
      <c r="J36" t="e">
        <f>AND(#REF!,"AAAAAD3Z/wk=")</f>
        <v>#REF!</v>
      </c>
      <c r="K36" t="e">
        <f>AND(#REF!,"AAAAAD3Z/wo=")</f>
        <v>#REF!</v>
      </c>
      <c r="L36" t="e">
        <f>AND(#REF!,"AAAAAD3Z/ws=")</f>
        <v>#REF!</v>
      </c>
      <c r="M36" t="e">
        <f>AND(#REF!,"AAAAAD3Z/ww=")</f>
        <v>#REF!</v>
      </c>
      <c r="N36" t="e">
        <f>IF(#REF!,"AAAAAD3Z/w0=",0)</f>
        <v>#REF!</v>
      </c>
      <c r="O36" t="e">
        <f>AND(#REF!,"AAAAAD3Z/w4=")</f>
        <v>#REF!</v>
      </c>
      <c r="P36" t="e">
        <f>AND(#REF!,"AAAAAD3Z/w8=")</f>
        <v>#REF!</v>
      </c>
      <c r="Q36" t="e">
        <f>AND(#REF!,"AAAAAD3Z/xA=")</f>
        <v>#REF!</v>
      </c>
      <c r="R36" t="e">
        <f>AND(#REF!,"AAAAAD3Z/xE=")</f>
        <v>#REF!</v>
      </c>
      <c r="S36" t="e">
        <f>AND(#REF!,"AAAAAD3Z/xI=")</f>
        <v>#REF!</v>
      </c>
      <c r="T36" t="e">
        <f>AND(#REF!,"AAAAAD3Z/xM=")</f>
        <v>#REF!</v>
      </c>
      <c r="U36" t="e">
        <f>AND(#REF!,"AAAAAD3Z/xQ=")</f>
        <v>#REF!</v>
      </c>
      <c r="V36" t="e">
        <f>AND(#REF!,"AAAAAD3Z/xU=")</f>
        <v>#REF!</v>
      </c>
      <c r="W36" t="e">
        <f>AND(#REF!,"AAAAAD3Z/xY=")</f>
        <v>#REF!</v>
      </c>
      <c r="X36" t="e">
        <f>IF(#REF!,"AAAAAD3Z/xc=",0)</f>
        <v>#REF!</v>
      </c>
      <c r="Y36" t="e">
        <f>AND(#REF!,"AAAAAD3Z/xg=")</f>
        <v>#REF!</v>
      </c>
      <c r="Z36" t="e">
        <f>AND(#REF!,"AAAAAD3Z/xk=")</f>
        <v>#REF!</v>
      </c>
      <c r="AA36" t="e">
        <f>AND(#REF!,"AAAAAD3Z/xo=")</f>
        <v>#REF!</v>
      </c>
      <c r="AB36" t="e">
        <f>AND(#REF!,"AAAAAD3Z/xs=")</f>
        <v>#REF!</v>
      </c>
      <c r="AC36" t="e">
        <f>AND(#REF!,"AAAAAD3Z/xw=")</f>
        <v>#REF!</v>
      </c>
      <c r="AD36" t="e">
        <f>AND(#REF!,"AAAAAD3Z/x0=")</f>
        <v>#REF!</v>
      </c>
      <c r="AE36" t="e">
        <f>AND(#REF!,"AAAAAD3Z/x4=")</f>
        <v>#REF!</v>
      </c>
      <c r="AF36" t="e">
        <f>AND(#REF!,"AAAAAD3Z/x8=")</f>
        <v>#REF!</v>
      </c>
      <c r="AG36" t="e">
        <f>AND(#REF!,"AAAAAD3Z/yA=")</f>
        <v>#REF!</v>
      </c>
      <c r="AH36" t="e">
        <f>IF(#REF!,"AAAAAD3Z/yE=",0)</f>
        <v>#REF!</v>
      </c>
      <c r="AI36" t="e">
        <f>AND(#REF!,"AAAAAD3Z/yI=")</f>
        <v>#REF!</v>
      </c>
      <c r="AJ36" t="e">
        <f>AND(#REF!,"AAAAAD3Z/yM=")</f>
        <v>#REF!</v>
      </c>
      <c r="AK36" t="e">
        <f>AND(#REF!,"AAAAAD3Z/yQ=")</f>
        <v>#REF!</v>
      </c>
      <c r="AL36" t="e">
        <f>AND(#REF!,"AAAAAD3Z/yU=")</f>
        <v>#REF!</v>
      </c>
      <c r="AM36" t="e">
        <f>AND(#REF!,"AAAAAD3Z/yY=")</f>
        <v>#REF!</v>
      </c>
      <c r="AN36" t="e">
        <f>AND(#REF!,"AAAAAD3Z/yc=")</f>
        <v>#REF!</v>
      </c>
      <c r="AO36" t="e">
        <f>AND(#REF!,"AAAAAD3Z/yg=")</f>
        <v>#REF!</v>
      </c>
      <c r="AP36" t="e">
        <f>AND(#REF!,"AAAAAD3Z/yk=")</f>
        <v>#REF!</v>
      </c>
      <c r="AQ36" t="e">
        <f>AND(#REF!,"AAAAAD3Z/yo=")</f>
        <v>#REF!</v>
      </c>
      <c r="AR36" t="e">
        <f>IF(#REF!,"AAAAAD3Z/ys=",0)</f>
        <v>#REF!</v>
      </c>
      <c r="AS36" t="e">
        <f>AND(#REF!,"AAAAAD3Z/yw=")</f>
        <v>#REF!</v>
      </c>
      <c r="AT36" t="e">
        <f>AND(#REF!,"AAAAAD3Z/y0=")</f>
        <v>#REF!</v>
      </c>
      <c r="AU36" t="e">
        <f>AND(#REF!,"AAAAAD3Z/y4=")</f>
        <v>#REF!</v>
      </c>
      <c r="AV36" t="e">
        <f>AND(#REF!,"AAAAAD3Z/y8=")</f>
        <v>#REF!</v>
      </c>
      <c r="AW36" t="e">
        <f>AND(#REF!,"AAAAAD3Z/zA=")</f>
        <v>#REF!</v>
      </c>
      <c r="AX36" t="e">
        <f>AND(#REF!,"AAAAAD3Z/zE=")</f>
        <v>#REF!</v>
      </c>
      <c r="AY36" t="e">
        <f>AND(#REF!,"AAAAAD3Z/zI=")</f>
        <v>#REF!</v>
      </c>
      <c r="AZ36" t="e">
        <f>AND(#REF!,"AAAAAD3Z/zM=")</f>
        <v>#REF!</v>
      </c>
      <c r="BA36" t="e">
        <f>AND(#REF!,"AAAAAD3Z/zQ=")</f>
        <v>#REF!</v>
      </c>
      <c r="BB36" t="e">
        <f>IF(#REF!,"AAAAAD3Z/zU=",0)</f>
        <v>#REF!</v>
      </c>
      <c r="BC36" t="e">
        <f>AND(#REF!,"AAAAAD3Z/zY=")</f>
        <v>#REF!</v>
      </c>
      <c r="BD36" t="e">
        <f>AND(#REF!,"AAAAAD3Z/zc=")</f>
        <v>#REF!</v>
      </c>
      <c r="BE36" t="e">
        <f>AND(#REF!,"AAAAAD3Z/zg=")</f>
        <v>#REF!</v>
      </c>
      <c r="BF36" t="e">
        <f>AND(#REF!,"AAAAAD3Z/zk=")</f>
        <v>#REF!</v>
      </c>
      <c r="BG36" t="e">
        <f>AND(#REF!,"AAAAAD3Z/zo=")</f>
        <v>#REF!</v>
      </c>
      <c r="BH36" t="e">
        <f>AND(#REF!,"AAAAAD3Z/zs=")</f>
        <v>#REF!</v>
      </c>
      <c r="BI36" t="e">
        <f>AND(#REF!,"AAAAAD3Z/zw=")</f>
        <v>#REF!</v>
      </c>
      <c r="BJ36" t="e">
        <f>AND(#REF!,"AAAAAD3Z/z0=")</f>
        <v>#REF!</v>
      </c>
      <c r="BK36" t="e">
        <f>AND(#REF!,"AAAAAD3Z/z4=")</f>
        <v>#REF!</v>
      </c>
      <c r="BL36" t="e">
        <f>IF(#REF!,"AAAAAD3Z/z8=",0)</f>
        <v>#REF!</v>
      </c>
      <c r="BM36" t="e">
        <f>AND(#REF!,"AAAAAD3Z/0A=")</f>
        <v>#REF!</v>
      </c>
      <c r="BN36" t="e">
        <f>AND(#REF!,"AAAAAD3Z/0E=")</f>
        <v>#REF!</v>
      </c>
      <c r="BO36" t="e">
        <f>AND(#REF!,"AAAAAD3Z/0I=")</f>
        <v>#REF!</v>
      </c>
      <c r="BP36" t="e">
        <f>AND(#REF!,"AAAAAD3Z/0M=")</f>
        <v>#REF!</v>
      </c>
      <c r="BQ36" t="e">
        <f>AND(#REF!,"AAAAAD3Z/0Q=")</f>
        <v>#REF!</v>
      </c>
      <c r="BR36" t="e">
        <f>AND(#REF!,"AAAAAD3Z/0U=")</f>
        <v>#REF!</v>
      </c>
      <c r="BS36" t="e">
        <f>AND(#REF!,"AAAAAD3Z/0Y=")</f>
        <v>#REF!</v>
      </c>
      <c r="BT36" t="e">
        <f>AND(#REF!,"AAAAAD3Z/0c=")</f>
        <v>#REF!</v>
      </c>
      <c r="BU36" t="e">
        <f>AND(#REF!,"AAAAAD3Z/0g=")</f>
        <v>#REF!</v>
      </c>
      <c r="BV36" t="e">
        <f>IF(#REF!,"AAAAAD3Z/0k=",0)</f>
        <v>#REF!</v>
      </c>
      <c r="BW36" t="e">
        <f>AND(#REF!,"AAAAAD3Z/0o=")</f>
        <v>#REF!</v>
      </c>
      <c r="BX36" t="e">
        <f>AND(#REF!,"AAAAAD3Z/0s=")</f>
        <v>#REF!</v>
      </c>
      <c r="BY36" t="e">
        <f>AND(#REF!,"AAAAAD3Z/0w=")</f>
        <v>#REF!</v>
      </c>
      <c r="BZ36" t="e">
        <f>AND(#REF!,"AAAAAD3Z/00=")</f>
        <v>#REF!</v>
      </c>
      <c r="CA36" t="e">
        <f>AND(#REF!,"AAAAAD3Z/04=")</f>
        <v>#REF!</v>
      </c>
      <c r="CB36" t="e">
        <f>AND(#REF!,"AAAAAD3Z/08=")</f>
        <v>#REF!</v>
      </c>
      <c r="CC36" t="e">
        <f>AND(#REF!,"AAAAAD3Z/1A=")</f>
        <v>#REF!</v>
      </c>
      <c r="CD36" t="e">
        <f>AND(#REF!,"AAAAAD3Z/1E=")</f>
        <v>#REF!</v>
      </c>
      <c r="CE36" t="e">
        <f>AND(#REF!,"AAAAAD3Z/1I=")</f>
        <v>#REF!</v>
      </c>
      <c r="CF36" t="e">
        <f>IF(#REF!,"AAAAAD3Z/1M=",0)</f>
        <v>#REF!</v>
      </c>
      <c r="CG36" t="e">
        <f>AND(#REF!,"AAAAAD3Z/1Q=")</f>
        <v>#REF!</v>
      </c>
      <c r="CH36" t="e">
        <f>AND(#REF!,"AAAAAD3Z/1U=")</f>
        <v>#REF!</v>
      </c>
      <c r="CI36" t="e">
        <f>AND(#REF!,"AAAAAD3Z/1Y=")</f>
        <v>#REF!</v>
      </c>
      <c r="CJ36" t="e">
        <f>AND(#REF!,"AAAAAD3Z/1c=")</f>
        <v>#REF!</v>
      </c>
      <c r="CK36" t="e">
        <f>AND(#REF!,"AAAAAD3Z/1g=")</f>
        <v>#REF!</v>
      </c>
      <c r="CL36" t="e">
        <f>AND(#REF!,"AAAAAD3Z/1k=")</f>
        <v>#REF!</v>
      </c>
      <c r="CM36" t="e">
        <f>AND(#REF!,"AAAAAD3Z/1o=")</f>
        <v>#REF!</v>
      </c>
      <c r="CN36" t="e">
        <f>AND(#REF!,"AAAAAD3Z/1s=")</f>
        <v>#REF!</v>
      </c>
      <c r="CO36" t="e">
        <f>AND(#REF!,"AAAAAD3Z/1w=")</f>
        <v>#REF!</v>
      </c>
      <c r="CP36" t="e">
        <f>IF(#REF!,"AAAAAD3Z/10=",0)</f>
        <v>#REF!</v>
      </c>
      <c r="CQ36" t="e">
        <f>AND(#REF!,"AAAAAD3Z/14=")</f>
        <v>#REF!</v>
      </c>
      <c r="CR36" t="e">
        <f>AND(#REF!,"AAAAAD3Z/18=")</f>
        <v>#REF!</v>
      </c>
      <c r="CS36" t="e">
        <f>AND(#REF!,"AAAAAD3Z/2A=")</f>
        <v>#REF!</v>
      </c>
      <c r="CT36" t="e">
        <f>AND(#REF!,"AAAAAD3Z/2E=")</f>
        <v>#REF!</v>
      </c>
      <c r="CU36" t="e">
        <f>AND(#REF!,"AAAAAD3Z/2I=")</f>
        <v>#REF!</v>
      </c>
      <c r="CV36" t="e">
        <f>AND(#REF!,"AAAAAD3Z/2M=")</f>
        <v>#REF!</v>
      </c>
      <c r="CW36" t="e">
        <f>AND(#REF!,"AAAAAD3Z/2Q=")</f>
        <v>#REF!</v>
      </c>
      <c r="CX36" t="e">
        <f>AND(#REF!,"AAAAAD3Z/2U=")</f>
        <v>#REF!</v>
      </c>
      <c r="CY36" t="e">
        <f>AND(#REF!,"AAAAAD3Z/2Y=")</f>
        <v>#REF!</v>
      </c>
      <c r="CZ36" t="e">
        <f>IF(#REF!,"AAAAAD3Z/2c=",0)</f>
        <v>#REF!</v>
      </c>
      <c r="DA36" t="e">
        <f>AND(#REF!,"AAAAAD3Z/2g=")</f>
        <v>#REF!</v>
      </c>
      <c r="DB36" t="e">
        <f>AND(#REF!,"AAAAAD3Z/2k=")</f>
        <v>#REF!</v>
      </c>
      <c r="DC36" t="e">
        <f>AND(#REF!,"AAAAAD3Z/2o=")</f>
        <v>#REF!</v>
      </c>
      <c r="DD36" t="e">
        <f>AND(#REF!,"AAAAAD3Z/2s=")</f>
        <v>#REF!</v>
      </c>
      <c r="DE36" t="e">
        <f>AND(#REF!,"AAAAAD3Z/2w=")</f>
        <v>#REF!</v>
      </c>
      <c r="DF36" t="e">
        <f>AND(#REF!,"AAAAAD3Z/20=")</f>
        <v>#REF!</v>
      </c>
      <c r="DG36" t="e">
        <f>AND(#REF!,"AAAAAD3Z/24=")</f>
        <v>#REF!</v>
      </c>
      <c r="DH36" t="e">
        <f>AND(#REF!,"AAAAAD3Z/28=")</f>
        <v>#REF!</v>
      </c>
      <c r="DI36" t="e">
        <f>AND(#REF!,"AAAAAD3Z/3A=")</f>
        <v>#REF!</v>
      </c>
      <c r="DJ36" t="e">
        <f>IF(#REF!,"AAAAAD3Z/3E=",0)</f>
        <v>#REF!</v>
      </c>
      <c r="DK36" t="e">
        <f>AND(#REF!,"AAAAAD3Z/3I=")</f>
        <v>#REF!</v>
      </c>
      <c r="DL36" t="e">
        <f>AND(#REF!,"AAAAAD3Z/3M=")</f>
        <v>#REF!</v>
      </c>
      <c r="DM36" t="e">
        <f>AND(#REF!,"AAAAAD3Z/3Q=")</f>
        <v>#REF!</v>
      </c>
      <c r="DN36" t="e">
        <f>AND(#REF!,"AAAAAD3Z/3U=")</f>
        <v>#REF!</v>
      </c>
      <c r="DO36" t="e">
        <f>AND(#REF!,"AAAAAD3Z/3Y=")</f>
        <v>#REF!</v>
      </c>
      <c r="DP36" t="e">
        <f>AND(#REF!,"AAAAAD3Z/3c=")</f>
        <v>#REF!</v>
      </c>
      <c r="DQ36" t="e">
        <f>AND(#REF!,"AAAAAD3Z/3g=")</f>
        <v>#REF!</v>
      </c>
      <c r="DR36" t="e">
        <f>AND(#REF!,"AAAAAD3Z/3k=")</f>
        <v>#REF!</v>
      </c>
      <c r="DS36" t="e">
        <f>AND(#REF!,"AAAAAD3Z/3o=")</f>
        <v>#REF!</v>
      </c>
      <c r="DT36" t="e">
        <f>IF(#REF!,"AAAAAD3Z/3s=",0)</f>
        <v>#REF!</v>
      </c>
      <c r="DU36" t="e">
        <f>AND(#REF!,"AAAAAD3Z/3w=")</f>
        <v>#REF!</v>
      </c>
      <c r="DV36" t="e">
        <f>AND(#REF!,"AAAAAD3Z/30=")</f>
        <v>#REF!</v>
      </c>
      <c r="DW36" t="e">
        <f>AND(#REF!,"AAAAAD3Z/34=")</f>
        <v>#REF!</v>
      </c>
      <c r="DX36" t="e">
        <f>AND(#REF!,"AAAAAD3Z/38=")</f>
        <v>#REF!</v>
      </c>
      <c r="DY36" t="e">
        <f>AND(#REF!,"AAAAAD3Z/4A=")</f>
        <v>#REF!</v>
      </c>
      <c r="DZ36" t="e">
        <f>AND(#REF!,"AAAAAD3Z/4E=")</f>
        <v>#REF!</v>
      </c>
      <c r="EA36" t="e">
        <f>AND(#REF!,"AAAAAD3Z/4I=")</f>
        <v>#REF!</v>
      </c>
      <c r="EB36" t="e">
        <f>AND(#REF!,"AAAAAD3Z/4M=")</f>
        <v>#REF!</v>
      </c>
      <c r="EC36" t="e">
        <f>AND(#REF!,"AAAAAD3Z/4Q=")</f>
        <v>#REF!</v>
      </c>
      <c r="ED36" t="e">
        <f>IF(#REF!,"AAAAAD3Z/4U=",0)</f>
        <v>#REF!</v>
      </c>
      <c r="EE36" t="e">
        <f>AND(#REF!,"AAAAAD3Z/4Y=")</f>
        <v>#REF!</v>
      </c>
      <c r="EF36" t="e">
        <f>AND(#REF!,"AAAAAD3Z/4c=")</f>
        <v>#REF!</v>
      </c>
      <c r="EG36" t="e">
        <f>AND(#REF!,"AAAAAD3Z/4g=")</f>
        <v>#REF!</v>
      </c>
      <c r="EH36" t="e">
        <f>AND(#REF!,"AAAAAD3Z/4k=")</f>
        <v>#REF!</v>
      </c>
      <c r="EI36" t="e">
        <f>AND(#REF!,"AAAAAD3Z/4o=")</f>
        <v>#REF!</v>
      </c>
      <c r="EJ36" t="e">
        <f>AND(#REF!,"AAAAAD3Z/4s=")</f>
        <v>#REF!</v>
      </c>
      <c r="EK36" t="e">
        <f>AND(#REF!,"AAAAAD3Z/4w=")</f>
        <v>#REF!</v>
      </c>
      <c r="EL36" t="e">
        <f>AND(#REF!,"AAAAAD3Z/40=")</f>
        <v>#REF!</v>
      </c>
      <c r="EM36" t="e">
        <f>AND(#REF!,"AAAAAD3Z/44=")</f>
        <v>#REF!</v>
      </c>
      <c r="EN36" t="e">
        <f>IF(#REF!,"AAAAAD3Z/48=",0)</f>
        <v>#REF!</v>
      </c>
      <c r="EO36" t="e">
        <f>AND(#REF!,"AAAAAD3Z/5A=")</f>
        <v>#REF!</v>
      </c>
      <c r="EP36" t="e">
        <f>AND(#REF!,"AAAAAD3Z/5E=")</f>
        <v>#REF!</v>
      </c>
      <c r="EQ36" t="e">
        <f>AND(#REF!,"AAAAAD3Z/5I=")</f>
        <v>#REF!</v>
      </c>
      <c r="ER36" t="e">
        <f>AND(#REF!,"AAAAAD3Z/5M=")</f>
        <v>#REF!</v>
      </c>
      <c r="ES36" t="e">
        <f>AND(#REF!,"AAAAAD3Z/5Q=")</f>
        <v>#REF!</v>
      </c>
      <c r="ET36" t="e">
        <f>AND(#REF!,"AAAAAD3Z/5U=")</f>
        <v>#REF!</v>
      </c>
      <c r="EU36" t="e">
        <f>AND(#REF!,"AAAAAD3Z/5Y=")</f>
        <v>#REF!</v>
      </c>
      <c r="EV36" t="e">
        <f>AND(#REF!,"AAAAAD3Z/5c=")</f>
        <v>#REF!</v>
      </c>
      <c r="EW36" t="e">
        <f>AND(#REF!,"AAAAAD3Z/5g=")</f>
        <v>#REF!</v>
      </c>
      <c r="EX36" t="e">
        <f>IF(#REF!,"AAAAAD3Z/5k=",0)</f>
        <v>#REF!</v>
      </c>
      <c r="EY36" t="e">
        <f>AND(#REF!,"AAAAAD3Z/5o=")</f>
        <v>#REF!</v>
      </c>
      <c r="EZ36" t="e">
        <f>AND(#REF!,"AAAAAD3Z/5s=")</f>
        <v>#REF!</v>
      </c>
      <c r="FA36" t="e">
        <f>AND(#REF!,"AAAAAD3Z/5w=")</f>
        <v>#REF!</v>
      </c>
      <c r="FB36" t="e">
        <f>AND(#REF!,"AAAAAD3Z/50=")</f>
        <v>#REF!</v>
      </c>
      <c r="FC36" t="e">
        <f>AND(#REF!,"AAAAAD3Z/54=")</f>
        <v>#REF!</v>
      </c>
      <c r="FD36" t="e">
        <f>AND(#REF!,"AAAAAD3Z/58=")</f>
        <v>#REF!</v>
      </c>
      <c r="FE36" t="e">
        <f>AND(#REF!,"AAAAAD3Z/6A=")</f>
        <v>#REF!</v>
      </c>
      <c r="FF36" t="e">
        <f>AND(#REF!,"AAAAAD3Z/6E=")</f>
        <v>#REF!</v>
      </c>
      <c r="FG36" t="e">
        <f>AND(#REF!,"AAAAAD3Z/6I=")</f>
        <v>#REF!</v>
      </c>
      <c r="FH36" t="e">
        <f>IF(#REF!,"AAAAAD3Z/6M=",0)</f>
        <v>#REF!</v>
      </c>
      <c r="FI36" t="e">
        <f>AND(#REF!,"AAAAAD3Z/6Q=")</f>
        <v>#REF!</v>
      </c>
      <c r="FJ36" t="e">
        <f>AND(#REF!,"AAAAAD3Z/6U=")</f>
        <v>#REF!</v>
      </c>
      <c r="FK36" t="e">
        <f>AND(#REF!,"AAAAAD3Z/6Y=")</f>
        <v>#REF!</v>
      </c>
      <c r="FL36" t="e">
        <f>AND(#REF!,"AAAAAD3Z/6c=")</f>
        <v>#REF!</v>
      </c>
      <c r="FM36" t="e">
        <f>AND(#REF!,"AAAAAD3Z/6g=")</f>
        <v>#REF!</v>
      </c>
      <c r="FN36" t="e">
        <f>AND(#REF!,"AAAAAD3Z/6k=")</f>
        <v>#REF!</v>
      </c>
      <c r="FO36" t="e">
        <f>AND(#REF!,"AAAAAD3Z/6o=")</f>
        <v>#REF!</v>
      </c>
      <c r="FP36" t="e">
        <f>AND(#REF!,"AAAAAD3Z/6s=")</f>
        <v>#REF!</v>
      </c>
      <c r="FQ36" t="e">
        <f>AND(#REF!,"AAAAAD3Z/6w=")</f>
        <v>#REF!</v>
      </c>
      <c r="FR36" t="e">
        <f>IF(#REF!,"AAAAAD3Z/60=",0)</f>
        <v>#REF!</v>
      </c>
      <c r="FS36" t="e">
        <f>AND(#REF!,"AAAAAD3Z/64=")</f>
        <v>#REF!</v>
      </c>
      <c r="FT36" t="e">
        <f>AND(#REF!,"AAAAAD3Z/68=")</f>
        <v>#REF!</v>
      </c>
      <c r="FU36" t="e">
        <f>AND(#REF!,"AAAAAD3Z/7A=")</f>
        <v>#REF!</v>
      </c>
      <c r="FV36" t="e">
        <f>AND(#REF!,"AAAAAD3Z/7E=")</f>
        <v>#REF!</v>
      </c>
      <c r="FW36" t="e">
        <f>AND(#REF!,"AAAAAD3Z/7I=")</f>
        <v>#REF!</v>
      </c>
      <c r="FX36" t="e">
        <f>AND(#REF!,"AAAAAD3Z/7M=")</f>
        <v>#REF!</v>
      </c>
      <c r="FY36" t="e">
        <f>AND(#REF!,"AAAAAD3Z/7Q=")</f>
        <v>#REF!</v>
      </c>
      <c r="FZ36" t="e">
        <f>AND(#REF!,"AAAAAD3Z/7U=")</f>
        <v>#REF!</v>
      </c>
      <c r="GA36" t="e">
        <f>AND(#REF!,"AAAAAD3Z/7Y=")</f>
        <v>#REF!</v>
      </c>
      <c r="GB36" t="e">
        <f>IF(#REF!,"AAAAAD3Z/7c=",0)</f>
        <v>#REF!</v>
      </c>
      <c r="GC36" t="e">
        <f>AND(#REF!,"AAAAAD3Z/7g=")</f>
        <v>#REF!</v>
      </c>
      <c r="GD36" t="e">
        <f>AND(#REF!,"AAAAAD3Z/7k=")</f>
        <v>#REF!</v>
      </c>
      <c r="GE36" t="e">
        <f>AND(#REF!,"AAAAAD3Z/7o=")</f>
        <v>#REF!</v>
      </c>
      <c r="GF36" t="e">
        <f>AND(#REF!,"AAAAAD3Z/7s=")</f>
        <v>#REF!</v>
      </c>
      <c r="GG36" t="e">
        <f>AND(#REF!,"AAAAAD3Z/7w=")</f>
        <v>#REF!</v>
      </c>
      <c r="GH36" t="e">
        <f>AND(#REF!,"AAAAAD3Z/70=")</f>
        <v>#REF!</v>
      </c>
      <c r="GI36" t="e">
        <f>AND(#REF!,"AAAAAD3Z/74=")</f>
        <v>#REF!</v>
      </c>
      <c r="GJ36" t="e">
        <f>AND(#REF!,"AAAAAD3Z/78=")</f>
        <v>#REF!</v>
      </c>
      <c r="GK36" t="e">
        <f>AND(#REF!,"AAAAAD3Z/8A=")</f>
        <v>#REF!</v>
      </c>
      <c r="GL36" t="e">
        <f>IF(#REF!,"AAAAAD3Z/8E=",0)</f>
        <v>#REF!</v>
      </c>
      <c r="GM36" t="e">
        <f>AND(#REF!,"AAAAAD3Z/8I=")</f>
        <v>#REF!</v>
      </c>
      <c r="GN36" t="e">
        <f>AND(#REF!,"AAAAAD3Z/8M=")</f>
        <v>#REF!</v>
      </c>
      <c r="GO36" t="e">
        <f>AND(#REF!,"AAAAAD3Z/8Q=")</f>
        <v>#REF!</v>
      </c>
      <c r="GP36" t="e">
        <f>AND(#REF!,"AAAAAD3Z/8U=")</f>
        <v>#REF!</v>
      </c>
      <c r="GQ36" t="e">
        <f>AND(#REF!,"AAAAAD3Z/8Y=")</f>
        <v>#REF!</v>
      </c>
      <c r="GR36" t="e">
        <f>AND(#REF!,"AAAAAD3Z/8c=")</f>
        <v>#REF!</v>
      </c>
      <c r="GS36" t="e">
        <f>AND(#REF!,"AAAAAD3Z/8g=")</f>
        <v>#REF!</v>
      </c>
      <c r="GT36" t="e">
        <f>AND(#REF!,"AAAAAD3Z/8k=")</f>
        <v>#REF!</v>
      </c>
      <c r="GU36" t="e">
        <f>AND(#REF!,"AAAAAD3Z/8o=")</f>
        <v>#REF!</v>
      </c>
      <c r="GV36" t="e">
        <f>IF(#REF!,"AAAAAD3Z/8s=",0)</f>
        <v>#REF!</v>
      </c>
      <c r="GW36" t="e">
        <f>AND(#REF!,"AAAAAD3Z/8w=")</f>
        <v>#REF!</v>
      </c>
      <c r="GX36" t="e">
        <f>AND(#REF!,"AAAAAD3Z/80=")</f>
        <v>#REF!</v>
      </c>
      <c r="GY36" t="e">
        <f>AND(#REF!,"AAAAAD3Z/84=")</f>
        <v>#REF!</v>
      </c>
      <c r="GZ36" t="e">
        <f>AND(#REF!,"AAAAAD3Z/88=")</f>
        <v>#REF!</v>
      </c>
      <c r="HA36" t="e">
        <f>AND(#REF!,"AAAAAD3Z/9A=")</f>
        <v>#REF!</v>
      </c>
      <c r="HB36" t="e">
        <f>AND(#REF!,"AAAAAD3Z/9E=")</f>
        <v>#REF!</v>
      </c>
      <c r="HC36" t="e">
        <f>AND(#REF!,"AAAAAD3Z/9I=")</f>
        <v>#REF!</v>
      </c>
      <c r="HD36" t="e">
        <f>AND(#REF!,"AAAAAD3Z/9M=")</f>
        <v>#REF!</v>
      </c>
      <c r="HE36" t="e">
        <f>AND(#REF!,"AAAAAD3Z/9Q=")</f>
        <v>#REF!</v>
      </c>
      <c r="HF36" t="e">
        <f>IF(#REF!,"AAAAAD3Z/9U=",0)</f>
        <v>#REF!</v>
      </c>
      <c r="HG36" t="e">
        <f>AND(#REF!,"AAAAAD3Z/9Y=")</f>
        <v>#REF!</v>
      </c>
      <c r="HH36" t="e">
        <f>AND(#REF!,"AAAAAD3Z/9c=")</f>
        <v>#REF!</v>
      </c>
      <c r="HI36" t="e">
        <f>AND(#REF!,"AAAAAD3Z/9g=")</f>
        <v>#REF!</v>
      </c>
      <c r="HJ36" t="e">
        <f>AND(#REF!,"AAAAAD3Z/9k=")</f>
        <v>#REF!</v>
      </c>
      <c r="HK36" t="e">
        <f>AND(#REF!,"AAAAAD3Z/9o=")</f>
        <v>#REF!</v>
      </c>
      <c r="HL36" t="e">
        <f>AND(#REF!,"AAAAAD3Z/9s=")</f>
        <v>#REF!</v>
      </c>
      <c r="HM36" t="e">
        <f>AND(#REF!,"AAAAAD3Z/9w=")</f>
        <v>#REF!</v>
      </c>
      <c r="HN36" t="e">
        <f>AND(#REF!,"AAAAAD3Z/90=")</f>
        <v>#REF!</v>
      </c>
      <c r="HO36" t="e">
        <f>AND(#REF!,"AAAAAD3Z/94=")</f>
        <v>#REF!</v>
      </c>
      <c r="HP36" t="e">
        <f>IF(#REF!,"AAAAAD3Z/98=",0)</f>
        <v>#REF!</v>
      </c>
      <c r="HQ36" t="e">
        <f>AND(#REF!,"AAAAAD3Z/+A=")</f>
        <v>#REF!</v>
      </c>
      <c r="HR36" t="e">
        <f>AND(#REF!,"AAAAAD3Z/+E=")</f>
        <v>#REF!</v>
      </c>
      <c r="HS36" t="e">
        <f>AND(#REF!,"AAAAAD3Z/+I=")</f>
        <v>#REF!</v>
      </c>
      <c r="HT36" t="e">
        <f>AND(#REF!,"AAAAAD3Z/+M=")</f>
        <v>#REF!</v>
      </c>
      <c r="HU36" t="e">
        <f>AND(#REF!,"AAAAAD3Z/+Q=")</f>
        <v>#REF!</v>
      </c>
      <c r="HV36" t="e">
        <f>AND(#REF!,"AAAAAD3Z/+U=")</f>
        <v>#REF!</v>
      </c>
      <c r="HW36" t="e">
        <f>AND(#REF!,"AAAAAD3Z/+Y=")</f>
        <v>#REF!</v>
      </c>
      <c r="HX36" t="e">
        <f>AND(#REF!,"AAAAAD3Z/+c=")</f>
        <v>#REF!</v>
      </c>
      <c r="HY36" t="e">
        <f>AND(#REF!,"AAAAAD3Z/+g=")</f>
        <v>#REF!</v>
      </c>
      <c r="HZ36" t="e">
        <f>IF(#REF!,"AAAAAD3Z/+k=",0)</f>
        <v>#REF!</v>
      </c>
      <c r="IA36" t="e">
        <f>AND(#REF!,"AAAAAD3Z/+o=")</f>
        <v>#REF!</v>
      </c>
      <c r="IB36" t="e">
        <f>AND(#REF!,"AAAAAD3Z/+s=")</f>
        <v>#REF!</v>
      </c>
      <c r="IC36" t="e">
        <f>AND(#REF!,"AAAAAD3Z/+w=")</f>
        <v>#REF!</v>
      </c>
      <c r="ID36" t="e">
        <f>AND(#REF!,"AAAAAD3Z/+0=")</f>
        <v>#REF!</v>
      </c>
      <c r="IE36" t="e">
        <f>AND(#REF!,"AAAAAD3Z/+4=")</f>
        <v>#REF!</v>
      </c>
      <c r="IF36" t="e">
        <f>AND(#REF!,"AAAAAD3Z/+8=")</f>
        <v>#REF!</v>
      </c>
      <c r="IG36" t="e">
        <f>AND(#REF!,"AAAAAD3Z//A=")</f>
        <v>#REF!</v>
      </c>
      <c r="IH36" t="e">
        <f>AND(#REF!,"AAAAAD3Z//E=")</f>
        <v>#REF!</v>
      </c>
      <c r="II36" t="e">
        <f>AND(#REF!,"AAAAAD3Z//I=")</f>
        <v>#REF!</v>
      </c>
      <c r="IJ36" t="e">
        <f>IF(#REF!,"AAAAAD3Z//M=",0)</f>
        <v>#REF!</v>
      </c>
      <c r="IK36" t="e">
        <f>AND(#REF!,"AAAAAD3Z//Q=")</f>
        <v>#REF!</v>
      </c>
      <c r="IL36" t="e">
        <f>AND(#REF!,"AAAAAD3Z//U=")</f>
        <v>#REF!</v>
      </c>
      <c r="IM36" t="e">
        <f>AND(#REF!,"AAAAAD3Z//Y=")</f>
        <v>#REF!</v>
      </c>
      <c r="IN36" t="e">
        <f>AND(#REF!,"AAAAAD3Z//c=")</f>
        <v>#REF!</v>
      </c>
      <c r="IO36" t="e">
        <f>AND(#REF!,"AAAAAD3Z//g=")</f>
        <v>#REF!</v>
      </c>
      <c r="IP36" t="e">
        <f>AND(#REF!,"AAAAAD3Z//k=")</f>
        <v>#REF!</v>
      </c>
      <c r="IQ36" t="e">
        <f>AND(#REF!,"AAAAAD3Z//o=")</f>
        <v>#REF!</v>
      </c>
      <c r="IR36" t="e">
        <f>AND(#REF!,"AAAAAD3Z//s=")</f>
        <v>#REF!</v>
      </c>
      <c r="IS36" t="e">
        <f>AND(#REF!,"AAAAAD3Z//w=")</f>
        <v>#REF!</v>
      </c>
      <c r="IT36" t="e">
        <f>IF(#REF!,"AAAAAD3Z//0=",0)</f>
        <v>#REF!</v>
      </c>
      <c r="IU36" t="e">
        <f>AND(#REF!,"AAAAAD3Z//4=")</f>
        <v>#REF!</v>
      </c>
      <c r="IV36" t="e">
        <f>AND(#REF!,"AAAAAD3Z//8=")</f>
        <v>#REF!</v>
      </c>
    </row>
    <row r="37" spans="1:256">
      <c r="A37" t="e">
        <f>AND(#REF!,"AAAAAH33PwA=")</f>
        <v>#REF!</v>
      </c>
      <c r="B37" t="e">
        <f>AND(#REF!,"AAAAAH33PwE=")</f>
        <v>#REF!</v>
      </c>
      <c r="C37" t="e">
        <f>AND(#REF!,"AAAAAH33PwI=")</f>
        <v>#REF!</v>
      </c>
      <c r="D37" t="e">
        <f>AND(#REF!,"AAAAAH33PwM=")</f>
        <v>#REF!</v>
      </c>
      <c r="E37" t="e">
        <f>AND(#REF!,"AAAAAH33PwQ=")</f>
        <v>#REF!</v>
      </c>
      <c r="F37" t="e">
        <f>AND(#REF!,"AAAAAH33PwU=")</f>
        <v>#REF!</v>
      </c>
      <c r="G37" t="e">
        <f>AND(#REF!,"AAAAAH33PwY=")</f>
        <v>#REF!</v>
      </c>
      <c r="H37" t="e">
        <f>IF(#REF!,"AAAAAH33Pwc=",0)</f>
        <v>#REF!</v>
      </c>
      <c r="I37" t="e">
        <f>AND(#REF!,"AAAAAH33Pwg=")</f>
        <v>#REF!</v>
      </c>
      <c r="J37" t="e">
        <f>AND(#REF!,"AAAAAH33Pwk=")</f>
        <v>#REF!</v>
      </c>
      <c r="K37" t="e">
        <f>AND(#REF!,"AAAAAH33Pwo=")</f>
        <v>#REF!</v>
      </c>
      <c r="L37" t="e">
        <f>AND(#REF!,"AAAAAH33Pws=")</f>
        <v>#REF!</v>
      </c>
      <c r="M37" t="e">
        <f>AND(#REF!,"AAAAAH33Pww=")</f>
        <v>#REF!</v>
      </c>
      <c r="N37" t="e">
        <f>AND(#REF!,"AAAAAH33Pw0=")</f>
        <v>#REF!</v>
      </c>
      <c r="O37" t="e">
        <f>AND(#REF!,"AAAAAH33Pw4=")</f>
        <v>#REF!</v>
      </c>
      <c r="P37" t="e">
        <f>AND(#REF!,"AAAAAH33Pw8=")</f>
        <v>#REF!</v>
      </c>
      <c r="Q37" t="e">
        <f>AND(#REF!,"AAAAAH33PxA=")</f>
        <v>#REF!</v>
      </c>
      <c r="R37" t="e">
        <f>IF(#REF!,"AAAAAH33PxE=",0)</f>
        <v>#REF!</v>
      </c>
      <c r="S37" t="e">
        <f>AND(#REF!,"AAAAAH33PxI=")</f>
        <v>#REF!</v>
      </c>
      <c r="T37" t="e">
        <f>AND(#REF!,"AAAAAH33PxM=")</f>
        <v>#REF!</v>
      </c>
      <c r="U37" t="e">
        <f>AND(#REF!,"AAAAAH33PxQ=")</f>
        <v>#REF!</v>
      </c>
      <c r="V37" t="e">
        <f>AND(#REF!,"AAAAAH33PxU=")</f>
        <v>#REF!</v>
      </c>
      <c r="W37" t="e">
        <f>AND(#REF!,"AAAAAH33PxY=")</f>
        <v>#REF!</v>
      </c>
      <c r="X37" t="e">
        <f>AND(#REF!,"AAAAAH33Pxc=")</f>
        <v>#REF!</v>
      </c>
      <c r="Y37" t="e">
        <f>AND(#REF!,"AAAAAH33Pxg=")</f>
        <v>#REF!</v>
      </c>
      <c r="Z37" t="e">
        <f>AND(#REF!,"AAAAAH33Pxk=")</f>
        <v>#REF!</v>
      </c>
      <c r="AA37" t="e">
        <f>AND(#REF!,"AAAAAH33Pxo=")</f>
        <v>#REF!</v>
      </c>
      <c r="AB37" t="e">
        <f>IF(#REF!,"AAAAAH33Pxs=",0)</f>
        <v>#REF!</v>
      </c>
      <c r="AC37" t="e">
        <f>AND(#REF!,"AAAAAH33Pxw=")</f>
        <v>#REF!</v>
      </c>
      <c r="AD37" t="e">
        <f>AND(#REF!,"AAAAAH33Px0=")</f>
        <v>#REF!</v>
      </c>
      <c r="AE37" t="e">
        <f>AND(#REF!,"AAAAAH33Px4=")</f>
        <v>#REF!</v>
      </c>
      <c r="AF37" t="e">
        <f>AND(#REF!,"AAAAAH33Px8=")</f>
        <v>#REF!</v>
      </c>
      <c r="AG37" t="e">
        <f>AND(#REF!,"AAAAAH33PyA=")</f>
        <v>#REF!</v>
      </c>
      <c r="AH37" t="e">
        <f>AND(#REF!,"AAAAAH33PyE=")</f>
        <v>#REF!</v>
      </c>
      <c r="AI37" t="e">
        <f>AND(#REF!,"AAAAAH33PyI=")</f>
        <v>#REF!</v>
      </c>
      <c r="AJ37" t="e">
        <f>AND(#REF!,"AAAAAH33PyM=")</f>
        <v>#REF!</v>
      </c>
      <c r="AK37" t="e">
        <f>AND(#REF!,"AAAAAH33PyQ=")</f>
        <v>#REF!</v>
      </c>
      <c r="AL37" t="e">
        <f>IF(#REF!,"AAAAAH33PyU=",0)</f>
        <v>#REF!</v>
      </c>
      <c r="AM37" t="e">
        <f>AND(#REF!,"AAAAAH33PyY=")</f>
        <v>#REF!</v>
      </c>
      <c r="AN37" t="e">
        <f>AND(#REF!,"AAAAAH33Pyc=")</f>
        <v>#REF!</v>
      </c>
      <c r="AO37" t="e">
        <f>AND(#REF!,"AAAAAH33Pyg=")</f>
        <v>#REF!</v>
      </c>
      <c r="AP37" t="e">
        <f>AND(#REF!,"AAAAAH33Pyk=")</f>
        <v>#REF!</v>
      </c>
      <c r="AQ37" t="e">
        <f>AND(#REF!,"AAAAAH33Pyo=")</f>
        <v>#REF!</v>
      </c>
      <c r="AR37" t="e">
        <f>AND(#REF!,"AAAAAH33Pys=")</f>
        <v>#REF!</v>
      </c>
      <c r="AS37" t="e">
        <f>AND(#REF!,"AAAAAH33Pyw=")</f>
        <v>#REF!</v>
      </c>
      <c r="AT37" t="e">
        <f>AND(#REF!,"AAAAAH33Py0=")</f>
        <v>#REF!</v>
      </c>
      <c r="AU37" t="e">
        <f>AND(#REF!,"AAAAAH33Py4=")</f>
        <v>#REF!</v>
      </c>
      <c r="AV37" t="e">
        <f>IF(#REF!,"AAAAAH33Py8=",0)</f>
        <v>#REF!</v>
      </c>
      <c r="AW37" t="e">
        <f>AND(#REF!,"AAAAAH33PzA=")</f>
        <v>#REF!</v>
      </c>
      <c r="AX37" t="e">
        <f>AND(#REF!,"AAAAAH33PzE=")</f>
        <v>#REF!</v>
      </c>
      <c r="AY37" t="e">
        <f>AND(#REF!,"AAAAAH33PzI=")</f>
        <v>#REF!</v>
      </c>
      <c r="AZ37" t="e">
        <f>AND(#REF!,"AAAAAH33PzM=")</f>
        <v>#REF!</v>
      </c>
      <c r="BA37" t="e">
        <f>AND(#REF!,"AAAAAH33PzQ=")</f>
        <v>#REF!</v>
      </c>
      <c r="BB37" t="e">
        <f>AND(#REF!,"AAAAAH33PzU=")</f>
        <v>#REF!</v>
      </c>
      <c r="BC37" t="e">
        <f>AND(#REF!,"AAAAAH33PzY=")</f>
        <v>#REF!</v>
      </c>
      <c r="BD37" t="e">
        <f>AND(#REF!,"AAAAAH33Pzc=")</f>
        <v>#REF!</v>
      </c>
      <c r="BE37" t="e">
        <f>AND(#REF!,"AAAAAH33Pzg=")</f>
        <v>#REF!</v>
      </c>
      <c r="BF37" t="e">
        <f>IF(#REF!,"AAAAAH33Pzk=",0)</f>
        <v>#REF!</v>
      </c>
      <c r="BG37" t="e">
        <f>AND(#REF!,"AAAAAH33Pzo=")</f>
        <v>#REF!</v>
      </c>
      <c r="BH37" t="e">
        <f>AND(#REF!,"AAAAAH33Pzs=")</f>
        <v>#REF!</v>
      </c>
      <c r="BI37" t="e">
        <f>AND(#REF!,"AAAAAH33Pzw=")</f>
        <v>#REF!</v>
      </c>
      <c r="BJ37" t="e">
        <f>AND(#REF!,"AAAAAH33Pz0=")</f>
        <v>#REF!</v>
      </c>
      <c r="BK37" t="e">
        <f>AND(#REF!,"AAAAAH33Pz4=")</f>
        <v>#REF!</v>
      </c>
      <c r="BL37" t="e">
        <f>AND(#REF!,"AAAAAH33Pz8=")</f>
        <v>#REF!</v>
      </c>
      <c r="BM37" t="e">
        <f>AND(#REF!,"AAAAAH33P0A=")</f>
        <v>#REF!</v>
      </c>
      <c r="BN37" t="e">
        <f>AND(#REF!,"AAAAAH33P0E=")</f>
        <v>#REF!</v>
      </c>
      <c r="BO37" t="e">
        <f>AND(#REF!,"AAAAAH33P0I=")</f>
        <v>#REF!</v>
      </c>
      <c r="BP37" t="e">
        <f>IF(#REF!,"AAAAAH33P0M=",0)</f>
        <v>#REF!</v>
      </c>
      <c r="BQ37" t="e">
        <f>AND(#REF!,"AAAAAH33P0Q=")</f>
        <v>#REF!</v>
      </c>
      <c r="BR37" t="e">
        <f>AND(#REF!,"AAAAAH33P0U=")</f>
        <v>#REF!</v>
      </c>
      <c r="BS37" t="e">
        <f>AND(#REF!,"AAAAAH33P0Y=")</f>
        <v>#REF!</v>
      </c>
      <c r="BT37" t="e">
        <f>AND(#REF!,"AAAAAH33P0c=")</f>
        <v>#REF!</v>
      </c>
      <c r="BU37" t="e">
        <f>AND(#REF!,"AAAAAH33P0g=")</f>
        <v>#REF!</v>
      </c>
      <c r="BV37" t="e">
        <f>AND(#REF!,"AAAAAH33P0k=")</f>
        <v>#REF!</v>
      </c>
      <c r="BW37" t="e">
        <f>AND(#REF!,"AAAAAH33P0o=")</f>
        <v>#REF!</v>
      </c>
      <c r="BX37" t="e">
        <f>AND(#REF!,"AAAAAH33P0s=")</f>
        <v>#REF!</v>
      </c>
      <c r="BY37" t="e">
        <f>AND(#REF!,"AAAAAH33P0w=")</f>
        <v>#REF!</v>
      </c>
      <c r="BZ37" t="e">
        <f>IF(#REF!,"AAAAAH33P00=",0)</f>
        <v>#REF!</v>
      </c>
      <c r="CA37" t="e">
        <f>AND(#REF!,"AAAAAH33P04=")</f>
        <v>#REF!</v>
      </c>
      <c r="CB37" t="e">
        <f>AND(#REF!,"AAAAAH33P08=")</f>
        <v>#REF!</v>
      </c>
      <c r="CC37" t="e">
        <f>AND(#REF!,"AAAAAH33P1A=")</f>
        <v>#REF!</v>
      </c>
      <c r="CD37" t="e">
        <f>AND(#REF!,"AAAAAH33P1E=")</f>
        <v>#REF!</v>
      </c>
      <c r="CE37" t="e">
        <f>AND(#REF!,"AAAAAH33P1I=")</f>
        <v>#REF!</v>
      </c>
      <c r="CF37" t="e">
        <f>AND(#REF!,"AAAAAH33P1M=")</f>
        <v>#REF!</v>
      </c>
      <c r="CG37" t="e">
        <f>AND(#REF!,"AAAAAH33P1Q=")</f>
        <v>#REF!</v>
      </c>
      <c r="CH37" t="e">
        <f>AND(#REF!,"AAAAAH33P1U=")</f>
        <v>#REF!</v>
      </c>
      <c r="CI37" t="e">
        <f>AND(#REF!,"AAAAAH33P1Y=")</f>
        <v>#REF!</v>
      </c>
      <c r="CJ37" t="e">
        <f>IF(#REF!,"AAAAAH33P1c=",0)</f>
        <v>#REF!</v>
      </c>
      <c r="CK37" t="e">
        <f>AND(#REF!,"AAAAAH33P1g=")</f>
        <v>#REF!</v>
      </c>
      <c r="CL37" t="e">
        <f>AND(#REF!,"AAAAAH33P1k=")</f>
        <v>#REF!</v>
      </c>
      <c r="CM37" t="e">
        <f>AND(#REF!,"AAAAAH33P1o=")</f>
        <v>#REF!</v>
      </c>
      <c r="CN37" t="e">
        <f>AND(#REF!,"AAAAAH33P1s=")</f>
        <v>#REF!</v>
      </c>
      <c r="CO37" t="e">
        <f>AND(#REF!,"AAAAAH33P1w=")</f>
        <v>#REF!</v>
      </c>
      <c r="CP37" t="e">
        <f>AND(#REF!,"AAAAAH33P10=")</f>
        <v>#REF!</v>
      </c>
      <c r="CQ37" t="e">
        <f>AND(#REF!,"AAAAAH33P14=")</f>
        <v>#REF!</v>
      </c>
      <c r="CR37" t="e">
        <f>AND(#REF!,"AAAAAH33P18=")</f>
        <v>#REF!</v>
      </c>
      <c r="CS37" t="e">
        <f>AND(#REF!,"AAAAAH33P2A=")</f>
        <v>#REF!</v>
      </c>
      <c r="CT37" t="e">
        <f>IF(#REF!,"AAAAAH33P2E=",0)</f>
        <v>#REF!</v>
      </c>
      <c r="CU37" t="e">
        <f>AND(#REF!,"AAAAAH33P2I=")</f>
        <v>#REF!</v>
      </c>
      <c r="CV37" t="e">
        <f>AND(#REF!,"AAAAAH33P2M=")</f>
        <v>#REF!</v>
      </c>
      <c r="CW37" t="e">
        <f>AND(#REF!,"AAAAAH33P2Q=")</f>
        <v>#REF!</v>
      </c>
      <c r="CX37" t="e">
        <f>AND(#REF!,"AAAAAH33P2U=")</f>
        <v>#REF!</v>
      </c>
      <c r="CY37" t="e">
        <f>AND(#REF!,"AAAAAH33P2Y=")</f>
        <v>#REF!</v>
      </c>
      <c r="CZ37" t="e">
        <f>AND(#REF!,"AAAAAH33P2c=")</f>
        <v>#REF!</v>
      </c>
      <c r="DA37" t="e">
        <f>AND(#REF!,"AAAAAH33P2g=")</f>
        <v>#REF!</v>
      </c>
      <c r="DB37" t="e">
        <f>AND(#REF!,"AAAAAH33P2k=")</f>
        <v>#REF!</v>
      </c>
      <c r="DC37" t="e">
        <f>AND(#REF!,"AAAAAH33P2o=")</f>
        <v>#REF!</v>
      </c>
      <c r="DD37" t="e">
        <f>IF(#REF!,"AAAAAH33P2s=",0)</f>
        <v>#REF!</v>
      </c>
      <c r="DE37" t="e">
        <f>AND(#REF!,"AAAAAH33P2w=")</f>
        <v>#REF!</v>
      </c>
      <c r="DF37" t="e">
        <f>AND(#REF!,"AAAAAH33P20=")</f>
        <v>#REF!</v>
      </c>
      <c r="DG37" t="e">
        <f>AND(#REF!,"AAAAAH33P24=")</f>
        <v>#REF!</v>
      </c>
      <c r="DH37" t="e">
        <f>AND(#REF!,"AAAAAH33P28=")</f>
        <v>#REF!</v>
      </c>
      <c r="DI37" t="e">
        <f>AND(#REF!,"AAAAAH33P3A=")</f>
        <v>#REF!</v>
      </c>
      <c r="DJ37" t="e">
        <f>AND(#REF!,"AAAAAH33P3E=")</f>
        <v>#REF!</v>
      </c>
      <c r="DK37" t="e">
        <f>AND(#REF!,"AAAAAH33P3I=")</f>
        <v>#REF!</v>
      </c>
      <c r="DL37" t="e">
        <f>AND(#REF!,"AAAAAH33P3M=")</f>
        <v>#REF!</v>
      </c>
      <c r="DM37" t="e">
        <f>AND(#REF!,"AAAAAH33P3Q=")</f>
        <v>#REF!</v>
      </c>
      <c r="DN37" t="e">
        <f>IF(#REF!,"AAAAAH33P3U=",0)</f>
        <v>#REF!</v>
      </c>
      <c r="DO37" t="e">
        <f>AND(#REF!,"AAAAAH33P3Y=")</f>
        <v>#REF!</v>
      </c>
      <c r="DP37" t="e">
        <f>AND(#REF!,"AAAAAH33P3c=")</f>
        <v>#REF!</v>
      </c>
      <c r="DQ37" t="e">
        <f>AND(#REF!,"AAAAAH33P3g=")</f>
        <v>#REF!</v>
      </c>
      <c r="DR37" t="e">
        <f>AND(#REF!,"AAAAAH33P3k=")</f>
        <v>#REF!</v>
      </c>
      <c r="DS37" t="e">
        <f>AND(#REF!,"AAAAAH33P3o=")</f>
        <v>#REF!</v>
      </c>
      <c r="DT37" t="e">
        <f>AND(#REF!,"AAAAAH33P3s=")</f>
        <v>#REF!</v>
      </c>
      <c r="DU37" t="e">
        <f>AND(#REF!,"AAAAAH33P3w=")</f>
        <v>#REF!</v>
      </c>
      <c r="DV37" t="e">
        <f>AND(#REF!,"AAAAAH33P30=")</f>
        <v>#REF!</v>
      </c>
      <c r="DW37" t="e">
        <f>AND(#REF!,"AAAAAH33P34=")</f>
        <v>#REF!</v>
      </c>
      <c r="DX37" t="e">
        <f>IF(#REF!,"AAAAAH33P38=",0)</f>
        <v>#REF!</v>
      </c>
      <c r="DY37" t="e">
        <f>AND(#REF!,"AAAAAH33P4A=")</f>
        <v>#REF!</v>
      </c>
      <c r="DZ37" t="e">
        <f>AND(#REF!,"AAAAAH33P4E=")</f>
        <v>#REF!</v>
      </c>
      <c r="EA37" t="e">
        <f>AND(#REF!,"AAAAAH33P4I=")</f>
        <v>#REF!</v>
      </c>
      <c r="EB37" t="e">
        <f>AND(#REF!,"AAAAAH33P4M=")</f>
        <v>#REF!</v>
      </c>
      <c r="EC37" t="e">
        <f>AND(#REF!,"AAAAAH33P4Q=")</f>
        <v>#REF!</v>
      </c>
      <c r="ED37" t="e">
        <f>AND(#REF!,"AAAAAH33P4U=")</f>
        <v>#REF!</v>
      </c>
      <c r="EE37" t="e">
        <f>AND(#REF!,"AAAAAH33P4Y=")</f>
        <v>#REF!</v>
      </c>
      <c r="EF37" t="e">
        <f>AND(#REF!,"AAAAAH33P4c=")</f>
        <v>#REF!</v>
      </c>
      <c r="EG37" t="e">
        <f>AND(#REF!,"AAAAAH33P4g=")</f>
        <v>#REF!</v>
      </c>
      <c r="EH37" t="e">
        <f>IF(#REF!,"AAAAAH33P4k=",0)</f>
        <v>#REF!</v>
      </c>
      <c r="EI37" t="e">
        <f>AND(#REF!,"AAAAAH33P4o=")</f>
        <v>#REF!</v>
      </c>
      <c r="EJ37" t="e">
        <f>AND(#REF!,"AAAAAH33P4s=")</f>
        <v>#REF!</v>
      </c>
      <c r="EK37" t="e">
        <f>AND(#REF!,"AAAAAH33P4w=")</f>
        <v>#REF!</v>
      </c>
      <c r="EL37" t="e">
        <f>AND(#REF!,"AAAAAH33P40=")</f>
        <v>#REF!</v>
      </c>
      <c r="EM37" t="e">
        <f>AND(#REF!,"AAAAAH33P44=")</f>
        <v>#REF!</v>
      </c>
      <c r="EN37" t="e">
        <f>AND(#REF!,"AAAAAH33P48=")</f>
        <v>#REF!</v>
      </c>
      <c r="EO37" t="e">
        <f>AND(#REF!,"AAAAAH33P5A=")</f>
        <v>#REF!</v>
      </c>
      <c r="EP37" t="e">
        <f>AND(#REF!,"AAAAAH33P5E=")</f>
        <v>#REF!</v>
      </c>
      <c r="EQ37" t="e">
        <f>AND(#REF!,"AAAAAH33P5I=")</f>
        <v>#REF!</v>
      </c>
      <c r="ER37" t="e">
        <f>IF(#REF!,"AAAAAH33P5M=",0)</f>
        <v>#REF!</v>
      </c>
      <c r="ES37" t="e">
        <f>AND(#REF!,"AAAAAH33P5Q=")</f>
        <v>#REF!</v>
      </c>
      <c r="ET37" t="e">
        <f>AND(#REF!,"AAAAAH33P5U=")</f>
        <v>#REF!</v>
      </c>
      <c r="EU37" t="e">
        <f>AND(#REF!,"AAAAAH33P5Y=")</f>
        <v>#REF!</v>
      </c>
      <c r="EV37" t="e">
        <f>AND(#REF!,"AAAAAH33P5c=")</f>
        <v>#REF!</v>
      </c>
      <c r="EW37" t="e">
        <f>AND(#REF!,"AAAAAH33P5g=")</f>
        <v>#REF!</v>
      </c>
      <c r="EX37" t="e">
        <f>AND(#REF!,"AAAAAH33P5k=")</f>
        <v>#REF!</v>
      </c>
      <c r="EY37" t="e">
        <f>AND(#REF!,"AAAAAH33P5o=")</f>
        <v>#REF!</v>
      </c>
      <c r="EZ37" t="e">
        <f>AND(#REF!,"AAAAAH33P5s=")</f>
        <v>#REF!</v>
      </c>
      <c r="FA37" t="e">
        <f>AND(#REF!,"AAAAAH33P5w=")</f>
        <v>#REF!</v>
      </c>
      <c r="FB37" t="e">
        <f>IF(#REF!,"AAAAAH33P50=",0)</f>
        <v>#REF!</v>
      </c>
      <c r="FC37" t="e">
        <f>AND(#REF!,"AAAAAH33P54=")</f>
        <v>#REF!</v>
      </c>
      <c r="FD37" t="e">
        <f>AND(#REF!,"AAAAAH33P58=")</f>
        <v>#REF!</v>
      </c>
      <c r="FE37" t="e">
        <f>AND(#REF!,"AAAAAH33P6A=")</f>
        <v>#REF!</v>
      </c>
      <c r="FF37" t="e">
        <f>AND(#REF!,"AAAAAH33P6E=")</f>
        <v>#REF!</v>
      </c>
      <c r="FG37" t="e">
        <f>AND(#REF!,"AAAAAH33P6I=")</f>
        <v>#REF!</v>
      </c>
      <c r="FH37" t="e">
        <f>AND(#REF!,"AAAAAH33P6M=")</f>
        <v>#REF!</v>
      </c>
      <c r="FI37" t="e">
        <f>AND(#REF!,"AAAAAH33P6Q=")</f>
        <v>#REF!</v>
      </c>
      <c r="FJ37" t="e">
        <f>AND(#REF!,"AAAAAH33P6U=")</f>
        <v>#REF!</v>
      </c>
      <c r="FK37" t="e">
        <f>AND(#REF!,"AAAAAH33P6Y=")</f>
        <v>#REF!</v>
      </c>
      <c r="FL37" t="e">
        <f>IF(#REF!,"AAAAAH33P6c=",0)</f>
        <v>#REF!</v>
      </c>
      <c r="FM37" t="e">
        <f>AND(#REF!,"AAAAAH33P6g=")</f>
        <v>#REF!</v>
      </c>
      <c r="FN37" t="e">
        <f>AND(#REF!,"AAAAAH33P6k=")</f>
        <v>#REF!</v>
      </c>
      <c r="FO37" t="e">
        <f>AND(#REF!,"AAAAAH33P6o=")</f>
        <v>#REF!</v>
      </c>
      <c r="FP37" t="e">
        <f>AND(#REF!,"AAAAAH33P6s=")</f>
        <v>#REF!</v>
      </c>
      <c r="FQ37" t="e">
        <f>AND(#REF!,"AAAAAH33P6w=")</f>
        <v>#REF!</v>
      </c>
      <c r="FR37" t="e">
        <f>AND(#REF!,"AAAAAH33P60=")</f>
        <v>#REF!</v>
      </c>
      <c r="FS37" t="e">
        <f>AND(#REF!,"AAAAAH33P64=")</f>
        <v>#REF!</v>
      </c>
      <c r="FT37" t="e">
        <f>AND(#REF!,"AAAAAH33P68=")</f>
        <v>#REF!</v>
      </c>
      <c r="FU37" t="e">
        <f>AND(#REF!,"AAAAAH33P7A=")</f>
        <v>#REF!</v>
      </c>
      <c r="FV37" t="e">
        <f>IF(#REF!,"AAAAAH33P7E=",0)</f>
        <v>#REF!</v>
      </c>
      <c r="FW37" t="e">
        <f>AND(#REF!,"AAAAAH33P7I=")</f>
        <v>#REF!</v>
      </c>
      <c r="FX37" t="e">
        <f>AND(#REF!,"AAAAAH33P7M=")</f>
        <v>#REF!</v>
      </c>
      <c r="FY37" t="e">
        <f>AND(#REF!,"AAAAAH33P7Q=")</f>
        <v>#REF!</v>
      </c>
      <c r="FZ37" t="e">
        <f>AND(#REF!,"AAAAAH33P7U=")</f>
        <v>#REF!</v>
      </c>
      <c r="GA37" t="e">
        <f>AND(#REF!,"AAAAAH33P7Y=")</f>
        <v>#REF!</v>
      </c>
      <c r="GB37" t="e">
        <f>AND(#REF!,"AAAAAH33P7c=")</f>
        <v>#REF!</v>
      </c>
      <c r="GC37" t="e">
        <f>AND(#REF!,"AAAAAH33P7g=")</f>
        <v>#REF!</v>
      </c>
      <c r="GD37" t="e">
        <f>AND(#REF!,"AAAAAH33P7k=")</f>
        <v>#REF!</v>
      </c>
      <c r="GE37" t="e">
        <f>AND(#REF!,"AAAAAH33P7o=")</f>
        <v>#REF!</v>
      </c>
      <c r="GF37" t="e">
        <f>IF(#REF!,"AAAAAH33P7s=",0)</f>
        <v>#REF!</v>
      </c>
      <c r="GG37" t="e">
        <f>AND(#REF!,"AAAAAH33P7w=")</f>
        <v>#REF!</v>
      </c>
      <c r="GH37" t="e">
        <f>AND(#REF!,"AAAAAH33P70=")</f>
        <v>#REF!</v>
      </c>
      <c r="GI37" t="e">
        <f>AND(#REF!,"AAAAAH33P74=")</f>
        <v>#REF!</v>
      </c>
      <c r="GJ37" t="e">
        <f>AND(#REF!,"AAAAAH33P78=")</f>
        <v>#REF!</v>
      </c>
      <c r="GK37" t="e">
        <f>AND(#REF!,"AAAAAH33P8A=")</f>
        <v>#REF!</v>
      </c>
      <c r="GL37" t="e">
        <f>AND(#REF!,"AAAAAH33P8E=")</f>
        <v>#REF!</v>
      </c>
      <c r="GM37" t="e">
        <f>AND(#REF!,"AAAAAH33P8I=")</f>
        <v>#REF!</v>
      </c>
      <c r="GN37" t="e">
        <f>AND(#REF!,"AAAAAH33P8M=")</f>
        <v>#REF!</v>
      </c>
      <c r="GO37" t="e">
        <f>AND(#REF!,"AAAAAH33P8Q=")</f>
        <v>#REF!</v>
      </c>
      <c r="GP37" t="e">
        <f>IF(#REF!,"AAAAAH33P8U=",0)</f>
        <v>#REF!</v>
      </c>
      <c r="GQ37" t="e">
        <f>AND(#REF!,"AAAAAH33P8Y=")</f>
        <v>#REF!</v>
      </c>
      <c r="GR37" t="e">
        <f>AND(#REF!,"AAAAAH33P8c=")</f>
        <v>#REF!</v>
      </c>
      <c r="GS37" t="e">
        <f>AND(#REF!,"AAAAAH33P8g=")</f>
        <v>#REF!</v>
      </c>
      <c r="GT37" t="e">
        <f>AND(#REF!,"AAAAAH33P8k=")</f>
        <v>#REF!</v>
      </c>
      <c r="GU37" t="e">
        <f>AND(#REF!,"AAAAAH33P8o=")</f>
        <v>#REF!</v>
      </c>
      <c r="GV37" t="e">
        <f>AND(#REF!,"AAAAAH33P8s=")</f>
        <v>#REF!</v>
      </c>
      <c r="GW37" t="e">
        <f>AND(#REF!,"AAAAAH33P8w=")</f>
        <v>#REF!</v>
      </c>
      <c r="GX37" t="e">
        <f>AND(#REF!,"AAAAAH33P80=")</f>
        <v>#REF!</v>
      </c>
      <c r="GY37" t="e">
        <f>AND(#REF!,"AAAAAH33P84=")</f>
        <v>#REF!</v>
      </c>
      <c r="GZ37" t="e">
        <f>IF(#REF!,"AAAAAH33P88=",0)</f>
        <v>#REF!</v>
      </c>
      <c r="HA37" t="e">
        <f>AND(#REF!,"AAAAAH33P9A=")</f>
        <v>#REF!</v>
      </c>
      <c r="HB37" t="e">
        <f>AND(#REF!,"AAAAAH33P9E=")</f>
        <v>#REF!</v>
      </c>
      <c r="HC37" t="e">
        <f>AND(#REF!,"AAAAAH33P9I=")</f>
        <v>#REF!</v>
      </c>
      <c r="HD37" t="e">
        <f>AND(#REF!,"AAAAAH33P9M=")</f>
        <v>#REF!</v>
      </c>
      <c r="HE37" t="e">
        <f>AND(#REF!,"AAAAAH33P9Q=")</f>
        <v>#REF!</v>
      </c>
      <c r="HF37" t="e">
        <f>AND(#REF!,"AAAAAH33P9U=")</f>
        <v>#REF!</v>
      </c>
      <c r="HG37" t="e">
        <f>AND(#REF!,"AAAAAH33P9Y=")</f>
        <v>#REF!</v>
      </c>
      <c r="HH37" t="e">
        <f>AND(#REF!,"AAAAAH33P9c=")</f>
        <v>#REF!</v>
      </c>
      <c r="HI37" t="e">
        <f>AND(#REF!,"AAAAAH33P9g=")</f>
        <v>#REF!</v>
      </c>
      <c r="HJ37" t="e">
        <f>IF(#REF!,"AAAAAH33P9k=",0)</f>
        <v>#REF!</v>
      </c>
      <c r="HK37" t="e">
        <f>AND(#REF!,"AAAAAH33P9o=")</f>
        <v>#REF!</v>
      </c>
      <c r="HL37" t="e">
        <f>AND(#REF!,"AAAAAH33P9s=")</f>
        <v>#REF!</v>
      </c>
      <c r="HM37" t="e">
        <f>AND(#REF!,"AAAAAH33P9w=")</f>
        <v>#REF!</v>
      </c>
      <c r="HN37" t="e">
        <f>AND(#REF!,"AAAAAH33P90=")</f>
        <v>#REF!</v>
      </c>
      <c r="HO37" t="e">
        <f>AND(#REF!,"AAAAAH33P94=")</f>
        <v>#REF!</v>
      </c>
      <c r="HP37" t="e">
        <f>AND(#REF!,"AAAAAH33P98=")</f>
        <v>#REF!</v>
      </c>
      <c r="HQ37" t="e">
        <f>AND(#REF!,"AAAAAH33P+A=")</f>
        <v>#REF!</v>
      </c>
      <c r="HR37" t="e">
        <f>AND(#REF!,"AAAAAH33P+E=")</f>
        <v>#REF!</v>
      </c>
      <c r="HS37" t="e">
        <f>AND(#REF!,"AAAAAH33P+I=")</f>
        <v>#REF!</v>
      </c>
      <c r="HT37" t="e">
        <f>IF(#REF!,"AAAAAH33P+M=",0)</f>
        <v>#REF!</v>
      </c>
      <c r="HU37" t="e">
        <f>AND(#REF!,"AAAAAH33P+Q=")</f>
        <v>#REF!</v>
      </c>
      <c r="HV37" t="e">
        <f>AND(#REF!,"AAAAAH33P+U=")</f>
        <v>#REF!</v>
      </c>
      <c r="HW37" t="e">
        <f>AND(#REF!,"AAAAAH33P+Y=")</f>
        <v>#REF!</v>
      </c>
      <c r="HX37" t="e">
        <f>AND(#REF!,"AAAAAH33P+c=")</f>
        <v>#REF!</v>
      </c>
      <c r="HY37" t="e">
        <f>AND(#REF!,"AAAAAH33P+g=")</f>
        <v>#REF!</v>
      </c>
      <c r="HZ37" t="e">
        <f>AND(#REF!,"AAAAAH33P+k=")</f>
        <v>#REF!</v>
      </c>
      <c r="IA37" t="e">
        <f>AND(#REF!,"AAAAAH33P+o=")</f>
        <v>#REF!</v>
      </c>
      <c r="IB37" t="e">
        <f>AND(#REF!,"AAAAAH33P+s=")</f>
        <v>#REF!</v>
      </c>
      <c r="IC37" t="e">
        <f>AND(#REF!,"AAAAAH33P+w=")</f>
        <v>#REF!</v>
      </c>
      <c r="ID37" t="e">
        <f>IF(#REF!,"AAAAAH33P+0=",0)</f>
        <v>#REF!</v>
      </c>
      <c r="IE37" t="e">
        <f>AND(#REF!,"AAAAAH33P+4=")</f>
        <v>#REF!</v>
      </c>
      <c r="IF37" t="e">
        <f>AND(#REF!,"AAAAAH33P+8=")</f>
        <v>#REF!</v>
      </c>
      <c r="IG37" t="e">
        <f>AND(#REF!,"AAAAAH33P/A=")</f>
        <v>#REF!</v>
      </c>
      <c r="IH37" t="e">
        <f>AND(#REF!,"AAAAAH33P/E=")</f>
        <v>#REF!</v>
      </c>
      <c r="II37" t="e">
        <f>AND(#REF!,"AAAAAH33P/I=")</f>
        <v>#REF!</v>
      </c>
      <c r="IJ37" t="e">
        <f>AND(#REF!,"AAAAAH33P/M=")</f>
        <v>#REF!</v>
      </c>
      <c r="IK37" t="e">
        <f>AND(#REF!,"AAAAAH33P/Q=")</f>
        <v>#REF!</v>
      </c>
      <c r="IL37" t="e">
        <f>AND(#REF!,"AAAAAH33P/U=")</f>
        <v>#REF!</v>
      </c>
      <c r="IM37" t="e">
        <f>AND(#REF!,"AAAAAH33P/Y=")</f>
        <v>#REF!</v>
      </c>
      <c r="IN37" t="e">
        <f>IF(#REF!,"AAAAAH33P/c=",0)</f>
        <v>#REF!</v>
      </c>
      <c r="IO37" t="e">
        <f>AND(#REF!,"AAAAAH33P/g=")</f>
        <v>#REF!</v>
      </c>
      <c r="IP37" t="e">
        <f>AND(#REF!,"AAAAAH33P/k=")</f>
        <v>#REF!</v>
      </c>
      <c r="IQ37" t="e">
        <f>AND(#REF!,"AAAAAH33P/o=")</f>
        <v>#REF!</v>
      </c>
      <c r="IR37" t="e">
        <f>AND(#REF!,"AAAAAH33P/s=")</f>
        <v>#REF!</v>
      </c>
      <c r="IS37" t="e">
        <f>AND(#REF!,"AAAAAH33P/w=")</f>
        <v>#REF!</v>
      </c>
      <c r="IT37" t="e">
        <f>AND(#REF!,"AAAAAH33P/0=")</f>
        <v>#REF!</v>
      </c>
      <c r="IU37" t="e">
        <f>AND(#REF!,"AAAAAH33P/4=")</f>
        <v>#REF!</v>
      </c>
      <c r="IV37" t="e">
        <f>AND(#REF!,"AAAAAH33P/8=")</f>
        <v>#REF!</v>
      </c>
    </row>
    <row r="38" spans="1:256">
      <c r="A38" t="e">
        <f>AND(#REF!,"AAAAAF9vdwA=")</f>
        <v>#REF!</v>
      </c>
      <c r="B38" t="e">
        <f>IF(#REF!,"AAAAAF9vdwE=",0)</f>
        <v>#REF!</v>
      </c>
      <c r="C38" t="e">
        <f>AND(#REF!,"AAAAAF9vdwI=")</f>
        <v>#REF!</v>
      </c>
      <c r="D38" t="e">
        <f>AND(#REF!,"AAAAAF9vdwM=")</f>
        <v>#REF!</v>
      </c>
      <c r="E38" t="e">
        <f>AND(#REF!,"AAAAAF9vdwQ=")</f>
        <v>#REF!</v>
      </c>
      <c r="F38" t="e">
        <f>AND(#REF!,"AAAAAF9vdwU=")</f>
        <v>#REF!</v>
      </c>
      <c r="G38" t="e">
        <f>AND(#REF!,"AAAAAF9vdwY=")</f>
        <v>#REF!</v>
      </c>
      <c r="H38" t="e">
        <f>AND(#REF!,"AAAAAF9vdwc=")</f>
        <v>#REF!</v>
      </c>
      <c r="I38" t="e">
        <f>AND(#REF!,"AAAAAF9vdwg=")</f>
        <v>#REF!</v>
      </c>
      <c r="J38" t="e">
        <f>AND(#REF!,"AAAAAF9vdwk=")</f>
        <v>#REF!</v>
      </c>
      <c r="K38" t="e">
        <f>AND(#REF!,"AAAAAF9vdwo=")</f>
        <v>#REF!</v>
      </c>
      <c r="L38" t="e">
        <f>IF(#REF!,"AAAAAF9vdws=",0)</f>
        <v>#REF!</v>
      </c>
      <c r="M38" t="e">
        <f>AND(#REF!,"AAAAAF9vdww=")</f>
        <v>#REF!</v>
      </c>
      <c r="N38" t="e">
        <f>AND(#REF!,"AAAAAF9vdw0=")</f>
        <v>#REF!</v>
      </c>
      <c r="O38" t="e">
        <f>AND(#REF!,"AAAAAF9vdw4=")</f>
        <v>#REF!</v>
      </c>
      <c r="P38" t="e">
        <f>AND(#REF!,"AAAAAF9vdw8=")</f>
        <v>#REF!</v>
      </c>
      <c r="Q38" t="e">
        <f>AND(#REF!,"AAAAAF9vdxA=")</f>
        <v>#REF!</v>
      </c>
      <c r="R38" t="e">
        <f>AND(#REF!,"AAAAAF9vdxE=")</f>
        <v>#REF!</v>
      </c>
      <c r="S38" t="e">
        <f>AND(#REF!,"AAAAAF9vdxI=")</f>
        <v>#REF!</v>
      </c>
      <c r="T38" t="e">
        <f>AND(#REF!,"AAAAAF9vdxM=")</f>
        <v>#REF!</v>
      </c>
      <c r="U38" t="e">
        <f>AND(#REF!,"AAAAAF9vdxQ=")</f>
        <v>#REF!</v>
      </c>
      <c r="V38" t="e">
        <f>IF(#REF!,"AAAAAF9vdxU=",0)</f>
        <v>#REF!</v>
      </c>
      <c r="W38" t="e">
        <f>AND(#REF!,"AAAAAF9vdxY=")</f>
        <v>#REF!</v>
      </c>
      <c r="X38" t="e">
        <f>AND(#REF!,"AAAAAF9vdxc=")</f>
        <v>#REF!</v>
      </c>
      <c r="Y38" t="e">
        <f>AND(#REF!,"AAAAAF9vdxg=")</f>
        <v>#REF!</v>
      </c>
      <c r="Z38" t="e">
        <f>AND(#REF!,"AAAAAF9vdxk=")</f>
        <v>#REF!</v>
      </c>
      <c r="AA38" t="e">
        <f>AND(#REF!,"AAAAAF9vdxo=")</f>
        <v>#REF!</v>
      </c>
      <c r="AB38" t="e">
        <f>AND(#REF!,"AAAAAF9vdxs=")</f>
        <v>#REF!</v>
      </c>
      <c r="AC38" t="e">
        <f>AND(#REF!,"AAAAAF9vdxw=")</f>
        <v>#REF!</v>
      </c>
      <c r="AD38" t="e">
        <f>AND(#REF!,"AAAAAF9vdx0=")</f>
        <v>#REF!</v>
      </c>
      <c r="AE38" t="e">
        <f>AND(#REF!,"AAAAAF9vdx4=")</f>
        <v>#REF!</v>
      </c>
      <c r="AF38" t="e">
        <f>IF(#REF!,"AAAAAF9vdx8=",0)</f>
        <v>#REF!</v>
      </c>
      <c r="AG38" t="e">
        <f>AND(#REF!,"AAAAAF9vdyA=")</f>
        <v>#REF!</v>
      </c>
      <c r="AH38" t="e">
        <f>AND(#REF!,"AAAAAF9vdyE=")</f>
        <v>#REF!</v>
      </c>
      <c r="AI38" t="e">
        <f>AND(#REF!,"AAAAAF9vdyI=")</f>
        <v>#REF!</v>
      </c>
      <c r="AJ38" t="e">
        <f>AND(#REF!,"AAAAAF9vdyM=")</f>
        <v>#REF!</v>
      </c>
      <c r="AK38" t="e">
        <f>AND(#REF!,"AAAAAF9vdyQ=")</f>
        <v>#REF!</v>
      </c>
      <c r="AL38" t="e">
        <f>AND(#REF!,"AAAAAF9vdyU=")</f>
        <v>#REF!</v>
      </c>
      <c r="AM38" t="e">
        <f>AND(#REF!,"AAAAAF9vdyY=")</f>
        <v>#REF!</v>
      </c>
      <c r="AN38" t="e">
        <f>AND(#REF!,"AAAAAF9vdyc=")</f>
        <v>#REF!</v>
      </c>
      <c r="AO38" t="e">
        <f>AND(#REF!,"AAAAAF9vdyg=")</f>
        <v>#REF!</v>
      </c>
      <c r="AP38" t="e">
        <f>IF(#REF!,"AAAAAF9vdyk=",0)</f>
        <v>#REF!</v>
      </c>
      <c r="AQ38" t="e">
        <f>AND(#REF!,"AAAAAF9vdyo=")</f>
        <v>#REF!</v>
      </c>
      <c r="AR38" t="e">
        <f>AND(#REF!,"AAAAAF9vdys=")</f>
        <v>#REF!</v>
      </c>
      <c r="AS38" t="e">
        <f>AND(#REF!,"AAAAAF9vdyw=")</f>
        <v>#REF!</v>
      </c>
      <c r="AT38" t="e">
        <f>AND(#REF!,"AAAAAF9vdy0=")</f>
        <v>#REF!</v>
      </c>
      <c r="AU38" t="e">
        <f>AND(#REF!,"AAAAAF9vdy4=")</f>
        <v>#REF!</v>
      </c>
      <c r="AV38" t="e">
        <f>AND(#REF!,"AAAAAF9vdy8=")</f>
        <v>#REF!</v>
      </c>
      <c r="AW38" t="e">
        <f>AND(#REF!,"AAAAAF9vdzA=")</f>
        <v>#REF!</v>
      </c>
      <c r="AX38" t="e">
        <f>AND(#REF!,"AAAAAF9vdzE=")</f>
        <v>#REF!</v>
      </c>
      <c r="AY38" t="e">
        <f>AND(#REF!,"AAAAAF9vdzI=")</f>
        <v>#REF!</v>
      </c>
      <c r="AZ38" t="e">
        <f>IF(#REF!,"AAAAAF9vdzM=",0)</f>
        <v>#REF!</v>
      </c>
      <c r="BA38" t="e">
        <f>AND(#REF!,"AAAAAF9vdzQ=")</f>
        <v>#REF!</v>
      </c>
      <c r="BB38" t="e">
        <f>AND(#REF!,"AAAAAF9vdzU=")</f>
        <v>#REF!</v>
      </c>
      <c r="BC38" t="e">
        <f>AND(#REF!,"AAAAAF9vdzY=")</f>
        <v>#REF!</v>
      </c>
      <c r="BD38" t="e">
        <f>AND(#REF!,"AAAAAF9vdzc=")</f>
        <v>#REF!</v>
      </c>
      <c r="BE38" t="e">
        <f>AND(#REF!,"AAAAAF9vdzg=")</f>
        <v>#REF!</v>
      </c>
      <c r="BF38" t="e">
        <f>AND(#REF!,"AAAAAF9vdzk=")</f>
        <v>#REF!</v>
      </c>
      <c r="BG38" t="e">
        <f>AND(#REF!,"AAAAAF9vdzo=")</f>
        <v>#REF!</v>
      </c>
      <c r="BH38" t="e">
        <f>AND(#REF!,"AAAAAF9vdzs=")</f>
        <v>#REF!</v>
      </c>
      <c r="BI38" t="e">
        <f>AND(#REF!,"AAAAAF9vdzw=")</f>
        <v>#REF!</v>
      </c>
      <c r="BJ38" t="e">
        <f>IF(#REF!,"AAAAAF9vdz0=",0)</f>
        <v>#REF!</v>
      </c>
      <c r="BK38" t="e">
        <f>AND(#REF!,"AAAAAF9vdz4=")</f>
        <v>#REF!</v>
      </c>
      <c r="BL38" t="e">
        <f>AND(#REF!,"AAAAAF9vdz8=")</f>
        <v>#REF!</v>
      </c>
      <c r="BM38" t="e">
        <f>AND(#REF!,"AAAAAF9vd0A=")</f>
        <v>#REF!</v>
      </c>
      <c r="BN38" t="e">
        <f>AND(#REF!,"AAAAAF9vd0E=")</f>
        <v>#REF!</v>
      </c>
      <c r="BO38" t="e">
        <f>AND(#REF!,"AAAAAF9vd0I=")</f>
        <v>#REF!</v>
      </c>
      <c r="BP38" t="e">
        <f>AND(#REF!,"AAAAAF9vd0M=")</f>
        <v>#REF!</v>
      </c>
      <c r="BQ38" t="e">
        <f>AND(#REF!,"AAAAAF9vd0Q=")</f>
        <v>#REF!</v>
      </c>
      <c r="BR38" t="e">
        <f>AND(#REF!,"AAAAAF9vd0U=")</f>
        <v>#REF!</v>
      </c>
      <c r="BS38" t="e">
        <f>AND(#REF!,"AAAAAF9vd0Y=")</f>
        <v>#REF!</v>
      </c>
      <c r="BT38" t="e">
        <f>IF(#REF!,"AAAAAF9vd0c=",0)</f>
        <v>#REF!</v>
      </c>
      <c r="BU38" t="e">
        <f>AND(#REF!,"AAAAAF9vd0g=")</f>
        <v>#REF!</v>
      </c>
      <c r="BV38" t="e">
        <f>AND(#REF!,"AAAAAF9vd0k=")</f>
        <v>#REF!</v>
      </c>
      <c r="BW38" t="e">
        <f>AND(#REF!,"AAAAAF9vd0o=")</f>
        <v>#REF!</v>
      </c>
      <c r="BX38" t="e">
        <f>AND(#REF!,"AAAAAF9vd0s=")</f>
        <v>#REF!</v>
      </c>
      <c r="BY38" t="e">
        <f>AND(#REF!,"AAAAAF9vd0w=")</f>
        <v>#REF!</v>
      </c>
      <c r="BZ38" t="e">
        <f>AND(#REF!,"AAAAAF9vd00=")</f>
        <v>#REF!</v>
      </c>
      <c r="CA38" t="e">
        <f>AND(#REF!,"AAAAAF9vd04=")</f>
        <v>#REF!</v>
      </c>
      <c r="CB38" t="e">
        <f>AND(#REF!,"AAAAAF9vd08=")</f>
        <v>#REF!</v>
      </c>
      <c r="CC38" t="e">
        <f>AND(#REF!,"AAAAAF9vd1A=")</f>
        <v>#REF!</v>
      </c>
      <c r="CD38" t="e">
        <f>IF(#REF!,"AAAAAF9vd1E=",0)</f>
        <v>#REF!</v>
      </c>
      <c r="CE38" t="e">
        <f>AND(#REF!,"AAAAAF9vd1I=")</f>
        <v>#REF!</v>
      </c>
      <c r="CF38" t="e">
        <f>AND(#REF!,"AAAAAF9vd1M=")</f>
        <v>#REF!</v>
      </c>
      <c r="CG38" t="e">
        <f>AND(#REF!,"AAAAAF9vd1Q=")</f>
        <v>#REF!</v>
      </c>
      <c r="CH38" t="e">
        <f>AND(#REF!,"AAAAAF9vd1U=")</f>
        <v>#REF!</v>
      </c>
      <c r="CI38" t="e">
        <f>AND(#REF!,"AAAAAF9vd1Y=")</f>
        <v>#REF!</v>
      </c>
      <c r="CJ38" t="e">
        <f>AND(#REF!,"AAAAAF9vd1c=")</f>
        <v>#REF!</v>
      </c>
      <c r="CK38" t="e">
        <f>AND(#REF!,"AAAAAF9vd1g=")</f>
        <v>#REF!</v>
      </c>
      <c r="CL38" t="e">
        <f>AND(#REF!,"AAAAAF9vd1k=")</f>
        <v>#REF!</v>
      </c>
      <c r="CM38" t="e">
        <f>AND(#REF!,"AAAAAF9vd1o=")</f>
        <v>#REF!</v>
      </c>
      <c r="CN38" t="e">
        <f>IF(#REF!,"AAAAAF9vd1s=",0)</f>
        <v>#REF!</v>
      </c>
      <c r="CO38" t="e">
        <f>AND(#REF!,"AAAAAF9vd1w=")</f>
        <v>#REF!</v>
      </c>
      <c r="CP38" t="e">
        <f>AND(#REF!,"AAAAAF9vd10=")</f>
        <v>#REF!</v>
      </c>
      <c r="CQ38" t="e">
        <f>AND(#REF!,"AAAAAF9vd14=")</f>
        <v>#REF!</v>
      </c>
      <c r="CR38" t="e">
        <f>AND(#REF!,"AAAAAF9vd18=")</f>
        <v>#REF!</v>
      </c>
      <c r="CS38" t="e">
        <f>AND(#REF!,"AAAAAF9vd2A=")</f>
        <v>#REF!</v>
      </c>
      <c r="CT38" t="e">
        <f>AND(#REF!,"AAAAAF9vd2E=")</f>
        <v>#REF!</v>
      </c>
      <c r="CU38" t="e">
        <f>AND(#REF!,"AAAAAF9vd2I=")</f>
        <v>#REF!</v>
      </c>
      <c r="CV38" t="e">
        <f>AND(#REF!,"AAAAAF9vd2M=")</f>
        <v>#REF!</v>
      </c>
      <c r="CW38" t="e">
        <f>AND(#REF!,"AAAAAF9vd2Q=")</f>
        <v>#REF!</v>
      </c>
      <c r="CX38" t="e">
        <f>IF(#REF!,"AAAAAF9vd2U=",0)</f>
        <v>#REF!</v>
      </c>
      <c r="CY38" t="e">
        <f>AND(#REF!,"AAAAAF9vd2Y=")</f>
        <v>#REF!</v>
      </c>
      <c r="CZ38" t="e">
        <f>AND(#REF!,"AAAAAF9vd2c=")</f>
        <v>#REF!</v>
      </c>
      <c r="DA38" t="e">
        <f>AND(#REF!,"AAAAAF9vd2g=")</f>
        <v>#REF!</v>
      </c>
      <c r="DB38" t="e">
        <f>AND(#REF!,"AAAAAF9vd2k=")</f>
        <v>#REF!</v>
      </c>
      <c r="DC38" t="e">
        <f>AND(#REF!,"AAAAAF9vd2o=")</f>
        <v>#REF!</v>
      </c>
      <c r="DD38" t="e">
        <f>AND(#REF!,"AAAAAF9vd2s=")</f>
        <v>#REF!</v>
      </c>
      <c r="DE38" t="e">
        <f>AND(#REF!,"AAAAAF9vd2w=")</f>
        <v>#REF!</v>
      </c>
      <c r="DF38" t="e">
        <f>AND(#REF!,"AAAAAF9vd20=")</f>
        <v>#REF!</v>
      </c>
      <c r="DG38" t="e">
        <f>AND(#REF!,"AAAAAF9vd24=")</f>
        <v>#REF!</v>
      </c>
      <c r="DH38" t="e">
        <f>IF(#REF!,"AAAAAF9vd28=",0)</f>
        <v>#REF!</v>
      </c>
      <c r="DI38" t="e">
        <f>AND(#REF!,"AAAAAF9vd3A=")</f>
        <v>#REF!</v>
      </c>
      <c r="DJ38" t="e">
        <f>AND(#REF!,"AAAAAF9vd3E=")</f>
        <v>#REF!</v>
      </c>
      <c r="DK38" t="e">
        <f>AND(#REF!,"AAAAAF9vd3I=")</f>
        <v>#REF!</v>
      </c>
      <c r="DL38" t="e">
        <f>AND(#REF!,"AAAAAF9vd3M=")</f>
        <v>#REF!</v>
      </c>
      <c r="DM38" t="e">
        <f>AND(#REF!,"AAAAAF9vd3Q=")</f>
        <v>#REF!</v>
      </c>
      <c r="DN38" t="e">
        <f>AND(#REF!,"AAAAAF9vd3U=")</f>
        <v>#REF!</v>
      </c>
      <c r="DO38" t="e">
        <f>AND(#REF!,"AAAAAF9vd3Y=")</f>
        <v>#REF!</v>
      </c>
      <c r="DP38" t="e">
        <f>AND(#REF!,"AAAAAF9vd3c=")</f>
        <v>#REF!</v>
      </c>
      <c r="DQ38" t="e">
        <f>AND(#REF!,"AAAAAF9vd3g=")</f>
        <v>#REF!</v>
      </c>
      <c r="DR38" t="e">
        <f>IF(#REF!,"AAAAAF9vd3k=",0)</f>
        <v>#REF!</v>
      </c>
      <c r="DS38" t="e">
        <f>AND(#REF!,"AAAAAF9vd3o=")</f>
        <v>#REF!</v>
      </c>
      <c r="DT38" t="e">
        <f>AND(#REF!,"AAAAAF9vd3s=")</f>
        <v>#REF!</v>
      </c>
      <c r="DU38" t="e">
        <f>AND(#REF!,"AAAAAF9vd3w=")</f>
        <v>#REF!</v>
      </c>
      <c r="DV38" t="e">
        <f>AND(#REF!,"AAAAAF9vd30=")</f>
        <v>#REF!</v>
      </c>
      <c r="DW38" t="e">
        <f>AND(#REF!,"AAAAAF9vd34=")</f>
        <v>#REF!</v>
      </c>
      <c r="DX38" t="e">
        <f>AND(#REF!,"AAAAAF9vd38=")</f>
        <v>#REF!</v>
      </c>
      <c r="DY38" t="e">
        <f>AND(#REF!,"AAAAAF9vd4A=")</f>
        <v>#REF!</v>
      </c>
      <c r="DZ38" t="e">
        <f>AND(#REF!,"AAAAAF9vd4E=")</f>
        <v>#REF!</v>
      </c>
      <c r="EA38" t="e">
        <f>AND(#REF!,"AAAAAF9vd4I=")</f>
        <v>#REF!</v>
      </c>
      <c r="EB38" t="e">
        <f>IF(#REF!,"AAAAAF9vd4M=",0)</f>
        <v>#REF!</v>
      </c>
      <c r="EC38" t="e">
        <f>AND(#REF!,"AAAAAF9vd4Q=")</f>
        <v>#REF!</v>
      </c>
      <c r="ED38" t="e">
        <f>AND(#REF!,"AAAAAF9vd4U=")</f>
        <v>#REF!</v>
      </c>
      <c r="EE38" t="e">
        <f>AND(#REF!,"AAAAAF9vd4Y=")</f>
        <v>#REF!</v>
      </c>
      <c r="EF38" t="e">
        <f>AND(#REF!,"AAAAAF9vd4c=")</f>
        <v>#REF!</v>
      </c>
      <c r="EG38" t="e">
        <f>AND(#REF!,"AAAAAF9vd4g=")</f>
        <v>#REF!</v>
      </c>
      <c r="EH38" t="e">
        <f>AND(#REF!,"AAAAAF9vd4k=")</f>
        <v>#REF!</v>
      </c>
      <c r="EI38" t="e">
        <f>AND(#REF!,"AAAAAF9vd4o=")</f>
        <v>#REF!</v>
      </c>
      <c r="EJ38" t="e">
        <f>AND(#REF!,"AAAAAF9vd4s=")</f>
        <v>#REF!</v>
      </c>
      <c r="EK38" t="e">
        <f>AND(#REF!,"AAAAAF9vd4w=")</f>
        <v>#REF!</v>
      </c>
      <c r="EL38" t="e">
        <f>IF(#REF!,"AAAAAF9vd40=",0)</f>
        <v>#REF!</v>
      </c>
      <c r="EM38" t="e">
        <f>AND(#REF!,"AAAAAF9vd44=")</f>
        <v>#REF!</v>
      </c>
      <c r="EN38" t="e">
        <f>AND(#REF!,"AAAAAF9vd48=")</f>
        <v>#REF!</v>
      </c>
      <c r="EO38" t="e">
        <f>AND(#REF!,"AAAAAF9vd5A=")</f>
        <v>#REF!</v>
      </c>
      <c r="EP38" t="e">
        <f>AND(#REF!,"AAAAAF9vd5E=")</f>
        <v>#REF!</v>
      </c>
      <c r="EQ38" t="e">
        <f>AND(#REF!,"AAAAAF9vd5I=")</f>
        <v>#REF!</v>
      </c>
      <c r="ER38" t="e">
        <f>AND(#REF!,"AAAAAF9vd5M=")</f>
        <v>#REF!</v>
      </c>
      <c r="ES38" t="e">
        <f>AND(#REF!,"AAAAAF9vd5Q=")</f>
        <v>#REF!</v>
      </c>
      <c r="ET38" t="e">
        <f>AND(#REF!,"AAAAAF9vd5U=")</f>
        <v>#REF!</v>
      </c>
      <c r="EU38" t="e">
        <f>AND(#REF!,"AAAAAF9vd5Y=")</f>
        <v>#REF!</v>
      </c>
      <c r="EV38" t="e">
        <f>IF(#REF!,"AAAAAF9vd5c=",0)</f>
        <v>#REF!</v>
      </c>
      <c r="EW38" t="e">
        <f>AND(#REF!,"AAAAAF9vd5g=")</f>
        <v>#REF!</v>
      </c>
      <c r="EX38" t="e">
        <f>AND(#REF!,"AAAAAF9vd5k=")</f>
        <v>#REF!</v>
      </c>
      <c r="EY38" t="e">
        <f>AND(#REF!,"AAAAAF9vd5o=")</f>
        <v>#REF!</v>
      </c>
      <c r="EZ38" t="e">
        <f>AND(#REF!,"AAAAAF9vd5s=")</f>
        <v>#REF!</v>
      </c>
      <c r="FA38" t="e">
        <f>AND(#REF!,"AAAAAF9vd5w=")</f>
        <v>#REF!</v>
      </c>
      <c r="FB38" t="e">
        <f>AND(#REF!,"AAAAAF9vd50=")</f>
        <v>#REF!</v>
      </c>
      <c r="FC38" t="e">
        <f>AND(#REF!,"AAAAAF9vd54=")</f>
        <v>#REF!</v>
      </c>
      <c r="FD38" t="e">
        <f>AND(#REF!,"AAAAAF9vd58=")</f>
        <v>#REF!</v>
      </c>
      <c r="FE38" t="e">
        <f>AND(#REF!,"AAAAAF9vd6A=")</f>
        <v>#REF!</v>
      </c>
      <c r="FF38" t="e">
        <f>IF(#REF!,"AAAAAF9vd6E=",0)</f>
        <v>#REF!</v>
      </c>
      <c r="FG38" t="e">
        <f>AND(#REF!,"AAAAAF9vd6I=")</f>
        <v>#REF!</v>
      </c>
      <c r="FH38" t="e">
        <f>AND(#REF!,"AAAAAF9vd6M=")</f>
        <v>#REF!</v>
      </c>
      <c r="FI38" t="e">
        <f>AND(#REF!,"AAAAAF9vd6Q=")</f>
        <v>#REF!</v>
      </c>
      <c r="FJ38" t="e">
        <f>AND(#REF!,"AAAAAF9vd6U=")</f>
        <v>#REF!</v>
      </c>
      <c r="FK38" t="e">
        <f>AND(#REF!,"AAAAAF9vd6Y=")</f>
        <v>#REF!</v>
      </c>
      <c r="FL38" t="e">
        <f>AND(#REF!,"AAAAAF9vd6c=")</f>
        <v>#REF!</v>
      </c>
      <c r="FM38" t="e">
        <f>AND(#REF!,"AAAAAF9vd6g=")</f>
        <v>#REF!</v>
      </c>
      <c r="FN38" t="e">
        <f>AND(#REF!,"AAAAAF9vd6k=")</f>
        <v>#REF!</v>
      </c>
      <c r="FO38" t="e">
        <f>AND(#REF!,"AAAAAF9vd6o=")</f>
        <v>#REF!</v>
      </c>
      <c r="FP38" t="e">
        <f>IF(#REF!,"AAAAAF9vd6s=",0)</f>
        <v>#REF!</v>
      </c>
      <c r="FQ38" t="e">
        <f>AND(#REF!,"AAAAAF9vd6w=")</f>
        <v>#REF!</v>
      </c>
      <c r="FR38" t="e">
        <f>AND(#REF!,"AAAAAF9vd60=")</f>
        <v>#REF!</v>
      </c>
      <c r="FS38" t="e">
        <f>AND(#REF!,"AAAAAF9vd64=")</f>
        <v>#REF!</v>
      </c>
      <c r="FT38" t="e">
        <f>AND(#REF!,"AAAAAF9vd68=")</f>
        <v>#REF!</v>
      </c>
      <c r="FU38" t="e">
        <f>AND(#REF!,"AAAAAF9vd7A=")</f>
        <v>#REF!</v>
      </c>
      <c r="FV38" t="e">
        <f>AND(#REF!,"AAAAAF9vd7E=")</f>
        <v>#REF!</v>
      </c>
      <c r="FW38" t="e">
        <f>AND(#REF!,"AAAAAF9vd7I=")</f>
        <v>#REF!</v>
      </c>
      <c r="FX38" t="e">
        <f>AND(#REF!,"AAAAAF9vd7M=")</f>
        <v>#REF!</v>
      </c>
      <c r="FY38" t="e">
        <f>AND(#REF!,"AAAAAF9vd7Q=")</f>
        <v>#REF!</v>
      </c>
      <c r="FZ38" t="e">
        <f>IF(#REF!,"AAAAAF9vd7U=",0)</f>
        <v>#REF!</v>
      </c>
      <c r="GA38" t="e">
        <f>AND(#REF!,"AAAAAF9vd7Y=")</f>
        <v>#REF!</v>
      </c>
      <c r="GB38" t="e">
        <f>AND(#REF!,"AAAAAF9vd7c=")</f>
        <v>#REF!</v>
      </c>
      <c r="GC38" t="e">
        <f>AND(#REF!,"AAAAAF9vd7g=")</f>
        <v>#REF!</v>
      </c>
      <c r="GD38" t="e">
        <f>AND(#REF!,"AAAAAF9vd7k=")</f>
        <v>#REF!</v>
      </c>
      <c r="GE38" t="e">
        <f>AND(#REF!,"AAAAAF9vd7o=")</f>
        <v>#REF!</v>
      </c>
      <c r="GF38" t="e">
        <f>AND(#REF!,"AAAAAF9vd7s=")</f>
        <v>#REF!</v>
      </c>
      <c r="GG38" t="e">
        <f>AND(#REF!,"AAAAAF9vd7w=")</f>
        <v>#REF!</v>
      </c>
      <c r="GH38" t="e">
        <f>AND(#REF!,"AAAAAF9vd70=")</f>
        <v>#REF!</v>
      </c>
      <c r="GI38" t="e">
        <f>AND(#REF!,"AAAAAF9vd74=")</f>
        <v>#REF!</v>
      </c>
      <c r="GJ38" t="e">
        <f>IF(#REF!,"AAAAAF9vd78=",0)</f>
        <v>#REF!</v>
      </c>
      <c r="GK38" t="e">
        <f>AND(#REF!,"AAAAAF9vd8A=")</f>
        <v>#REF!</v>
      </c>
      <c r="GL38" t="e">
        <f>AND(#REF!,"AAAAAF9vd8E=")</f>
        <v>#REF!</v>
      </c>
      <c r="GM38" t="e">
        <f>AND(#REF!,"AAAAAF9vd8I=")</f>
        <v>#REF!</v>
      </c>
      <c r="GN38" t="e">
        <f>AND(#REF!,"AAAAAF9vd8M=")</f>
        <v>#REF!</v>
      </c>
      <c r="GO38" t="e">
        <f>AND(#REF!,"AAAAAF9vd8Q=")</f>
        <v>#REF!</v>
      </c>
      <c r="GP38" t="e">
        <f>AND(#REF!,"AAAAAF9vd8U=")</f>
        <v>#REF!</v>
      </c>
      <c r="GQ38" t="e">
        <f>AND(#REF!,"AAAAAF9vd8Y=")</f>
        <v>#REF!</v>
      </c>
      <c r="GR38" t="e">
        <f>AND(#REF!,"AAAAAF9vd8c=")</f>
        <v>#REF!</v>
      </c>
      <c r="GS38" t="e">
        <f>AND(#REF!,"AAAAAF9vd8g=")</f>
        <v>#REF!</v>
      </c>
      <c r="GT38" t="e">
        <f>IF(#REF!,"AAAAAF9vd8k=",0)</f>
        <v>#REF!</v>
      </c>
      <c r="GU38" t="e">
        <f>AND(#REF!,"AAAAAF9vd8o=")</f>
        <v>#REF!</v>
      </c>
      <c r="GV38" t="e">
        <f>AND(#REF!,"AAAAAF9vd8s=")</f>
        <v>#REF!</v>
      </c>
      <c r="GW38" t="e">
        <f>AND(#REF!,"AAAAAF9vd8w=")</f>
        <v>#REF!</v>
      </c>
      <c r="GX38" t="e">
        <f>AND(#REF!,"AAAAAF9vd80=")</f>
        <v>#REF!</v>
      </c>
      <c r="GY38" t="e">
        <f>AND(#REF!,"AAAAAF9vd84=")</f>
        <v>#REF!</v>
      </c>
      <c r="GZ38" t="e">
        <f>AND(#REF!,"AAAAAF9vd88=")</f>
        <v>#REF!</v>
      </c>
      <c r="HA38" t="e">
        <f>AND(#REF!,"AAAAAF9vd9A=")</f>
        <v>#REF!</v>
      </c>
      <c r="HB38" t="e">
        <f>AND(#REF!,"AAAAAF9vd9E=")</f>
        <v>#REF!</v>
      </c>
      <c r="HC38" t="e">
        <f>AND(#REF!,"AAAAAF9vd9I=")</f>
        <v>#REF!</v>
      </c>
      <c r="HD38" t="e">
        <f>IF(#REF!,"AAAAAF9vd9M=",0)</f>
        <v>#REF!</v>
      </c>
      <c r="HE38" t="e">
        <f>AND(#REF!,"AAAAAF9vd9Q=")</f>
        <v>#REF!</v>
      </c>
      <c r="HF38" t="e">
        <f>AND(#REF!,"AAAAAF9vd9U=")</f>
        <v>#REF!</v>
      </c>
      <c r="HG38" t="e">
        <f>AND(#REF!,"AAAAAF9vd9Y=")</f>
        <v>#REF!</v>
      </c>
      <c r="HH38" t="e">
        <f>AND(#REF!,"AAAAAF9vd9c=")</f>
        <v>#REF!</v>
      </c>
      <c r="HI38" t="e">
        <f>AND(#REF!,"AAAAAF9vd9g=")</f>
        <v>#REF!</v>
      </c>
      <c r="HJ38" t="e">
        <f>AND(#REF!,"AAAAAF9vd9k=")</f>
        <v>#REF!</v>
      </c>
      <c r="HK38" t="e">
        <f>AND(#REF!,"AAAAAF9vd9o=")</f>
        <v>#REF!</v>
      </c>
      <c r="HL38" t="e">
        <f>AND(#REF!,"AAAAAF9vd9s=")</f>
        <v>#REF!</v>
      </c>
      <c r="HM38" t="e">
        <f>AND(#REF!,"AAAAAF9vd9w=")</f>
        <v>#REF!</v>
      </c>
      <c r="HN38" t="e">
        <f>IF(#REF!,"AAAAAF9vd90=",0)</f>
        <v>#REF!</v>
      </c>
      <c r="HO38" t="e">
        <f>AND(#REF!,"AAAAAF9vd94=")</f>
        <v>#REF!</v>
      </c>
      <c r="HP38" t="e">
        <f>AND(#REF!,"AAAAAF9vd98=")</f>
        <v>#REF!</v>
      </c>
      <c r="HQ38" t="e">
        <f>AND(#REF!,"AAAAAF9vd+A=")</f>
        <v>#REF!</v>
      </c>
      <c r="HR38" t="e">
        <f>AND(#REF!,"AAAAAF9vd+E=")</f>
        <v>#REF!</v>
      </c>
      <c r="HS38" t="e">
        <f>AND(#REF!,"AAAAAF9vd+I=")</f>
        <v>#REF!</v>
      </c>
      <c r="HT38" t="e">
        <f>AND(#REF!,"AAAAAF9vd+M=")</f>
        <v>#REF!</v>
      </c>
      <c r="HU38" t="e">
        <f>AND(#REF!,"AAAAAF9vd+Q=")</f>
        <v>#REF!</v>
      </c>
      <c r="HV38" t="e">
        <f>AND(#REF!,"AAAAAF9vd+U=")</f>
        <v>#REF!</v>
      </c>
      <c r="HW38" t="e">
        <f>AND(#REF!,"AAAAAF9vd+Y=")</f>
        <v>#REF!</v>
      </c>
      <c r="HX38" t="e">
        <f>IF(#REF!,"AAAAAF9vd+c=",0)</f>
        <v>#REF!</v>
      </c>
      <c r="HY38" t="e">
        <f>AND(#REF!,"AAAAAF9vd+g=")</f>
        <v>#REF!</v>
      </c>
      <c r="HZ38" t="e">
        <f>AND(#REF!,"AAAAAF9vd+k=")</f>
        <v>#REF!</v>
      </c>
      <c r="IA38" t="e">
        <f>AND(#REF!,"AAAAAF9vd+o=")</f>
        <v>#REF!</v>
      </c>
      <c r="IB38" t="e">
        <f>AND(#REF!,"AAAAAF9vd+s=")</f>
        <v>#REF!</v>
      </c>
      <c r="IC38" t="e">
        <f>AND(#REF!,"AAAAAF9vd+w=")</f>
        <v>#REF!</v>
      </c>
      <c r="ID38" t="e">
        <f>AND(#REF!,"AAAAAF9vd+0=")</f>
        <v>#REF!</v>
      </c>
      <c r="IE38" t="e">
        <f>AND(#REF!,"AAAAAF9vd+4=")</f>
        <v>#REF!</v>
      </c>
      <c r="IF38" t="e">
        <f>AND(#REF!,"AAAAAF9vd+8=")</f>
        <v>#REF!</v>
      </c>
      <c r="IG38" t="e">
        <f>AND(#REF!,"AAAAAF9vd/A=")</f>
        <v>#REF!</v>
      </c>
      <c r="IH38" t="e">
        <f>IF(#REF!,"AAAAAF9vd/E=",0)</f>
        <v>#REF!</v>
      </c>
      <c r="II38" t="e">
        <f>AND(#REF!,"AAAAAF9vd/I=")</f>
        <v>#REF!</v>
      </c>
      <c r="IJ38" t="e">
        <f>AND(#REF!,"AAAAAF9vd/M=")</f>
        <v>#REF!</v>
      </c>
      <c r="IK38" t="e">
        <f>AND(#REF!,"AAAAAF9vd/Q=")</f>
        <v>#REF!</v>
      </c>
      <c r="IL38" t="e">
        <f>AND(#REF!,"AAAAAF9vd/U=")</f>
        <v>#REF!</v>
      </c>
      <c r="IM38" t="e">
        <f>AND(#REF!,"AAAAAF9vd/Y=")</f>
        <v>#REF!</v>
      </c>
      <c r="IN38" t="e">
        <f>AND(#REF!,"AAAAAF9vd/c=")</f>
        <v>#REF!</v>
      </c>
      <c r="IO38" t="e">
        <f>AND(#REF!,"AAAAAF9vd/g=")</f>
        <v>#REF!</v>
      </c>
      <c r="IP38" t="e">
        <f>AND(#REF!,"AAAAAF9vd/k=")</f>
        <v>#REF!</v>
      </c>
      <c r="IQ38" t="e">
        <f>AND(#REF!,"AAAAAF9vd/o=")</f>
        <v>#REF!</v>
      </c>
      <c r="IR38" t="e">
        <f>IF(#REF!,"AAAAAF9vd/s=",0)</f>
        <v>#REF!</v>
      </c>
      <c r="IS38" t="e">
        <f>AND(#REF!,"AAAAAF9vd/w=")</f>
        <v>#REF!</v>
      </c>
      <c r="IT38" t="e">
        <f>AND(#REF!,"AAAAAF9vd/0=")</f>
        <v>#REF!</v>
      </c>
      <c r="IU38" t="e">
        <f>AND(#REF!,"AAAAAF9vd/4=")</f>
        <v>#REF!</v>
      </c>
      <c r="IV38" t="e">
        <f>AND(#REF!,"AAAAAF9vd/8=")</f>
        <v>#REF!</v>
      </c>
    </row>
    <row r="39" spans="1:256">
      <c r="A39" t="e">
        <f>AND(#REF!,"AAAAAH/v7gA=")</f>
        <v>#REF!</v>
      </c>
      <c r="B39" t="e">
        <f>AND(#REF!,"AAAAAH/v7gE=")</f>
        <v>#REF!</v>
      </c>
      <c r="C39" t="e">
        <f>AND(#REF!,"AAAAAH/v7gI=")</f>
        <v>#REF!</v>
      </c>
      <c r="D39" t="e">
        <f>AND(#REF!,"AAAAAH/v7gM=")</f>
        <v>#REF!</v>
      </c>
      <c r="E39" t="e">
        <f>AND(#REF!,"AAAAAH/v7gQ=")</f>
        <v>#REF!</v>
      </c>
      <c r="F39" t="e">
        <f>IF(#REF!,"AAAAAH/v7gU=",0)</f>
        <v>#REF!</v>
      </c>
      <c r="G39" t="e">
        <f>AND(#REF!,"AAAAAH/v7gY=")</f>
        <v>#REF!</v>
      </c>
      <c r="H39" t="e">
        <f>AND(#REF!,"AAAAAH/v7gc=")</f>
        <v>#REF!</v>
      </c>
      <c r="I39" t="e">
        <f>AND(#REF!,"AAAAAH/v7gg=")</f>
        <v>#REF!</v>
      </c>
      <c r="J39" t="e">
        <f>AND(#REF!,"AAAAAH/v7gk=")</f>
        <v>#REF!</v>
      </c>
      <c r="K39" t="e">
        <f>AND(#REF!,"AAAAAH/v7go=")</f>
        <v>#REF!</v>
      </c>
      <c r="L39" t="e">
        <f>AND(#REF!,"AAAAAH/v7gs=")</f>
        <v>#REF!</v>
      </c>
      <c r="M39" t="e">
        <f>AND(#REF!,"AAAAAH/v7gw=")</f>
        <v>#REF!</v>
      </c>
      <c r="N39" t="e">
        <f>AND(#REF!,"AAAAAH/v7g0=")</f>
        <v>#REF!</v>
      </c>
      <c r="O39" t="e">
        <f>AND(#REF!,"AAAAAH/v7g4=")</f>
        <v>#REF!</v>
      </c>
      <c r="P39" t="e">
        <f>IF(#REF!,"AAAAAH/v7g8=",0)</f>
        <v>#REF!</v>
      </c>
      <c r="Q39" t="e">
        <f>AND(#REF!,"AAAAAH/v7hA=")</f>
        <v>#REF!</v>
      </c>
      <c r="R39" t="e">
        <f>AND(#REF!,"AAAAAH/v7hE=")</f>
        <v>#REF!</v>
      </c>
      <c r="S39" t="e">
        <f>AND(#REF!,"AAAAAH/v7hI=")</f>
        <v>#REF!</v>
      </c>
      <c r="T39" t="e">
        <f>AND(#REF!,"AAAAAH/v7hM=")</f>
        <v>#REF!</v>
      </c>
      <c r="U39" t="e">
        <f>AND(#REF!,"AAAAAH/v7hQ=")</f>
        <v>#REF!</v>
      </c>
      <c r="V39" t="e">
        <f>AND(#REF!,"AAAAAH/v7hU=")</f>
        <v>#REF!</v>
      </c>
      <c r="W39" t="e">
        <f>AND(#REF!,"AAAAAH/v7hY=")</f>
        <v>#REF!</v>
      </c>
      <c r="X39" t="e">
        <f>AND(#REF!,"AAAAAH/v7hc=")</f>
        <v>#REF!</v>
      </c>
      <c r="Y39" t="e">
        <f>AND(#REF!,"AAAAAH/v7hg=")</f>
        <v>#REF!</v>
      </c>
      <c r="Z39" t="e">
        <f>IF(#REF!,"AAAAAH/v7hk=",0)</f>
        <v>#REF!</v>
      </c>
      <c r="AA39" t="e">
        <f>AND(#REF!,"AAAAAH/v7ho=")</f>
        <v>#REF!</v>
      </c>
      <c r="AB39" t="e">
        <f>AND(#REF!,"AAAAAH/v7hs=")</f>
        <v>#REF!</v>
      </c>
      <c r="AC39" t="e">
        <f>AND(#REF!,"AAAAAH/v7hw=")</f>
        <v>#REF!</v>
      </c>
      <c r="AD39" t="e">
        <f>AND(#REF!,"AAAAAH/v7h0=")</f>
        <v>#REF!</v>
      </c>
      <c r="AE39" t="e">
        <f>AND(#REF!,"AAAAAH/v7h4=")</f>
        <v>#REF!</v>
      </c>
      <c r="AF39" t="e">
        <f>AND(#REF!,"AAAAAH/v7h8=")</f>
        <v>#REF!</v>
      </c>
      <c r="AG39" t="e">
        <f>AND(#REF!,"AAAAAH/v7iA=")</f>
        <v>#REF!</v>
      </c>
      <c r="AH39" t="e">
        <f>AND(#REF!,"AAAAAH/v7iE=")</f>
        <v>#REF!</v>
      </c>
      <c r="AI39" t="e">
        <f>AND(#REF!,"AAAAAH/v7iI=")</f>
        <v>#REF!</v>
      </c>
      <c r="AJ39" t="e">
        <f>IF(#REF!,"AAAAAH/v7iM=",0)</f>
        <v>#REF!</v>
      </c>
      <c r="AK39" t="e">
        <f>AND(#REF!,"AAAAAH/v7iQ=")</f>
        <v>#REF!</v>
      </c>
      <c r="AL39" t="e">
        <f>AND(#REF!,"AAAAAH/v7iU=")</f>
        <v>#REF!</v>
      </c>
      <c r="AM39" t="e">
        <f>AND(#REF!,"AAAAAH/v7iY=")</f>
        <v>#REF!</v>
      </c>
      <c r="AN39" t="e">
        <f>AND(#REF!,"AAAAAH/v7ic=")</f>
        <v>#REF!</v>
      </c>
      <c r="AO39" t="e">
        <f>AND(#REF!,"AAAAAH/v7ig=")</f>
        <v>#REF!</v>
      </c>
      <c r="AP39" t="e">
        <f>AND(#REF!,"AAAAAH/v7ik=")</f>
        <v>#REF!</v>
      </c>
      <c r="AQ39" t="e">
        <f>AND(#REF!,"AAAAAH/v7io=")</f>
        <v>#REF!</v>
      </c>
      <c r="AR39" t="e">
        <f>AND(#REF!,"AAAAAH/v7is=")</f>
        <v>#REF!</v>
      </c>
      <c r="AS39" t="e">
        <f>AND(#REF!,"AAAAAH/v7iw=")</f>
        <v>#REF!</v>
      </c>
      <c r="AT39" t="e">
        <f>IF(#REF!,"AAAAAH/v7i0=",0)</f>
        <v>#REF!</v>
      </c>
      <c r="AU39" t="e">
        <f>AND(#REF!,"AAAAAH/v7i4=")</f>
        <v>#REF!</v>
      </c>
      <c r="AV39" t="e">
        <f>AND(#REF!,"AAAAAH/v7i8=")</f>
        <v>#REF!</v>
      </c>
      <c r="AW39" t="e">
        <f>AND(#REF!,"AAAAAH/v7jA=")</f>
        <v>#REF!</v>
      </c>
      <c r="AX39" t="e">
        <f>AND(#REF!,"AAAAAH/v7jE=")</f>
        <v>#REF!</v>
      </c>
      <c r="AY39" t="e">
        <f>AND(#REF!,"AAAAAH/v7jI=")</f>
        <v>#REF!</v>
      </c>
      <c r="AZ39" t="e">
        <f>AND(#REF!,"AAAAAH/v7jM=")</f>
        <v>#REF!</v>
      </c>
      <c r="BA39" t="e">
        <f>AND(#REF!,"AAAAAH/v7jQ=")</f>
        <v>#REF!</v>
      </c>
      <c r="BB39" t="e">
        <f>AND(#REF!,"AAAAAH/v7jU=")</f>
        <v>#REF!</v>
      </c>
      <c r="BC39" t="e">
        <f>AND(#REF!,"AAAAAH/v7jY=")</f>
        <v>#REF!</v>
      </c>
      <c r="BD39" t="e">
        <f>IF(#REF!,"AAAAAH/v7jc=",0)</f>
        <v>#REF!</v>
      </c>
      <c r="BE39" t="e">
        <f>AND(#REF!,"AAAAAH/v7jg=")</f>
        <v>#REF!</v>
      </c>
      <c r="BF39" t="e">
        <f>AND(#REF!,"AAAAAH/v7jk=")</f>
        <v>#REF!</v>
      </c>
      <c r="BG39" t="e">
        <f>AND(#REF!,"AAAAAH/v7jo=")</f>
        <v>#REF!</v>
      </c>
      <c r="BH39" t="e">
        <f>AND(#REF!,"AAAAAH/v7js=")</f>
        <v>#REF!</v>
      </c>
      <c r="BI39" t="e">
        <f>AND(#REF!,"AAAAAH/v7jw=")</f>
        <v>#REF!</v>
      </c>
      <c r="BJ39" t="e">
        <f>AND(#REF!,"AAAAAH/v7j0=")</f>
        <v>#REF!</v>
      </c>
      <c r="BK39" t="e">
        <f>AND(#REF!,"AAAAAH/v7j4=")</f>
        <v>#REF!</v>
      </c>
      <c r="BL39" t="e">
        <f>AND(#REF!,"AAAAAH/v7j8=")</f>
        <v>#REF!</v>
      </c>
      <c r="BM39" t="e">
        <f>AND(#REF!,"AAAAAH/v7kA=")</f>
        <v>#REF!</v>
      </c>
      <c r="BN39" t="e">
        <f>IF(#REF!,"AAAAAH/v7kE=",0)</f>
        <v>#REF!</v>
      </c>
      <c r="BO39" t="e">
        <f>AND(#REF!,"AAAAAH/v7kI=")</f>
        <v>#REF!</v>
      </c>
      <c r="BP39" t="e">
        <f>AND(#REF!,"AAAAAH/v7kM=")</f>
        <v>#REF!</v>
      </c>
      <c r="BQ39" t="e">
        <f>AND(#REF!,"AAAAAH/v7kQ=")</f>
        <v>#REF!</v>
      </c>
      <c r="BR39" t="e">
        <f>AND(#REF!,"AAAAAH/v7kU=")</f>
        <v>#REF!</v>
      </c>
      <c r="BS39" t="e">
        <f>AND(#REF!,"AAAAAH/v7kY=")</f>
        <v>#REF!</v>
      </c>
      <c r="BT39" t="e">
        <f>AND(#REF!,"AAAAAH/v7kc=")</f>
        <v>#REF!</v>
      </c>
      <c r="BU39" t="e">
        <f>AND(#REF!,"AAAAAH/v7kg=")</f>
        <v>#REF!</v>
      </c>
      <c r="BV39" t="e">
        <f>AND(#REF!,"AAAAAH/v7kk=")</f>
        <v>#REF!</v>
      </c>
      <c r="BW39" t="e">
        <f>AND(#REF!,"AAAAAH/v7ko=")</f>
        <v>#REF!</v>
      </c>
      <c r="BX39" t="e">
        <f>IF(#REF!,"AAAAAH/v7ks=",0)</f>
        <v>#REF!</v>
      </c>
      <c r="BY39" t="e">
        <f>AND(#REF!,"AAAAAH/v7kw=")</f>
        <v>#REF!</v>
      </c>
      <c r="BZ39" t="e">
        <f>AND(#REF!,"AAAAAH/v7k0=")</f>
        <v>#REF!</v>
      </c>
      <c r="CA39" t="e">
        <f>AND(#REF!,"AAAAAH/v7k4=")</f>
        <v>#REF!</v>
      </c>
      <c r="CB39" t="e">
        <f>AND(#REF!,"AAAAAH/v7k8=")</f>
        <v>#REF!</v>
      </c>
      <c r="CC39" t="e">
        <f>AND(#REF!,"AAAAAH/v7lA=")</f>
        <v>#REF!</v>
      </c>
      <c r="CD39" t="e">
        <f>AND(#REF!,"AAAAAH/v7lE=")</f>
        <v>#REF!</v>
      </c>
      <c r="CE39" t="e">
        <f>AND(#REF!,"AAAAAH/v7lI=")</f>
        <v>#REF!</v>
      </c>
      <c r="CF39" t="e">
        <f>AND(#REF!,"AAAAAH/v7lM=")</f>
        <v>#REF!</v>
      </c>
      <c r="CG39" t="e">
        <f>AND(#REF!,"AAAAAH/v7lQ=")</f>
        <v>#REF!</v>
      </c>
      <c r="CH39" t="e">
        <f>IF(#REF!,"AAAAAH/v7lU=",0)</f>
        <v>#REF!</v>
      </c>
      <c r="CI39" t="e">
        <f>AND(#REF!,"AAAAAH/v7lY=")</f>
        <v>#REF!</v>
      </c>
      <c r="CJ39" t="e">
        <f>AND(#REF!,"AAAAAH/v7lc=")</f>
        <v>#REF!</v>
      </c>
      <c r="CK39" t="e">
        <f>AND(#REF!,"AAAAAH/v7lg=")</f>
        <v>#REF!</v>
      </c>
      <c r="CL39" t="e">
        <f>AND(#REF!,"AAAAAH/v7lk=")</f>
        <v>#REF!</v>
      </c>
      <c r="CM39" t="e">
        <f>AND(#REF!,"AAAAAH/v7lo=")</f>
        <v>#REF!</v>
      </c>
      <c r="CN39" t="e">
        <f>AND(#REF!,"AAAAAH/v7ls=")</f>
        <v>#REF!</v>
      </c>
      <c r="CO39" t="e">
        <f>AND(#REF!,"AAAAAH/v7lw=")</f>
        <v>#REF!</v>
      </c>
      <c r="CP39" t="e">
        <f>AND(#REF!,"AAAAAH/v7l0=")</f>
        <v>#REF!</v>
      </c>
      <c r="CQ39" t="e">
        <f>AND(#REF!,"AAAAAH/v7l4=")</f>
        <v>#REF!</v>
      </c>
      <c r="CR39" t="e">
        <f>IF(#REF!,"AAAAAH/v7l8=",0)</f>
        <v>#REF!</v>
      </c>
      <c r="CS39" t="e">
        <f>AND(#REF!,"AAAAAH/v7mA=")</f>
        <v>#REF!</v>
      </c>
      <c r="CT39" t="e">
        <f>AND(#REF!,"AAAAAH/v7mE=")</f>
        <v>#REF!</v>
      </c>
      <c r="CU39" t="e">
        <f>AND(#REF!,"AAAAAH/v7mI=")</f>
        <v>#REF!</v>
      </c>
      <c r="CV39" t="e">
        <f>AND(#REF!,"AAAAAH/v7mM=")</f>
        <v>#REF!</v>
      </c>
      <c r="CW39" t="e">
        <f>AND(#REF!,"AAAAAH/v7mQ=")</f>
        <v>#REF!</v>
      </c>
      <c r="CX39" t="e">
        <f>AND(#REF!,"AAAAAH/v7mU=")</f>
        <v>#REF!</v>
      </c>
      <c r="CY39" t="e">
        <f>AND(#REF!,"AAAAAH/v7mY=")</f>
        <v>#REF!</v>
      </c>
      <c r="CZ39" t="e">
        <f>AND(#REF!,"AAAAAH/v7mc=")</f>
        <v>#REF!</v>
      </c>
      <c r="DA39" t="e">
        <f>AND(#REF!,"AAAAAH/v7mg=")</f>
        <v>#REF!</v>
      </c>
      <c r="DB39" t="e">
        <f>IF(#REF!,"AAAAAH/v7mk=",0)</f>
        <v>#REF!</v>
      </c>
      <c r="DC39" t="e">
        <f>AND(#REF!,"AAAAAH/v7mo=")</f>
        <v>#REF!</v>
      </c>
      <c r="DD39" t="e">
        <f>AND(#REF!,"AAAAAH/v7ms=")</f>
        <v>#REF!</v>
      </c>
      <c r="DE39" t="e">
        <f>AND(#REF!,"AAAAAH/v7mw=")</f>
        <v>#REF!</v>
      </c>
      <c r="DF39" t="e">
        <f>AND(#REF!,"AAAAAH/v7m0=")</f>
        <v>#REF!</v>
      </c>
      <c r="DG39" t="e">
        <f>AND(#REF!,"AAAAAH/v7m4=")</f>
        <v>#REF!</v>
      </c>
      <c r="DH39" t="e">
        <f>AND(#REF!,"AAAAAH/v7m8=")</f>
        <v>#REF!</v>
      </c>
      <c r="DI39" t="e">
        <f>AND(#REF!,"AAAAAH/v7nA=")</f>
        <v>#REF!</v>
      </c>
      <c r="DJ39" t="e">
        <f>AND(#REF!,"AAAAAH/v7nE=")</f>
        <v>#REF!</v>
      </c>
      <c r="DK39" t="e">
        <f>AND(#REF!,"AAAAAH/v7nI=")</f>
        <v>#REF!</v>
      </c>
      <c r="DL39" t="e">
        <f>IF(#REF!,"AAAAAH/v7nM=",0)</f>
        <v>#REF!</v>
      </c>
      <c r="DM39" t="e">
        <f>AND(#REF!,"AAAAAH/v7nQ=")</f>
        <v>#REF!</v>
      </c>
      <c r="DN39" t="e">
        <f>AND(#REF!,"AAAAAH/v7nU=")</f>
        <v>#REF!</v>
      </c>
      <c r="DO39" t="e">
        <f>AND(#REF!,"AAAAAH/v7nY=")</f>
        <v>#REF!</v>
      </c>
      <c r="DP39" t="e">
        <f>AND(#REF!,"AAAAAH/v7nc=")</f>
        <v>#REF!</v>
      </c>
      <c r="DQ39" t="e">
        <f>AND(#REF!,"AAAAAH/v7ng=")</f>
        <v>#REF!</v>
      </c>
      <c r="DR39" t="e">
        <f>AND(#REF!,"AAAAAH/v7nk=")</f>
        <v>#REF!</v>
      </c>
      <c r="DS39" t="e">
        <f>AND(#REF!,"AAAAAH/v7no=")</f>
        <v>#REF!</v>
      </c>
      <c r="DT39" t="e">
        <f>AND(#REF!,"AAAAAH/v7ns=")</f>
        <v>#REF!</v>
      </c>
      <c r="DU39" t="e">
        <f>AND(#REF!,"AAAAAH/v7nw=")</f>
        <v>#REF!</v>
      </c>
      <c r="DV39" t="e">
        <f>IF(#REF!,"AAAAAH/v7n0=",0)</f>
        <v>#REF!</v>
      </c>
      <c r="DW39" t="e">
        <f>AND(#REF!,"AAAAAH/v7n4=")</f>
        <v>#REF!</v>
      </c>
      <c r="DX39" t="e">
        <f>AND(#REF!,"AAAAAH/v7n8=")</f>
        <v>#REF!</v>
      </c>
      <c r="DY39" t="e">
        <f>AND(#REF!,"AAAAAH/v7oA=")</f>
        <v>#REF!</v>
      </c>
      <c r="DZ39" t="e">
        <f>AND(#REF!,"AAAAAH/v7oE=")</f>
        <v>#REF!</v>
      </c>
      <c r="EA39" t="e">
        <f>AND(#REF!,"AAAAAH/v7oI=")</f>
        <v>#REF!</v>
      </c>
      <c r="EB39" t="e">
        <f>AND(#REF!,"AAAAAH/v7oM=")</f>
        <v>#REF!</v>
      </c>
      <c r="EC39" t="e">
        <f>AND(#REF!,"AAAAAH/v7oQ=")</f>
        <v>#REF!</v>
      </c>
      <c r="ED39" t="e">
        <f>AND(#REF!,"AAAAAH/v7oU=")</f>
        <v>#REF!</v>
      </c>
      <c r="EE39" t="e">
        <f>AND(#REF!,"AAAAAH/v7oY=")</f>
        <v>#REF!</v>
      </c>
      <c r="EF39" t="e">
        <f>IF(#REF!,"AAAAAH/v7oc=",0)</f>
        <v>#REF!</v>
      </c>
      <c r="EG39" t="e">
        <f>AND(#REF!,"AAAAAH/v7og=")</f>
        <v>#REF!</v>
      </c>
      <c r="EH39" t="e">
        <f>AND(#REF!,"AAAAAH/v7ok=")</f>
        <v>#REF!</v>
      </c>
      <c r="EI39" t="e">
        <f>AND(#REF!,"AAAAAH/v7oo=")</f>
        <v>#REF!</v>
      </c>
      <c r="EJ39" t="e">
        <f>AND(#REF!,"AAAAAH/v7os=")</f>
        <v>#REF!</v>
      </c>
      <c r="EK39" t="e">
        <f>AND(#REF!,"AAAAAH/v7ow=")</f>
        <v>#REF!</v>
      </c>
      <c r="EL39" t="e">
        <f>AND(#REF!,"AAAAAH/v7o0=")</f>
        <v>#REF!</v>
      </c>
      <c r="EM39" t="e">
        <f>AND(#REF!,"AAAAAH/v7o4=")</f>
        <v>#REF!</v>
      </c>
      <c r="EN39" t="e">
        <f>AND(#REF!,"AAAAAH/v7o8=")</f>
        <v>#REF!</v>
      </c>
      <c r="EO39" t="e">
        <f>AND(#REF!,"AAAAAH/v7pA=")</f>
        <v>#REF!</v>
      </c>
      <c r="EP39" t="e">
        <f>IF(#REF!,"AAAAAH/v7pE=",0)</f>
        <v>#REF!</v>
      </c>
      <c r="EQ39" t="e">
        <f>AND(#REF!,"AAAAAH/v7pI=")</f>
        <v>#REF!</v>
      </c>
      <c r="ER39" t="e">
        <f>AND(#REF!,"AAAAAH/v7pM=")</f>
        <v>#REF!</v>
      </c>
      <c r="ES39" t="e">
        <f>AND(#REF!,"AAAAAH/v7pQ=")</f>
        <v>#REF!</v>
      </c>
      <c r="ET39" t="e">
        <f>AND(#REF!,"AAAAAH/v7pU=")</f>
        <v>#REF!</v>
      </c>
      <c r="EU39" t="e">
        <f>AND(#REF!,"AAAAAH/v7pY=")</f>
        <v>#REF!</v>
      </c>
      <c r="EV39" t="e">
        <f>AND(#REF!,"AAAAAH/v7pc=")</f>
        <v>#REF!</v>
      </c>
      <c r="EW39" t="e">
        <f>AND(#REF!,"AAAAAH/v7pg=")</f>
        <v>#REF!</v>
      </c>
      <c r="EX39" t="e">
        <f>AND(#REF!,"AAAAAH/v7pk=")</f>
        <v>#REF!</v>
      </c>
      <c r="EY39" t="e">
        <f>AND(#REF!,"AAAAAH/v7po=")</f>
        <v>#REF!</v>
      </c>
      <c r="EZ39" t="e">
        <f>IF(#REF!,"AAAAAH/v7ps=",0)</f>
        <v>#REF!</v>
      </c>
      <c r="FA39" t="e">
        <f>AND(#REF!,"AAAAAH/v7pw=")</f>
        <v>#REF!</v>
      </c>
      <c r="FB39" t="e">
        <f>AND(#REF!,"AAAAAH/v7p0=")</f>
        <v>#REF!</v>
      </c>
      <c r="FC39" t="e">
        <f>AND(#REF!,"AAAAAH/v7p4=")</f>
        <v>#REF!</v>
      </c>
      <c r="FD39" t="e">
        <f>AND(#REF!,"AAAAAH/v7p8=")</f>
        <v>#REF!</v>
      </c>
      <c r="FE39" t="e">
        <f>AND(#REF!,"AAAAAH/v7qA=")</f>
        <v>#REF!</v>
      </c>
      <c r="FF39" t="e">
        <f>AND(#REF!,"AAAAAH/v7qE=")</f>
        <v>#REF!</v>
      </c>
      <c r="FG39" t="e">
        <f>AND(#REF!,"AAAAAH/v7qI=")</f>
        <v>#REF!</v>
      </c>
      <c r="FH39" t="e">
        <f>AND(#REF!,"AAAAAH/v7qM=")</f>
        <v>#REF!</v>
      </c>
      <c r="FI39" t="e">
        <f>AND(#REF!,"AAAAAH/v7qQ=")</f>
        <v>#REF!</v>
      </c>
      <c r="FJ39" t="e">
        <f>IF(#REF!,"AAAAAH/v7qU=",0)</f>
        <v>#REF!</v>
      </c>
      <c r="FK39" t="e">
        <f>AND(#REF!,"AAAAAH/v7qY=")</f>
        <v>#REF!</v>
      </c>
      <c r="FL39" t="e">
        <f>AND(#REF!,"AAAAAH/v7qc=")</f>
        <v>#REF!</v>
      </c>
      <c r="FM39" t="e">
        <f>AND(#REF!,"AAAAAH/v7qg=")</f>
        <v>#REF!</v>
      </c>
      <c r="FN39" t="e">
        <f>AND(#REF!,"AAAAAH/v7qk=")</f>
        <v>#REF!</v>
      </c>
      <c r="FO39" t="e">
        <f>AND(#REF!,"AAAAAH/v7qo=")</f>
        <v>#REF!</v>
      </c>
      <c r="FP39" t="e">
        <f>AND(#REF!,"AAAAAH/v7qs=")</f>
        <v>#REF!</v>
      </c>
      <c r="FQ39" t="e">
        <f>AND(#REF!,"AAAAAH/v7qw=")</f>
        <v>#REF!</v>
      </c>
      <c r="FR39" t="e">
        <f>AND(#REF!,"AAAAAH/v7q0=")</f>
        <v>#REF!</v>
      </c>
      <c r="FS39" t="e">
        <f>AND(#REF!,"AAAAAH/v7q4=")</f>
        <v>#REF!</v>
      </c>
      <c r="FT39" t="e">
        <f>IF(#REF!,"AAAAAH/v7q8=",0)</f>
        <v>#REF!</v>
      </c>
      <c r="FU39" t="e">
        <f>AND(#REF!,"AAAAAH/v7rA=")</f>
        <v>#REF!</v>
      </c>
      <c r="FV39" t="e">
        <f>AND(#REF!,"AAAAAH/v7rE=")</f>
        <v>#REF!</v>
      </c>
      <c r="FW39" t="e">
        <f>AND(#REF!,"AAAAAH/v7rI=")</f>
        <v>#REF!</v>
      </c>
      <c r="FX39" t="e">
        <f>AND(#REF!,"AAAAAH/v7rM=")</f>
        <v>#REF!</v>
      </c>
      <c r="FY39" t="e">
        <f>AND(#REF!,"AAAAAH/v7rQ=")</f>
        <v>#REF!</v>
      </c>
      <c r="FZ39" t="e">
        <f>AND(#REF!,"AAAAAH/v7rU=")</f>
        <v>#REF!</v>
      </c>
      <c r="GA39" t="e">
        <f>AND(#REF!,"AAAAAH/v7rY=")</f>
        <v>#REF!</v>
      </c>
      <c r="GB39" t="e">
        <f>AND(#REF!,"AAAAAH/v7rc=")</f>
        <v>#REF!</v>
      </c>
      <c r="GC39" t="e">
        <f>AND(#REF!,"AAAAAH/v7rg=")</f>
        <v>#REF!</v>
      </c>
      <c r="GD39" t="e">
        <f>IF(#REF!,"AAAAAH/v7rk=",0)</f>
        <v>#REF!</v>
      </c>
      <c r="GE39" t="e">
        <f>AND(#REF!,"AAAAAH/v7ro=")</f>
        <v>#REF!</v>
      </c>
      <c r="GF39" t="e">
        <f>AND(#REF!,"AAAAAH/v7rs=")</f>
        <v>#REF!</v>
      </c>
      <c r="GG39" t="e">
        <f>AND(#REF!,"AAAAAH/v7rw=")</f>
        <v>#REF!</v>
      </c>
      <c r="GH39" t="e">
        <f>AND(#REF!,"AAAAAH/v7r0=")</f>
        <v>#REF!</v>
      </c>
      <c r="GI39" t="e">
        <f>AND(#REF!,"AAAAAH/v7r4=")</f>
        <v>#REF!</v>
      </c>
      <c r="GJ39" t="e">
        <f>AND(#REF!,"AAAAAH/v7r8=")</f>
        <v>#REF!</v>
      </c>
      <c r="GK39" t="e">
        <f>AND(#REF!,"AAAAAH/v7sA=")</f>
        <v>#REF!</v>
      </c>
      <c r="GL39" t="e">
        <f>AND(#REF!,"AAAAAH/v7sE=")</f>
        <v>#REF!</v>
      </c>
      <c r="GM39" t="e">
        <f>AND(#REF!,"AAAAAH/v7sI=")</f>
        <v>#REF!</v>
      </c>
      <c r="GN39" t="e">
        <f>IF(#REF!,"AAAAAH/v7sM=",0)</f>
        <v>#REF!</v>
      </c>
      <c r="GO39" t="e">
        <f>AND(#REF!,"AAAAAH/v7sQ=")</f>
        <v>#REF!</v>
      </c>
      <c r="GP39" t="e">
        <f>AND(#REF!,"AAAAAH/v7sU=")</f>
        <v>#REF!</v>
      </c>
      <c r="GQ39" t="e">
        <f>AND(#REF!,"AAAAAH/v7sY=")</f>
        <v>#REF!</v>
      </c>
      <c r="GR39" t="e">
        <f>AND(#REF!,"AAAAAH/v7sc=")</f>
        <v>#REF!</v>
      </c>
      <c r="GS39" t="e">
        <f>AND(#REF!,"AAAAAH/v7sg=")</f>
        <v>#REF!</v>
      </c>
      <c r="GT39" t="e">
        <f>AND(#REF!,"AAAAAH/v7sk=")</f>
        <v>#REF!</v>
      </c>
      <c r="GU39" t="e">
        <f>AND(#REF!,"AAAAAH/v7so=")</f>
        <v>#REF!</v>
      </c>
      <c r="GV39" t="e">
        <f>AND(#REF!,"AAAAAH/v7ss=")</f>
        <v>#REF!</v>
      </c>
      <c r="GW39" t="e">
        <f>AND(#REF!,"AAAAAH/v7sw=")</f>
        <v>#REF!</v>
      </c>
      <c r="GX39" t="e">
        <f>IF(#REF!,"AAAAAH/v7s0=",0)</f>
        <v>#REF!</v>
      </c>
      <c r="GY39" t="e">
        <f>AND(#REF!,"AAAAAH/v7s4=")</f>
        <v>#REF!</v>
      </c>
      <c r="GZ39" t="e">
        <f>AND(#REF!,"AAAAAH/v7s8=")</f>
        <v>#REF!</v>
      </c>
      <c r="HA39" t="e">
        <f>AND(#REF!,"AAAAAH/v7tA=")</f>
        <v>#REF!</v>
      </c>
      <c r="HB39" t="e">
        <f>AND(#REF!,"AAAAAH/v7tE=")</f>
        <v>#REF!</v>
      </c>
      <c r="HC39" t="e">
        <f>AND(#REF!,"AAAAAH/v7tI=")</f>
        <v>#REF!</v>
      </c>
      <c r="HD39" t="e">
        <f>AND(#REF!,"AAAAAH/v7tM=")</f>
        <v>#REF!</v>
      </c>
      <c r="HE39" t="e">
        <f>AND(#REF!,"AAAAAH/v7tQ=")</f>
        <v>#REF!</v>
      </c>
      <c r="HF39" t="e">
        <f>AND(#REF!,"AAAAAH/v7tU=")</f>
        <v>#REF!</v>
      </c>
      <c r="HG39" t="e">
        <f>AND(#REF!,"AAAAAH/v7tY=")</f>
        <v>#REF!</v>
      </c>
      <c r="HH39" t="e">
        <f>IF(#REF!,"AAAAAH/v7tc=",0)</f>
        <v>#REF!</v>
      </c>
      <c r="HI39" t="e">
        <f>AND(#REF!,"AAAAAH/v7tg=")</f>
        <v>#REF!</v>
      </c>
      <c r="HJ39" t="e">
        <f>AND(#REF!,"AAAAAH/v7tk=")</f>
        <v>#REF!</v>
      </c>
      <c r="HK39" t="e">
        <f>AND(#REF!,"AAAAAH/v7to=")</f>
        <v>#REF!</v>
      </c>
      <c r="HL39" t="e">
        <f>AND(#REF!,"AAAAAH/v7ts=")</f>
        <v>#REF!</v>
      </c>
      <c r="HM39" t="e">
        <f>AND(#REF!,"AAAAAH/v7tw=")</f>
        <v>#REF!</v>
      </c>
      <c r="HN39" t="e">
        <f>AND(#REF!,"AAAAAH/v7t0=")</f>
        <v>#REF!</v>
      </c>
      <c r="HO39" t="e">
        <f>AND(#REF!,"AAAAAH/v7t4=")</f>
        <v>#REF!</v>
      </c>
      <c r="HP39" t="e">
        <f>AND(#REF!,"AAAAAH/v7t8=")</f>
        <v>#REF!</v>
      </c>
      <c r="HQ39" t="e">
        <f>AND(#REF!,"AAAAAH/v7uA=")</f>
        <v>#REF!</v>
      </c>
      <c r="HR39" t="e">
        <f>IF(#REF!,"AAAAAH/v7uE=",0)</f>
        <v>#REF!</v>
      </c>
      <c r="HS39" t="e">
        <f>AND(#REF!,"AAAAAH/v7uI=")</f>
        <v>#REF!</v>
      </c>
      <c r="HT39" t="e">
        <f>AND(#REF!,"AAAAAH/v7uM=")</f>
        <v>#REF!</v>
      </c>
      <c r="HU39" t="e">
        <f>AND(#REF!,"AAAAAH/v7uQ=")</f>
        <v>#REF!</v>
      </c>
      <c r="HV39" t="e">
        <f>AND(#REF!,"AAAAAH/v7uU=")</f>
        <v>#REF!</v>
      </c>
      <c r="HW39" t="e">
        <f>AND(#REF!,"AAAAAH/v7uY=")</f>
        <v>#REF!</v>
      </c>
      <c r="HX39" t="e">
        <f>AND(#REF!,"AAAAAH/v7uc=")</f>
        <v>#REF!</v>
      </c>
      <c r="HY39" t="e">
        <f>AND(#REF!,"AAAAAH/v7ug=")</f>
        <v>#REF!</v>
      </c>
      <c r="HZ39" t="e">
        <f>AND(#REF!,"AAAAAH/v7uk=")</f>
        <v>#REF!</v>
      </c>
      <c r="IA39" t="e">
        <f>AND(#REF!,"AAAAAH/v7uo=")</f>
        <v>#REF!</v>
      </c>
      <c r="IB39" t="e">
        <f>IF(#REF!,"AAAAAH/v7us=",0)</f>
        <v>#REF!</v>
      </c>
      <c r="IC39" t="e">
        <f>AND(#REF!,"AAAAAH/v7uw=")</f>
        <v>#REF!</v>
      </c>
      <c r="ID39" t="e">
        <f>AND(#REF!,"AAAAAH/v7u0=")</f>
        <v>#REF!</v>
      </c>
      <c r="IE39" t="e">
        <f>AND(#REF!,"AAAAAH/v7u4=")</f>
        <v>#REF!</v>
      </c>
      <c r="IF39" t="e">
        <f>AND(#REF!,"AAAAAH/v7u8=")</f>
        <v>#REF!</v>
      </c>
      <c r="IG39" t="e">
        <f>AND(#REF!,"AAAAAH/v7vA=")</f>
        <v>#REF!</v>
      </c>
      <c r="IH39" t="e">
        <f>AND(#REF!,"AAAAAH/v7vE=")</f>
        <v>#REF!</v>
      </c>
      <c r="II39" t="e">
        <f>AND(#REF!,"AAAAAH/v7vI=")</f>
        <v>#REF!</v>
      </c>
      <c r="IJ39" t="e">
        <f>AND(#REF!,"AAAAAH/v7vM=")</f>
        <v>#REF!</v>
      </c>
      <c r="IK39" t="e">
        <f>AND(#REF!,"AAAAAH/v7vQ=")</f>
        <v>#REF!</v>
      </c>
      <c r="IL39" t="e">
        <f>IF(#REF!,"AAAAAH/v7vU=",0)</f>
        <v>#REF!</v>
      </c>
      <c r="IM39" t="e">
        <f>AND(#REF!,"AAAAAH/v7vY=")</f>
        <v>#REF!</v>
      </c>
      <c r="IN39" t="e">
        <f>AND(#REF!,"AAAAAH/v7vc=")</f>
        <v>#REF!</v>
      </c>
      <c r="IO39" t="e">
        <f>AND(#REF!,"AAAAAH/v7vg=")</f>
        <v>#REF!</v>
      </c>
      <c r="IP39" t="e">
        <f>AND(#REF!,"AAAAAH/v7vk=")</f>
        <v>#REF!</v>
      </c>
      <c r="IQ39" t="e">
        <f>AND(#REF!,"AAAAAH/v7vo=")</f>
        <v>#REF!</v>
      </c>
      <c r="IR39" t="e">
        <f>AND(#REF!,"AAAAAH/v7vs=")</f>
        <v>#REF!</v>
      </c>
      <c r="IS39" t="e">
        <f>AND(#REF!,"AAAAAH/v7vw=")</f>
        <v>#REF!</v>
      </c>
      <c r="IT39" t="e">
        <f>AND(#REF!,"AAAAAH/v7v0=")</f>
        <v>#REF!</v>
      </c>
      <c r="IU39" t="e">
        <f>AND(#REF!,"AAAAAH/v7v4=")</f>
        <v>#REF!</v>
      </c>
      <c r="IV39" t="e">
        <f>IF(#REF!,"AAAAAH/v7v8=",0)</f>
        <v>#REF!</v>
      </c>
    </row>
    <row r="40" spans="1:256">
      <c r="A40" t="e">
        <f>AND(#REF!,"AAAAADft3wA=")</f>
        <v>#REF!</v>
      </c>
      <c r="B40" t="e">
        <f>AND(#REF!,"AAAAADft3wE=")</f>
        <v>#REF!</v>
      </c>
      <c r="C40" t="e">
        <f>AND(#REF!,"AAAAADft3wI=")</f>
        <v>#REF!</v>
      </c>
      <c r="D40" t="e">
        <f>AND(#REF!,"AAAAADft3wM=")</f>
        <v>#REF!</v>
      </c>
      <c r="E40" t="e">
        <f>AND(#REF!,"AAAAADft3wQ=")</f>
        <v>#REF!</v>
      </c>
      <c r="F40" t="e">
        <f>AND(#REF!,"AAAAADft3wU=")</f>
        <v>#REF!</v>
      </c>
      <c r="G40" t="e">
        <f>AND(#REF!,"AAAAADft3wY=")</f>
        <v>#REF!</v>
      </c>
      <c r="H40" t="e">
        <f>AND(#REF!,"AAAAADft3wc=")</f>
        <v>#REF!</v>
      </c>
      <c r="I40" t="e">
        <f>AND(#REF!,"AAAAADft3wg=")</f>
        <v>#REF!</v>
      </c>
      <c r="J40" t="e">
        <f>IF(#REF!,"AAAAADft3wk=",0)</f>
        <v>#REF!</v>
      </c>
      <c r="K40" t="e">
        <f>AND(#REF!,"AAAAADft3wo=")</f>
        <v>#REF!</v>
      </c>
      <c r="L40" t="e">
        <f>AND(#REF!,"AAAAADft3ws=")</f>
        <v>#REF!</v>
      </c>
      <c r="M40" t="e">
        <f>AND(#REF!,"AAAAADft3ww=")</f>
        <v>#REF!</v>
      </c>
      <c r="N40" t="e">
        <f>AND(#REF!,"AAAAADft3w0=")</f>
        <v>#REF!</v>
      </c>
      <c r="O40" t="e">
        <f>AND(#REF!,"AAAAADft3w4=")</f>
        <v>#REF!</v>
      </c>
      <c r="P40" t="e">
        <f>AND(#REF!,"AAAAADft3w8=")</f>
        <v>#REF!</v>
      </c>
      <c r="Q40" t="e">
        <f>AND(#REF!,"AAAAADft3xA=")</f>
        <v>#REF!</v>
      </c>
      <c r="R40" t="e">
        <f>AND(#REF!,"AAAAADft3xE=")</f>
        <v>#REF!</v>
      </c>
      <c r="S40" t="e">
        <f>AND(#REF!,"AAAAADft3xI=")</f>
        <v>#REF!</v>
      </c>
      <c r="T40" t="e">
        <f>IF(#REF!,"AAAAADft3xM=",0)</f>
        <v>#REF!</v>
      </c>
      <c r="U40" t="e">
        <f>AND(#REF!,"AAAAADft3xQ=")</f>
        <v>#REF!</v>
      </c>
      <c r="V40" t="e">
        <f>AND(#REF!,"AAAAADft3xU=")</f>
        <v>#REF!</v>
      </c>
      <c r="W40" t="e">
        <f>AND(#REF!,"AAAAADft3xY=")</f>
        <v>#REF!</v>
      </c>
      <c r="X40" t="e">
        <f>AND(#REF!,"AAAAADft3xc=")</f>
        <v>#REF!</v>
      </c>
      <c r="Y40" t="e">
        <f>AND(#REF!,"AAAAADft3xg=")</f>
        <v>#REF!</v>
      </c>
      <c r="Z40" t="e">
        <f>AND(#REF!,"AAAAADft3xk=")</f>
        <v>#REF!</v>
      </c>
      <c r="AA40" t="e">
        <f>AND(#REF!,"AAAAADft3xo=")</f>
        <v>#REF!</v>
      </c>
      <c r="AB40" t="e">
        <f>AND(#REF!,"AAAAADft3xs=")</f>
        <v>#REF!</v>
      </c>
      <c r="AC40" t="e">
        <f>AND(#REF!,"AAAAADft3xw=")</f>
        <v>#REF!</v>
      </c>
      <c r="AD40" t="e">
        <f>IF(#REF!,"AAAAADft3x0=",0)</f>
        <v>#REF!</v>
      </c>
      <c r="AE40" t="e">
        <f>AND(#REF!,"AAAAADft3x4=")</f>
        <v>#REF!</v>
      </c>
      <c r="AF40" t="e">
        <f>AND(#REF!,"AAAAADft3x8=")</f>
        <v>#REF!</v>
      </c>
      <c r="AG40" t="e">
        <f>AND(#REF!,"AAAAADft3yA=")</f>
        <v>#REF!</v>
      </c>
      <c r="AH40" t="e">
        <f>AND(#REF!,"AAAAADft3yE=")</f>
        <v>#REF!</v>
      </c>
      <c r="AI40" t="e">
        <f>AND(#REF!,"AAAAADft3yI=")</f>
        <v>#REF!</v>
      </c>
      <c r="AJ40" t="e">
        <f>AND(#REF!,"AAAAADft3yM=")</f>
        <v>#REF!</v>
      </c>
      <c r="AK40" t="e">
        <f>AND(#REF!,"AAAAADft3yQ=")</f>
        <v>#REF!</v>
      </c>
      <c r="AL40" t="e">
        <f>AND(#REF!,"AAAAADft3yU=")</f>
        <v>#REF!</v>
      </c>
      <c r="AM40" t="e">
        <f>AND(#REF!,"AAAAADft3yY=")</f>
        <v>#REF!</v>
      </c>
      <c r="AN40" t="e">
        <f>IF(#REF!,"AAAAADft3yc=",0)</f>
        <v>#REF!</v>
      </c>
      <c r="AO40" t="e">
        <f>AND(#REF!,"AAAAADft3yg=")</f>
        <v>#REF!</v>
      </c>
      <c r="AP40" t="e">
        <f>AND(#REF!,"AAAAADft3yk=")</f>
        <v>#REF!</v>
      </c>
      <c r="AQ40" t="e">
        <f>AND(#REF!,"AAAAADft3yo=")</f>
        <v>#REF!</v>
      </c>
      <c r="AR40" t="e">
        <f>AND(#REF!,"AAAAADft3ys=")</f>
        <v>#REF!</v>
      </c>
      <c r="AS40" t="e">
        <f>AND(#REF!,"AAAAADft3yw=")</f>
        <v>#REF!</v>
      </c>
      <c r="AT40" t="e">
        <f>AND(#REF!,"AAAAADft3y0=")</f>
        <v>#REF!</v>
      </c>
      <c r="AU40" t="e">
        <f>AND(#REF!,"AAAAADft3y4=")</f>
        <v>#REF!</v>
      </c>
      <c r="AV40" t="e">
        <f>AND(#REF!,"AAAAADft3y8=")</f>
        <v>#REF!</v>
      </c>
      <c r="AW40" t="e">
        <f>AND(#REF!,"AAAAADft3zA=")</f>
        <v>#REF!</v>
      </c>
      <c r="AX40" t="e">
        <f>IF(#REF!,"AAAAADft3zE=",0)</f>
        <v>#REF!</v>
      </c>
      <c r="AY40" t="e">
        <f>AND(#REF!,"AAAAADft3zI=")</f>
        <v>#REF!</v>
      </c>
      <c r="AZ40" t="e">
        <f>AND(#REF!,"AAAAADft3zM=")</f>
        <v>#REF!</v>
      </c>
      <c r="BA40" t="e">
        <f>AND(#REF!,"AAAAADft3zQ=")</f>
        <v>#REF!</v>
      </c>
      <c r="BB40" t="e">
        <f>AND(#REF!,"AAAAADft3zU=")</f>
        <v>#REF!</v>
      </c>
      <c r="BC40" t="e">
        <f>AND(#REF!,"AAAAADft3zY=")</f>
        <v>#REF!</v>
      </c>
      <c r="BD40" t="e">
        <f>AND(#REF!,"AAAAADft3zc=")</f>
        <v>#REF!</v>
      </c>
      <c r="BE40" t="e">
        <f>AND(#REF!,"AAAAADft3zg=")</f>
        <v>#REF!</v>
      </c>
      <c r="BF40" t="e">
        <f>AND(#REF!,"AAAAADft3zk=")</f>
        <v>#REF!</v>
      </c>
      <c r="BG40" t="e">
        <f>AND(#REF!,"AAAAADft3zo=")</f>
        <v>#REF!</v>
      </c>
      <c r="BH40" t="e">
        <f>IF(#REF!,"AAAAADft3zs=",0)</f>
        <v>#REF!</v>
      </c>
      <c r="BI40" t="e">
        <f>AND(#REF!,"AAAAADft3zw=")</f>
        <v>#REF!</v>
      </c>
      <c r="BJ40" t="e">
        <f>AND(#REF!,"AAAAADft3z0=")</f>
        <v>#REF!</v>
      </c>
      <c r="BK40" t="e">
        <f>AND(#REF!,"AAAAADft3z4=")</f>
        <v>#REF!</v>
      </c>
      <c r="BL40" t="e">
        <f>AND(#REF!,"AAAAADft3z8=")</f>
        <v>#REF!</v>
      </c>
      <c r="BM40" t="e">
        <f>AND(#REF!,"AAAAADft30A=")</f>
        <v>#REF!</v>
      </c>
      <c r="BN40" t="e">
        <f>AND(#REF!,"AAAAADft30E=")</f>
        <v>#REF!</v>
      </c>
      <c r="BO40" t="e">
        <f>AND(#REF!,"AAAAADft30I=")</f>
        <v>#REF!</v>
      </c>
      <c r="BP40" t="e">
        <f>AND(#REF!,"AAAAADft30M=")</f>
        <v>#REF!</v>
      </c>
      <c r="BQ40" t="e">
        <f>AND(#REF!,"AAAAADft30Q=")</f>
        <v>#REF!</v>
      </c>
      <c r="BR40" t="e">
        <f>IF(#REF!,"AAAAADft30U=",0)</f>
        <v>#REF!</v>
      </c>
      <c r="BS40" t="e">
        <f>AND(#REF!,"AAAAADft30Y=")</f>
        <v>#REF!</v>
      </c>
      <c r="BT40" t="e">
        <f>AND(#REF!,"AAAAADft30c=")</f>
        <v>#REF!</v>
      </c>
      <c r="BU40" t="e">
        <f>AND(#REF!,"AAAAADft30g=")</f>
        <v>#REF!</v>
      </c>
      <c r="BV40" t="e">
        <f>AND(#REF!,"AAAAADft30k=")</f>
        <v>#REF!</v>
      </c>
      <c r="BW40" t="e">
        <f>AND(#REF!,"AAAAADft30o=")</f>
        <v>#REF!</v>
      </c>
      <c r="BX40" t="e">
        <f>AND(#REF!,"AAAAADft30s=")</f>
        <v>#REF!</v>
      </c>
      <c r="BY40" t="e">
        <f>AND(#REF!,"AAAAADft30w=")</f>
        <v>#REF!</v>
      </c>
      <c r="BZ40" t="e">
        <f>AND(#REF!,"AAAAADft300=")</f>
        <v>#REF!</v>
      </c>
      <c r="CA40" t="e">
        <f>AND(#REF!,"AAAAADft304=")</f>
        <v>#REF!</v>
      </c>
      <c r="CB40" t="e">
        <f>IF(#REF!,"AAAAADft308=",0)</f>
        <v>#REF!</v>
      </c>
      <c r="CC40" t="e">
        <f>AND(#REF!,"AAAAADft31A=")</f>
        <v>#REF!</v>
      </c>
      <c r="CD40" t="e">
        <f>AND(#REF!,"AAAAADft31E=")</f>
        <v>#REF!</v>
      </c>
      <c r="CE40" t="e">
        <f>AND(#REF!,"AAAAADft31I=")</f>
        <v>#REF!</v>
      </c>
      <c r="CF40" t="e">
        <f>AND(#REF!,"AAAAADft31M=")</f>
        <v>#REF!</v>
      </c>
      <c r="CG40" t="e">
        <f>AND(#REF!,"AAAAADft31Q=")</f>
        <v>#REF!</v>
      </c>
      <c r="CH40" t="e">
        <f>AND(#REF!,"AAAAADft31U=")</f>
        <v>#REF!</v>
      </c>
      <c r="CI40" t="e">
        <f>AND(#REF!,"AAAAADft31Y=")</f>
        <v>#REF!</v>
      </c>
      <c r="CJ40" t="e">
        <f>AND(#REF!,"AAAAADft31c=")</f>
        <v>#REF!</v>
      </c>
      <c r="CK40" t="e">
        <f>AND(#REF!,"AAAAADft31g=")</f>
        <v>#REF!</v>
      </c>
      <c r="CL40" t="e">
        <f>IF(#REF!,"AAAAADft31k=",0)</f>
        <v>#REF!</v>
      </c>
      <c r="CM40" t="e">
        <f>AND(#REF!,"AAAAADft31o=")</f>
        <v>#REF!</v>
      </c>
      <c r="CN40" t="e">
        <f>AND(#REF!,"AAAAADft31s=")</f>
        <v>#REF!</v>
      </c>
      <c r="CO40" t="e">
        <f>AND(#REF!,"AAAAADft31w=")</f>
        <v>#REF!</v>
      </c>
      <c r="CP40" t="e">
        <f>AND(#REF!,"AAAAADft310=")</f>
        <v>#REF!</v>
      </c>
      <c r="CQ40" t="e">
        <f>AND(#REF!,"AAAAADft314=")</f>
        <v>#REF!</v>
      </c>
      <c r="CR40" t="e">
        <f>AND(#REF!,"AAAAADft318=")</f>
        <v>#REF!</v>
      </c>
      <c r="CS40" t="e">
        <f>AND(#REF!,"AAAAADft32A=")</f>
        <v>#REF!</v>
      </c>
      <c r="CT40" t="e">
        <f>AND(#REF!,"AAAAADft32E=")</f>
        <v>#REF!</v>
      </c>
      <c r="CU40" t="e">
        <f>AND(#REF!,"AAAAADft32I=")</f>
        <v>#REF!</v>
      </c>
      <c r="CV40" t="e">
        <f>IF(#REF!,"AAAAADft32M=",0)</f>
        <v>#REF!</v>
      </c>
      <c r="CW40" t="e">
        <f>AND(#REF!,"AAAAADft32Q=")</f>
        <v>#REF!</v>
      </c>
      <c r="CX40" t="e">
        <f>AND(#REF!,"AAAAADft32U=")</f>
        <v>#REF!</v>
      </c>
      <c r="CY40" t="e">
        <f>AND(#REF!,"AAAAADft32Y=")</f>
        <v>#REF!</v>
      </c>
      <c r="CZ40" t="e">
        <f>AND(#REF!,"AAAAADft32c=")</f>
        <v>#REF!</v>
      </c>
      <c r="DA40" t="e">
        <f>AND(#REF!,"AAAAADft32g=")</f>
        <v>#REF!</v>
      </c>
      <c r="DB40" t="e">
        <f>AND(#REF!,"AAAAADft32k=")</f>
        <v>#REF!</v>
      </c>
      <c r="DC40" t="e">
        <f>AND(#REF!,"AAAAADft32o=")</f>
        <v>#REF!</v>
      </c>
      <c r="DD40" t="e">
        <f>AND(#REF!,"AAAAADft32s=")</f>
        <v>#REF!</v>
      </c>
      <c r="DE40" t="e">
        <f>AND(#REF!,"AAAAADft32w=")</f>
        <v>#REF!</v>
      </c>
      <c r="DF40" t="e">
        <f>IF(#REF!,"AAAAADft320=",0)</f>
        <v>#REF!</v>
      </c>
      <c r="DG40" t="e">
        <f>AND(#REF!,"AAAAADft324=")</f>
        <v>#REF!</v>
      </c>
      <c r="DH40" t="e">
        <f>AND(#REF!,"AAAAADft328=")</f>
        <v>#REF!</v>
      </c>
      <c r="DI40" t="e">
        <f>AND(#REF!,"AAAAADft33A=")</f>
        <v>#REF!</v>
      </c>
      <c r="DJ40" t="e">
        <f>AND(#REF!,"AAAAADft33E=")</f>
        <v>#REF!</v>
      </c>
      <c r="DK40" t="e">
        <f>AND(#REF!,"AAAAADft33I=")</f>
        <v>#REF!</v>
      </c>
      <c r="DL40" t="e">
        <f>AND(#REF!,"AAAAADft33M=")</f>
        <v>#REF!</v>
      </c>
      <c r="DM40" t="e">
        <f>AND(#REF!,"AAAAADft33Q=")</f>
        <v>#REF!</v>
      </c>
      <c r="DN40" t="e">
        <f>AND(#REF!,"AAAAADft33U=")</f>
        <v>#REF!</v>
      </c>
      <c r="DO40" t="e">
        <f>AND(#REF!,"AAAAADft33Y=")</f>
        <v>#REF!</v>
      </c>
      <c r="DP40" t="e">
        <f>IF(#REF!,"AAAAADft33c=",0)</f>
        <v>#REF!</v>
      </c>
      <c r="DQ40" t="e">
        <f>AND(#REF!,"AAAAADft33g=")</f>
        <v>#REF!</v>
      </c>
      <c r="DR40" t="e">
        <f>AND(#REF!,"AAAAADft33k=")</f>
        <v>#REF!</v>
      </c>
      <c r="DS40" t="e">
        <f>AND(#REF!,"AAAAADft33o=")</f>
        <v>#REF!</v>
      </c>
      <c r="DT40" t="e">
        <f>AND(#REF!,"AAAAADft33s=")</f>
        <v>#REF!</v>
      </c>
      <c r="DU40" t="e">
        <f>AND(#REF!,"AAAAADft33w=")</f>
        <v>#REF!</v>
      </c>
      <c r="DV40" t="e">
        <f>AND(#REF!,"AAAAADft330=")</f>
        <v>#REF!</v>
      </c>
      <c r="DW40" t="e">
        <f>AND(#REF!,"AAAAADft334=")</f>
        <v>#REF!</v>
      </c>
      <c r="DX40" t="e">
        <f>AND(#REF!,"AAAAADft338=")</f>
        <v>#REF!</v>
      </c>
      <c r="DY40" t="e">
        <f>AND(#REF!,"AAAAADft34A=")</f>
        <v>#REF!</v>
      </c>
      <c r="DZ40" t="e">
        <f>IF(#REF!,"AAAAADft34E=",0)</f>
        <v>#REF!</v>
      </c>
      <c r="EA40" t="e">
        <f>AND(#REF!,"AAAAADft34I=")</f>
        <v>#REF!</v>
      </c>
      <c r="EB40" t="e">
        <f>AND(#REF!,"AAAAADft34M=")</f>
        <v>#REF!</v>
      </c>
      <c r="EC40" t="e">
        <f>AND(#REF!,"AAAAADft34Q=")</f>
        <v>#REF!</v>
      </c>
      <c r="ED40" t="e">
        <f>AND(#REF!,"AAAAADft34U=")</f>
        <v>#REF!</v>
      </c>
      <c r="EE40" t="e">
        <f>AND(#REF!,"AAAAADft34Y=")</f>
        <v>#REF!</v>
      </c>
      <c r="EF40" t="e">
        <f>AND(#REF!,"AAAAADft34c=")</f>
        <v>#REF!</v>
      </c>
      <c r="EG40" t="e">
        <f>AND(#REF!,"AAAAADft34g=")</f>
        <v>#REF!</v>
      </c>
      <c r="EH40" t="e">
        <f>AND(#REF!,"AAAAADft34k=")</f>
        <v>#REF!</v>
      </c>
      <c r="EI40" t="e">
        <f>AND(#REF!,"AAAAADft34o=")</f>
        <v>#REF!</v>
      </c>
      <c r="EJ40" t="e">
        <f>IF(#REF!,"AAAAADft34s=",0)</f>
        <v>#REF!</v>
      </c>
      <c r="EK40" t="e">
        <f>AND(#REF!,"AAAAADft34w=")</f>
        <v>#REF!</v>
      </c>
      <c r="EL40" t="e">
        <f>AND(#REF!,"AAAAADft340=")</f>
        <v>#REF!</v>
      </c>
      <c r="EM40" t="e">
        <f>AND(#REF!,"AAAAADft344=")</f>
        <v>#REF!</v>
      </c>
      <c r="EN40" t="e">
        <f>AND(#REF!,"AAAAADft348=")</f>
        <v>#REF!</v>
      </c>
      <c r="EO40" t="e">
        <f>AND(#REF!,"AAAAADft35A=")</f>
        <v>#REF!</v>
      </c>
      <c r="EP40" t="e">
        <f>AND(#REF!,"AAAAADft35E=")</f>
        <v>#REF!</v>
      </c>
      <c r="EQ40" t="e">
        <f>AND(#REF!,"AAAAADft35I=")</f>
        <v>#REF!</v>
      </c>
      <c r="ER40" t="e">
        <f>AND(#REF!,"AAAAADft35M=")</f>
        <v>#REF!</v>
      </c>
      <c r="ES40" t="e">
        <f>AND(#REF!,"AAAAADft35Q=")</f>
        <v>#REF!</v>
      </c>
      <c r="ET40" t="e">
        <f>IF(#REF!,"AAAAADft35U=",0)</f>
        <v>#REF!</v>
      </c>
      <c r="EU40" t="e">
        <f>AND(#REF!,"AAAAADft35Y=")</f>
        <v>#REF!</v>
      </c>
      <c r="EV40" t="e">
        <f>AND(#REF!,"AAAAADft35c=")</f>
        <v>#REF!</v>
      </c>
      <c r="EW40" t="e">
        <f>AND(#REF!,"AAAAADft35g=")</f>
        <v>#REF!</v>
      </c>
      <c r="EX40" t="e">
        <f>AND(#REF!,"AAAAADft35k=")</f>
        <v>#REF!</v>
      </c>
      <c r="EY40" t="e">
        <f>AND(#REF!,"AAAAADft35o=")</f>
        <v>#REF!</v>
      </c>
      <c r="EZ40" t="e">
        <f>AND(#REF!,"AAAAADft35s=")</f>
        <v>#REF!</v>
      </c>
      <c r="FA40" t="e">
        <f>AND(#REF!,"AAAAADft35w=")</f>
        <v>#REF!</v>
      </c>
      <c r="FB40" t="e">
        <f>AND(#REF!,"AAAAADft350=")</f>
        <v>#REF!</v>
      </c>
      <c r="FC40" t="e">
        <f>AND(#REF!,"AAAAADft354=")</f>
        <v>#REF!</v>
      </c>
      <c r="FD40" t="e">
        <f>IF(#REF!,"AAAAADft358=",0)</f>
        <v>#REF!</v>
      </c>
      <c r="FE40" t="e">
        <f>AND(#REF!,"AAAAADft36A=")</f>
        <v>#REF!</v>
      </c>
      <c r="FF40" t="e">
        <f>AND(#REF!,"AAAAADft36E=")</f>
        <v>#REF!</v>
      </c>
      <c r="FG40" t="e">
        <f>AND(#REF!,"AAAAADft36I=")</f>
        <v>#REF!</v>
      </c>
      <c r="FH40" t="e">
        <f>AND(#REF!,"AAAAADft36M=")</f>
        <v>#REF!</v>
      </c>
      <c r="FI40" t="e">
        <f>AND(#REF!,"AAAAADft36Q=")</f>
        <v>#REF!</v>
      </c>
      <c r="FJ40" t="e">
        <f>AND(#REF!,"AAAAADft36U=")</f>
        <v>#REF!</v>
      </c>
      <c r="FK40" t="e">
        <f>AND(#REF!,"AAAAADft36Y=")</f>
        <v>#REF!</v>
      </c>
      <c r="FL40" t="e">
        <f>AND(#REF!,"AAAAADft36c=")</f>
        <v>#REF!</v>
      </c>
      <c r="FM40" t="e">
        <f>AND(#REF!,"AAAAADft36g=")</f>
        <v>#REF!</v>
      </c>
      <c r="FN40" t="e">
        <f>IF(#REF!,"AAAAADft36k=",0)</f>
        <v>#REF!</v>
      </c>
      <c r="FO40" t="e">
        <f>AND(#REF!,"AAAAADft36o=")</f>
        <v>#REF!</v>
      </c>
      <c r="FP40" t="e">
        <f>AND(#REF!,"AAAAADft36s=")</f>
        <v>#REF!</v>
      </c>
      <c r="FQ40" t="e">
        <f>AND(#REF!,"AAAAADft36w=")</f>
        <v>#REF!</v>
      </c>
      <c r="FR40" t="e">
        <f>AND(#REF!,"AAAAADft360=")</f>
        <v>#REF!</v>
      </c>
      <c r="FS40" t="e">
        <f>AND(#REF!,"AAAAADft364=")</f>
        <v>#REF!</v>
      </c>
      <c r="FT40" t="e">
        <f>AND(#REF!,"AAAAADft368=")</f>
        <v>#REF!</v>
      </c>
      <c r="FU40" t="e">
        <f>AND(#REF!,"AAAAADft37A=")</f>
        <v>#REF!</v>
      </c>
      <c r="FV40" t="e">
        <f>AND(#REF!,"AAAAADft37E=")</f>
        <v>#REF!</v>
      </c>
      <c r="FW40" t="e">
        <f>AND(#REF!,"AAAAADft37I=")</f>
        <v>#REF!</v>
      </c>
      <c r="FX40" t="e">
        <f>IF(#REF!,"AAAAADft37M=",0)</f>
        <v>#REF!</v>
      </c>
      <c r="FY40" t="e">
        <f>AND(#REF!,"AAAAADft37Q=")</f>
        <v>#REF!</v>
      </c>
      <c r="FZ40" t="e">
        <f>AND(#REF!,"AAAAADft37U=")</f>
        <v>#REF!</v>
      </c>
      <c r="GA40" t="e">
        <f>AND(#REF!,"AAAAADft37Y=")</f>
        <v>#REF!</v>
      </c>
      <c r="GB40" t="e">
        <f>AND(#REF!,"AAAAADft37c=")</f>
        <v>#REF!</v>
      </c>
      <c r="GC40" t="e">
        <f>AND(#REF!,"AAAAADft37g=")</f>
        <v>#REF!</v>
      </c>
      <c r="GD40" t="e">
        <f>AND(#REF!,"AAAAADft37k=")</f>
        <v>#REF!</v>
      </c>
      <c r="GE40" t="e">
        <f>AND(#REF!,"AAAAADft37o=")</f>
        <v>#REF!</v>
      </c>
      <c r="GF40" t="e">
        <f>AND(#REF!,"AAAAADft37s=")</f>
        <v>#REF!</v>
      </c>
      <c r="GG40" t="e">
        <f>AND(#REF!,"AAAAADft37w=")</f>
        <v>#REF!</v>
      </c>
      <c r="GH40" t="e">
        <f>IF(#REF!,"AAAAADft370=",0)</f>
        <v>#REF!</v>
      </c>
      <c r="GI40" t="e">
        <f>AND(#REF!,"AAAAADft374=")</f>
        <v>#REF!</v>
      </c>
      <c r="GJ40" t="e">
        <f>AND(#REF!,"AAAAADft378=")</f>
        <v>#REF!</v>
      </c>
      <c r="GK40" t="e">
        <f>AND(#REF!,"AAAAADft38A=")</f>
        <v>#REF!</v>
      </c>
      <c r="GL40" t="e">
        <f>AND(#REF!,"AAAAADft38E=")</f>
        <v>#REF!</v>
      </c>
      <c r="GM40" t="e">
        <f>AND(#REF!,"AAAAADft38I=")</f>
        <v>#REF!</v>
      </c>
      <c r="GN40" t="e">
        <f>AND(#REF!,"AAAAADft38M=")</f>
        <v>#REF!</v>
      </c>
      <c r="GO40" t="e">
        <f>AND(#REF!,"AAAAADft38Q=")</f>
        <v>#REF!</v>
      </c>
      <c r="GP40" t="e">
        <f>AND(#REF!,"AAAAADft38U=")</f>
        <v>#REF!</v>
      </c>
      <c r="GQ40" t="e">
        <f>AND(#REF!,"AAAAADft38Y=")</f>
        <v>#REF!</v>
      </c>
      <c r="GR40" t="e">
        <f>IF(#REF!,"AAAAADft38c=",0)</f>
        <v>#REF!</v>
      </c>
      <c r="GS40" t="e">
        <f>AND(#REF!,"AAAAADft38g=")</f>
        <v>#REF!</v>
      </c>
      <c r="GT40" t="e">
        <f>AND(#REF!,"AAAAADft38k=")</f>
        <v>#REF!</v>
      </c>
      <c r="GU40" t="e">
        <f>AND(#REF!,"AAAAADft38o=")</f>
        <v>#REF!</v>
      </c>
      <c r="GV40" t="e">
        <f>AND(#REF!,"AAAAADft38s=")</f>
        <v>#REF!</v>
      </c>
      <c r="GW40" t="e">
        <f>AND(#REF!,"AAAAADft38w=")</f>
        <v>#REF!</v>
      </c>
      <c r="GX40" t="e">
        <f>AND(#REF!,"AAAAADft380=")</f>
        <v>#REF!</v>
      </c>
      <c r="GY40" t="e">
        <f>AND(#REF!,"AAAAADft384=")</f>
        <v>#REF!</v>
      </c>
      <c r="GZ40" t="e">
        <f>AND(#REF!,"AAAAADft388=")</f>
        <v>#REF!</v>
      </c>
      <c r="HA40" t="e">
        <f>AND(#REF!,"AAAAADft39A=")</f>
        <v>#REF!</v>
      </c>
      <c r="HB40" t="e">
        <f>IF(#REF!,"AAAAADft39E=",0)</f>
        <v>#REF!</v>
      </c>
      <c r="HC40" t="e">
        <f>AND(#REF!,"AAAAADft39I=")</f>
        <v>#REF!</v>
      </c>
      <c r="HD40" t="e">
        <f>AND(#REF!,"AAAAADft39M=")</f>
        <v>#REF!</v>
      </c>
      <c r="HE40" t="e">
        <f>AND(#REF!,"AAAAADft39Q=")</f>
        <v>#REF!</v>
      </c>
      <c r="HF40" t="e">
        <f>AND(#REF!,"AAAAADft39U=")</f>
        <v>#REF!</v>
      </c>
      <c r="HG40" t="e">
        <f>AND(#REF!,"AAAAADft39Y=")</f>
        <v>#REF!</v>
      </c>
      <c r="HH40" t="e">
        <f>AND(#REF!,"AAAAADft39c=")</f>
        <v>#REF!</v>
      </c>
      <c r="HI40" t="e">
        <f>AND(#REF!,"AAAAADft39g=")</f>
        <v>#REF!</v>
      </c>
      <c r="HJ40" t="e">
        <f>AND(#REF!,"AAAAADft39k=")</f>
        <v>#REF!</v>
      </c>
      <c r="HK40" t="e">
        <f>AND(#REF!,"AAAAADft39o=")</f>
        <v>#REF!</v>
      </c>
      <c r="HL40" t="e">
        <f>IF(#REF!,"AAAAADft39s=",0)</f>
        <v>#REF!</v>
      </c>
      <c r="HM40" t="e">
        <f>AND(#REF!,"AAAAADft39w=")</f>
        <v>#REF!</v>
      </c>
      <c r="HN40" t="e">
        <f>AND(#REF!,"AAAAADft390=")</f>
        <v>#REF!</v>
      </c>
      <c r="HO40" t="e">
        <f>AND(#REF!,"AAAAADft394=")</f>
        <v>#REF!</v>
      </c>
      <c r="HP40" t="e">
        <f>AND(#REF!,"AAAAADft398=")</f>
        <v>#REF!</v>
      </c>
      <c r="HQ40" t="e">
        <f>AND(#REF!,"AAAAADft3+A=")</f>
        <v>#REF!</v>
      </c>
      <c r="HR40" t="e">
        <f>AND(#REF!,"AAAAADft3+E=")</f>
        <v>#REF!</v>
      </c>
      <c r="HS40" t="e">
        <f>AND(#REF!,"AAAAADft3+I=")</f>
        <v>#REF!</v>
      </c>
      <c r="HT40" t="e">
        <f>AND(#REF!,"AAAAADft3+M=")</f>
        <v>#REF!</v>
      </c>
      <c r="HU40" t="e">
        <f>AND(#REF!,"AAAAADft3+Q=")</f>
        <v>#REF!</v>
      </c>
      <c r="HV40" t="e">
        <f>IF(#REF!,"AAAAADft3+U=",0)</f>
        <v>#REF!</v>
      </c>
      <c r="HW40" t="e">
        <f>AND(#REF!,"AAAAADft3+Y=")</f>
        <v>#REF!</v>
      </c>
      <c r="HX40" t="e">
        <f>AND(#REF!,"AAAAADft3+c=")</f>
        <v>#REF!</v>
      </c>
      <c r="HY40" t="e">
        <f>AND(#REF!,"AAAAADft3+g=")</f>
        <v>#REF!</v>
      </c>
      <c r="HZ40" t="e">
        <f>AND(#REF!,"AAAAADft3+k=")</f>
        <v>#REF!</v>
      </c>
      <c r="IA40" t="e">
        <f>AND(#REF!,"AAAAADft3+o=")</f>
        <v>#REF!</v>
      </c>
      <c r="IB40" t="e">
        <f>AND(#REF!,"AAAAADft3+s=")</f>
        <v>#REF!</v>
      </c>
      <c r="IC40" t="e">
        <f>AND(#REF!,"AAAAADft3+w=")</f>
        <v>#REF!</v>
      </c>
      <c r="ID40" t="e">
        <f>AND(#REF!,"AAAAADft3+0=")</f>
        <v>#REF!</v>
      </c>
      <c r="IE40" t="e">
        <f>AND(#REF!,"AAAAADft3+4=")</f>
        <v>#REF!</v>
      </c>
      <c r="IF40" t="e">
        <f>IF(#REF!,"AAAAADft3+8=",0)</f>
        <v>#REF!</v>
      </c>
      <c r="IG40" t="e">
        <f>AND(#REF!,"AAAAADft3/A=")</f>
        <v>#REF!</v>
      </c>
      <c r="IH40" t="e">
        <f>AND(#REF!,"AAAAADft3/E=")</f>
        <v>#REF!</v>
      </c>
      <c r="II40" t="e">
        <f>AND(#REF!,"AAAAADft3/I=")</f>
        <v>#REF!</v>
      </c>
      <c r="IJ40" t="e">
        <f>AND(#REF!,"AAAAADft3/M=")</f>
        <v>#REF!</v>
      </c>
      <c r="IK40" t="e">
        <f>AND(#REF!,"AAAAADft3/Q=")</f>
        <v>#REF!</v>
      </c>
      <c r="IL40" t="e">
        <f>AND(#REF!,"AAAAADft3/U=")</f>
        <v>#REF!</v>
      </c>
      <c r="IM40" t="e">
        <f>AND(#REF!,"AAAAADft3/Y=")</f>
        <v>#REF!</v>
      </c>
      <c r="IN40" t="e">
        <f>AND(#REF!,"AAAAADft3/c=")</f>
        <v>#REF!</v>
      </c>
      <c r="IO40" t="e">
        <f>AND(#REF!,"AAAAADft3/g=")</f>
        <v>#REF!</v>
      </c>
      <c r="IP40" t="e">
        <f>IF(#REF!,"AAAAADft3/k=",0)</f>
        <v>#REF!</v>
      </c>
      <c r="IQ40" t="e">
        <f>AND(#REF!,"AAAAADft3/o=")</f>
        <v>#REF!</v>
      </c>
      <c r="IR40" t="e">
        <f>AND(#REF!,"AAAAADft3/s=")</f>
        <v>#REF!</v>
      </c>
      <c r="IS40" t="e">
        <f>AND(#REF!,"AAAAADft3/w=")</f>
        <v>#REF!</v>
      </c>
      <c r="IT40" t="e">
        <f>AND(#REF!,"AAAAADft3/0=")</f>
        <v>#REF!</v>
      </c>
      <c r="IU40" t="e">
        <f>AND(#REF!,"AAAAADft3/4=")</f>
        <v>#REF!</v>
      </c>
      <c r="IV40" t="e">
        <f>AND(#REF!,"AAAAADft3/8=")</f>
        <v>#REF!</v>
      </c>
    </row>
    <row r="41" spans="1:256">
      <c r="A41" t="e">
        <f>AND(#REF!,"AAAAAHvUuQA=")</f>
        <v>#REF!</v>
      </c>
      <c r="B41" t="e">
        <f>AND(#REF!,"AAAAAHvUuQE=")</f>
        <v>#REF!</v>
      </c>
      <c r="C41" t="e">
        <f>AND(#REF!,"AAAAAHvUuQI=")</f>
        <v>#REF!</v>
      </c>
      <c r="D41" t="e">
        <f>IF(#REF!,"AAAAAHvUuQM=",0)</f>
        <v>#REF!</v>
      </c>
      <c r="E41" t="e">
        <f>AND(#REF!,"AAAAAHvUuQQ=")</f>
        <v>#REF!</v>
      </c>
      <c r="F41" t="e">
        <f>AND(#REF!,"AAAAAHvUuQU=")</f>
        <v>#REF!</v>
      </c>
      <c r="G41" t="e">
        <f>AND(#REF!,"AAAAAHvUuQY=")</f>
        <v>#REF!</v>
      </c>
      <c r="H41" t="e">
        <f>AND(#REF!,"AAAAAHvUuQc=")</f>
        <v>#REF!</v>
      </c>
      <c r="I41" t="e">
        <f>AND(#REF!,"AAAAAHvUuQg=")</f>
        <v>#REF!</v>
      </c>
      <c r="J41" t="e">
        <f>AND(#REF!,"AAAAAHvUuQk=")</f>
        <v>#REF!</v>
      </c>
      <c r="K41" t="e">
        <f>AND(#REF!,"AAAAAHvUuQo=")</f>
        <v>#REF!</v>
      </c>
      <c r="L41" t="e">
        <f>AND(#REF!,"AAAAAHvUuQs=")</f>
        <v>#REF!</v>
      </c>
      <c r="M41" t="e">
        <f>AND(#REF!,"AAAAAHvUuQw=")</f>
        <v>#REF!</v>
      </c>
      <c r="N41" t="e">
        <f>IF(#REF!,"AAAAAHvUuQ0=",0)</f>
        <v>#REF!</v>
      </c>
      <c r="O41" t="e">
        <f>AND(#REF!,"AAAAAHvUuQ4=")</f>
        <v>#REF!</v>
      </c>
      <c r="P41" t="e">
        <f>AND(#REF!,"AAAAAHvUuQ8=")</f>
        <v>#REF!</v>
      </c>
      <c r="Q41" t="e">
        <f>AND(#REF!,"AAAAAHvUuRA=")</f>
        <v>#REF!</v>
      </c>
      <c r="R41" t="e">
        <f>AND(#REF!,"AAAAAHvUuRE=")</f>
        <v>#REF!</v>
      </c>
      <c r="S41" t="e">
        <f>AND(#REF!,"AAAAAHvUuRI=")</f>
        <v>#REF!</v>
      </c>
      <c r="T41" t="e">
        <f>AND(#REF!,"AAAAAHvUuRM=")</f>
        <v>#REF!</v>
      </c>
      <c r="U41" t="e">
        <f>AND(#REF!,"AAAAAHvUuRQ=")</f>
        <v>#REF!</v>
      </c>
      <c r="V41" t="e">
        <f>AND(#REF!,"AAAAAHvUuRU=")</f>
        <v>#REF!</v>
      </c>
      <c r="W41" t="e">
        <f>AND(#REF!,"AAAAAHvUuRY=")</f>
        <v>#REF!</v>
      </c>
      <c r="X41" t="e">
        <f>IF(#REF!,"AAAAAHvUuRc=",0)</f>
        <v>#REF!</v>
      </c>
      <c r="Y41" t="e">
        <f>AND(#REF!,"AAAAAHvUuRg=")</f>
        <v>#REF!</v>
      </c>
      <c r="Z41" t="e">
        <f>AND(#REF!,"AAAAAHvUuRk=")</f>
        <v>#REF!</v>
      </c>
      <c r="AA41" t="e">
        <f>AND(#REF!,"AAAAAHvUuRo=")</f>
        <v>#REF!</v>
      </c>
      <c r="AB41" t="e">
        <f>AND(#REF!,"AAAAAHvUuRs=")</f>
        <v>#REF!</v>
      </c>
      <c r="AC41" t="e">
        <f>AND(#REF!,"AAAAAHvUuRw=")</f>
        <v>#REF!</v>
      </c>
      <c r="AD41" t="e">
        <f>AND(#REF!,"AAAAAHvUuR0=")</f>
        <v>#REF!</v>
      </c>
      <c r="AE41" t="e">
        <f>AND(#REF!,"AAAAAHvUuR4=")</f>
        <v>#REF!</v>
      </c>
      <c r="AF41" t="e">
        <f>AND(#REF!,"AAAAAHvUuR8=")</f>
        <v>#REF!</v>
      </c>
      <c r="AG41" t="e">
        <f>AND(#REF!,"AAAAAHvUuSA=")</f>
        <v>#REF!</v>
      </c>
      <c r="AH41" t="e">
        <f>IF(#REF!,"AAAAAHvUuSE=",0)</f>
        <v>#REF!</v>
      </c>
      <c r="AI41" t="e">
        <f>AND(#REF!,"AAAAAHvUuSI=")</f>
        <v>#REF!</v>
      </c>
      <c r="AJ41" t="e">
        <f>AND(#REF!,"AAAAAHvUuSM=")</f>
        <v>#REF!</v>
      </c>
      <c r="AK41" t="e">
        <f>AND(#REF!,"AAAAAHvUuSQ=")</f>
        <v>#REF!</v>
      </c>
      <c r="AL41" t="e">
        <f>AND(#REF!,"AAAAAHvUuSU=")</f>
        <v>#REF!</v>
      </c>
      <c r="AM41" t="e">
        <f>AND(#REF!,"AAAAAHvUuSY=")</f>
        <v>#REF!</v>
      </c>
      <c r="AN41" t="e">
        <f>AND(#REF!,"AAAAAHvUuSc=")</f>
        <v>#REF!</v>
      </c>
      <c r="AO41" t="e">
        <f>AND(#REF!,"AAAAAHvUuSg=")</f>
        <v>#REF!</v>
      </c>
      <c r="AP41" t="e">
        <f>AND(#REF!,"AAAAAHvUuSk=")</f>
        <v>#REF!</v>
      </c>
      <c r="AQ41" t="e">
        <f>AND(#REF!,"AAAAAHvUuSo=")</f>
        <v>#REF!</v>
      </c>
      <c r="AR41" t="e">
        <f>IF(#REF!,"AAAAAHvUuSs=",0)</f>
        <v>#REF!</v>
      </c>
      <c r="AS41" t="e">
        <f>AND(#REF!,"AAAAAHvUuSw=")</f>
        <v>#REF!</v>
      </c>
      <c r="AT41" t="e">
        <f>AND(#REF!,"AAAAAHvUuS0=")</f>
        <v>#REF!</v>
      </c>
      <c r="AU41" t="e">
        <f>AND(#REF!,"AAAAAHvUuS4=")</f>
        <v>#REF!</v>
      </c>
      <c r="AV41" t="e">
        <f>AND(#REF!,"AAAAAHvUuS8=")</f>
        <v>#REF!</v>
      </c>
      <c r="AW41" t="e">
        <f>AND(#REF!,"AAAAAHvUuTA=")</f>
        <v>#REF!</v>
      </c>
      <c r="AX41" t="e">
        <f>AND(#REF!,"AAAAAHvUuTE=")</f>
        <v>#REF!</v>
      </c>
      <c r="AY41" t="e">
        <f>AND(#REF!,"AAAAAHvUuTI=")</f>
        <v>#REF!</v>
      </c>
      <c r="AZ41" t="e">
        <f>AND(#REF!,"AAAAAHvUuTM=")</f>
        <v>#REF!</v>
      </c>
      <c r="BA41" t="e">
        <f>AND(#REF!,"AAAAAHvUuTQ=")</f>
        <v>#REF!</v>
      </c>
      <c r="BB41" t="e">
        <f>IF(#REF!,"AAAAAHvUuTU=",0)</f>
        <v>#REF!</v>
      </c>
      <c r="BC41" t="e">
        <f>AND(#REF!,"AAAAAHvUuTY=")</f>
        <v>#REF!</v>
      </c>
      <c r="BD41" t="e">
        <f>AND(#REF!,"AAAAAHvUuTc=")</f>
        <v>#REF!</v>
      </c>
      <c r="BE41" t="e">
        <f>AND(#REF!,"AAAAAHvUuTg=")</f>
        <v>#REF!</v>
      </c>
      <c r="BF41" t="e">
        <f>AND(#REF!,"AAAAAHvUuTk=")</f>
        <v>#REF!</v>
      </c>
      <c r="BG41" t="e">
        <f>AND(#REF!,"AAAAAHvUuTo=")</f>
        <v>#REF!</v>
      </c>
      <c r="BH41" t="e">
        <f>AND(#REF!,"AAAAAHvUuTs=")</f>
        <v>#REF!</v>
      </c>
      <c r="BI41" t="e">
        <f>AND(#REF!,"AAAAAHvUuTw=")</f>
        <v>#REF!</v>
      </c>
      <c r="BJ41" t="e">
        <f>AND(#REF!,"AAAAAHvUuT0=")</f>
        <v>#REF!</v>
      </c>
      <c r="BK41" t="e">
        <f>AND(#REF!,"AAAAAHvUuT4=")</f>
        <v>#REF!</v>
      </c>
      <c r="BL41" t="e">
        <f>IF(#REF!,"AAAAAHvUuT8=",0)</f>
        <v>#REF!</v>
      </c>
      <c r="BM41" t="e">
        <f>AND(#REF!,"AAAAAHvUuUA=")</f>
        <v>#REF!</v>
      </c>
      <c r="BN41" t="e">
        <f>AND(#REF!,"AAAAAHvUuUE=")</f>
        <v>#REF!</v>
      </c>
      <c r="BO41" t="e">
        <f>AND(#REF!,"AAAAAHvUuUI=")</f>
        <v>#REF!</v>
      </c>
      <c r="BP41" t="e">
        <f>AND(#REF!,"AAAAAHvUuUM=")</f>
        <v>#REF!</v>
      </c>
      <c r="BQ41" t="e">
        <f>AND(#REF!,"AAAAAHvUuUQ=")</f>
        <v>#REF!</v>
      </c>
      <c r="BR41" t="e">
        <f>AND(#REF!,"AAAAAHvUuUU=")</f>
        <v>#REF!</v>
      </c>
      <c r="BS41" t="e">
        <f>AND(#REF!,"AAAAAHvUuUY=")</f>
        <v>#REF!</v>
      </c>
      <c r="BT41" t="e">
        <f>AND(#REF!,"AAAAAHvUuUc=")</f>
        <v>#REF!</v>
      </c>
      <c r="BU41" t="e">
        <f>AND(#REF!,"AAAAAHvUuUg=")</f>
        <v>#REF!</v>
      </c>
      <c r="BV41" t="e">
        <f>IF(#REF!,"AAAAAHvUuUk=",0)</f>
        <v>#REF!</v>
      </c>
      <c r="BW41" t="e">
        <f>AND(#REF!,"AAAAAHvUuUo=")</f>
        <v>#REF!</v>
      </c>
      <c r="BX41" t="e">
        <f>AND(#REF!,"AAAAAHvUuUs=")</f>
        <v>#REF!</v>
      </c>
      <c r="BY41" t="e">
        <f>AND(#REF!,"AAAAAHvUuUw=")</f>
        <v>#REF!</v>
      </c>
      <c r="BZ41" t="e">
        <f>AND(#REF!,"AAAAAHvUuU0=")</f>
        <v>#REF!</v>
      </c>
      <c r="CA41" t="e">
        <f>AND(#REF!,"AAAAAHvUuU4=")</f>
        <v>#REF!</v>
      </c>
      <c r="CB41" t="e">
        <f>AND(#REF!,"AAAAAHvUuU8=")</f>
        <v>#REF!</v>
      </c>
      <c r="CC41" t="e">
        <f>AND(#REF!,"AAAAAHvUuVA=")</f>
        <v>#REF!</v>
      </c>
      <c r="CD41" t="e">
        <f>AND(#REF!,"AAAAAHvUuVE=")</f>
        <v>#REF!</v>
      </c>
      <c r="CE41" t="e">
        <f>AND(#REF!,"AAAAAHvUuVI=")</f>
        <v>#REF!</v>
      </c>
      <c r="CF41" t="e">
        <f>IF(#REF!,"AAAAAHvUuVM=",0)</f>
        <v>#REF!</v>
      </c>
      <c r="CG41" t="e">
        <f>AND(#REF!,"AAAAAHvUuVQ=")</f>
        <v>#REF!</v>
      </c>
      <c r="CH41" t="e">
        <f>AND(#REF!,"AAAAAHvUuVU=")</f>
        <v>#REF!</v>
      </c>
      <c r="CI41" t="e">
        <f>AND(#REF!,"AAAAAHvUuVY=")</f>
        <v>#REF!</v>
      </c>
      <c r="CJ41" t="e">
        <f>AND(#REF!,"AAAAAHvUuVc=")</f>
        <v>#REF!</v>
      </c>
      <c r="CK41" t="e">
        <f>AND(#REF!,"AAAAAHvUuVg=")</f>
        <v>#REF!</v>
      </c>
      <c r="CL41" t="e">
        <f>AND(#REF!,"AAAAAHvUuVk=")</f>
        <v>#REF!</v>
      </c>
      <c r="CM41" t="e">
        <f>AND(#REF!,"AAAAAHvUuVo=")</f>
        <v>#REF!</v>
      </c>
      <c r="CN41" t="e">
        <f>AND(#REF!,"AAAAAHvUuVs=")</f>
        <v>#REF!</v>
      </c>
      <c r="CO41" t="e">
        <f>AND(#REF!,"AAAAAHvUuVw=")</f>
        <v>#REF!</v>
      </c>
      <c r="CP41" t="e">
        <f>IF(#REF!,"AAAAAHvUuV0=",0)</f>
        <v>#REF!</v>
      </c>
      <c r="CQ41" t="e">
        <f>AND(#REF!,"AAAAAHvUuV4=")</f>
        <v>#REF!</v>
      </c>
      <c r="CR41" t="e">
        <f>AND(#REF!,"AAAAAHvUuV8=")</f>
        <v>#REF!</v>
      </c>
      <c r="CS41" t="e">
        <f>AND(#REF!,"AAAAAHvUuWA=")</f>
        <v>#REF!</v>
      </c>
      <c r="CT41" t="e">
        <f>AND(#REF!,"AAAAAHvUuWE=")</f>
        <v>#REF!</v>
      </c>
      <c r="CU41" t="e">
        <f>AND(#REF!,"AAAAAHvUuWI=")</f>
        <v>#REF!</v>
      </c>
      <c r="CV41" t="e">
        <f>AND(#REF!,"AAAAAHvUuWM=")</f>
        <v>#REF!</v>
      </c>
      <c r="CW41" t="e">
        <f>AND(#REF!,"AAAAAHvUuWQ=")</f>
        <v>#REF!</v>
      </c>
      <c r="CX41" t="e">
        <f>AND(#REF!,"AAAAAHvUuWU=")</f>
        <v>#REF!</v>
      </c>
      <c r="CY41" t="e">
        <f>AND(#REF!,"AAAAAHvUuWY=")</f>
        <v>#REF!</v>
      </c>
      <c r="CZ41" t="e">
        <f>IF(#REF!,"AAAAAHvUuWc=",0)</f>
        <v>#REF!</v>
      </c>
      <c r="DA41" t="e">
        <f>AND(#REF!,"AAAAAHvUuWg=")</f>
        <v>#REF!</v>
      </c>
      <c r="DB41" t="e">
        <f>AND(#REF!,"AAAAAHvUuWk=")</f>
        <v>#REF!</v>
      </c>
      <c r="DC41" t="e">
        <f>AND(#REF!,"AAAAAHvUuWo=")</f>
        <v>#REF!</v>
      </c>
      <c r="DD41" t="e">
        <f>AND(#REF!,"AAAAAHvUuWs=")</f>
        <v>#REF!</v>
      </c>
      <c r="DE41" t="e">
        <f>AND(#REF!,"AAAAAHvUuWw=")</f>
        <v>#REF!</v>
      </c>
      <c r="DF41" t="e">
        <f>AND(#REF!,"AAAAAHvUuW0=")</f>
        <v>#REF!</v>
      </c>
      <c r="DG41" t="e">
        <f>AND(#REF!,"AAAAAHvUuW4=")</f>
        <v>#REF!</v>
      </c>
      <c r="DH41" t="e">
        <f>AND(#REF!,"AAAAAHvUuW8=")</f>
        <v>#REF!</v>
      </c>
      <c r="DI41" t="e">
        <f>AND(#REF!,"AAAAAHvUuXA=")</f>
        <v>#REF!</v>
      </c>
      <c r="DJ41" t="e">
        <f>IF(#REF!,"AAAAAHvUuXE=",0)</f>
        <v>#REF!</v>
      </c>
      <c r="DK41" t="e">
        <f>AND(#REF!,"AAAAAHvUuXI=")</f>
        <v>#REF!</v>
      </c>
      <c r="DL41" t="e">
        <f>AND(#REF!,"AAAAAHvUuXM=")</f>
        <v>#REF!</v>
      </c>
      <c r="DM41" t="e">
        <f>AND(#REF!,"AAAAAHvUuXQ=")</f>
        <v>#REF!</v>
      </c>
      <c r="DN41" t="e">
        <f>AND(#REF!,"AAAAAHvUuXU=")</f>
        <v>#REF!</v>
      </c>
      <c r="DO41" t="e">
        <f>AND(#REF!,"AAAAAHvUuXY=")</f>
        <v>#REF!</v>
      </c>
      <c r="DP41" t="e">
        <f>AND(#REF!,"AAAAAHvUuXc=")</f>
        <v>#REF!</v>
      </c>
      <c r="DQ41" t="e">
        <f>AND(#REF!,"AAAAAHvUuXg=")</f>
        <v>#REF!</v>
      </c>
      <c r="DR41" t="e">
        <f>AND(#REF!,"AAAAAHvUuXk=")</f>
        <v>#REF!</v>
      </c>
      <c r="DS41" t="e">
        <f>AND(#REF!,"AAAAAHvUuXo=")</f>
        <v>#REF!</v>
      </c>
      <c r="DT41" t="e">
        <f>IF(#REF!,"AAAAAHvUuXs=",0)</f>
        <v>#REF!</v>
      </c>
      <c r="DU41" t="e">
        <f>AND(#REF!,"AAAAAHvUuXw=")</f>
        <v>#REF!</v>
      </c>
      <c r="DV41" t="e">
        <f>AND(#REF!,"AAAAAHvUuX0=")</f>
        <v>#REF!</v>
      </c>
      <c r="DW41" t="e">
        <f>AND(#REF!,"AAAAAHvUuX4=")</f>
        <v>#REF!</v>
      </c>
      <c r="DX41" t="e">
        <f>AND(#REF!,"AAAAAHvUuX8=")</f>
        <v>#REF!</v>
      </c>
      <c r="DY41" t="e">
        <f>AND(#REF!,"AAAAAHvUuYA=")</f>
        <v>#REF!</v>
      </c>
      <c r="DZ41" t="e">
        <f>AND(#REF!,"AAAAAHvUuYE=")</f>
        <v>#REF!</v>
      </c>
      <c r="EA41" t="e">
        <f>AND(#REF!,"AAAAAHvUuYI=")</f>
        <v>#REF!</v>
      </c>
      <c r="EB41" t="e">
        <f>AND(#REF!,"AAAAAHvUuYM=")</f>
        <v>#REF!</v>
      </c>
      <c r="EC41" t="e">
        <f>AND(#REF!,"AAAAAHvUuYQ=")</f>
        <v>#REF!</v>
      </c>
      <c r="ED41" t="e">
        <f>IF(#REF!,"AAAAAHvUuYU=",0)</f>
        <v>#REF!</v>
      </c>
      <c r="EE41" t="e">
        <f>AND(#REF!,"AAAAAHvUuYY=")</f>
        <v>#REF!</v>
      </c>
      <c r="EF41" t="e">
        <f>AND(#REF!,"AAAAAHvUuYc=")</f>
        <v>#REF!</v>
      </c>
      <c r="EG41" t="e">
        <f>AND(#REF!,"AAAAAHvUuYg=")</f>
        <v>#REF!</v>
      </c>
      <c r="EH41" t="e">
        <f>AND(#REF!,"AAAAAHvUuYk=")</f>
        <v>#REF!</v>
      </c>
      <c r="EI41" t="e">
        <f>AND(#REF!,"AAAAAHvUuYo=")</f>
        <v>#REF!</v>
      </c>
      <c r="EJ41" t="e">
        <f>AND(#REF!,"AAAAAHvUuYs=")</f>
        <v>#REF!</v>
      </c>
      <c r="EK41" t="e">
        <f>AND(#REF!,"AAAAAHvUuYw=")</f>
        <v>#REF!</v>
      </c>
      <c r="EL41" t="e">
        <f>AND(#REF!,"AAAAAHvUuY0=")</f>
        <v>#REF!</v>
      </c>
      <c r="EM41" t="e">
        <f>AND(#REF!,"AAAAAHvUuY4=")</f>
        <v>#REF!</v>
      </c>
      <c r="EN41" t="e">
        <f>IF(#REF!,"AAAAAHvUuY8=",0)</f>
        <v>#REF!</v>
      </c>
      <c r="EO41" t="e">
        <f>AND(#REF!,"AAAAAHvUuZA=")</f>
        <v>#REF!</v>
      </c>
      <c r="EP41" t="e">
        <f>AND(#REF!,"AAAAAHvUuZE=")</f>
        <v>#REF!</v>
      </c>
      <c r="EQ41" t="e">
        <f>AND(#REF!,"AAAAAHvUuZI=")</f>
        <v>#REF!</v>
      </c>
      <c r="ER41" t="e">
        <f>AND(#REF!,"AAAAAHvUuZM=")</f>
        <v>#REF!</v>
      </c>
      <c r="ES41" t="e">
        <f>AND(#REF!,"AAAAAHvUuZQ=")</f>
        <v>#REF!</v>
      </c>
      <c r="ET41" t="e">
        <f>AND(#REF!,"AAAAAHvUuZU=")</f>
        <v>#REF!</v>
      </c>
      <c r="EU41" t="e">
        <f>AND(#REF!,"AAAAAHvUuZY=")</f>
        <v>#REF!</v>
      </c>
      <c r="EV41" t="e">
        <f>AND(#REF!,"AAAAAHvUuZc=")</f>
        <v>#REF!</v>
      </c>
      <c r="EW41" t="e">
        <f>AND(#REF!,"AAAAAHvUuZg=")</f>
        <v>#REF!</v>
      </c>
      <c r="EX41" t="e">
        <f>IF(#REF!,"AAAAAHvUuZk=",0)</f>
        <v>#REF!</v>
      </c>
      <c r="EY41" t="e">
        <f>AND(#REF!,"AAAAAHvUuZo=")</f>
        <v>#REF!</v>
      </c>
      <c r="EZ41" t="e">
        <f>AND(#REF!,"AAAAAHvUuZs=")</f>
        <v>#REF!</v>
      </c>
      <c r="FA41" t="e">
        <f>AND(#REF!,"AAAAAHvUuZw=")</f>
        <v>#REF!</v>
      </c>
      <c r="FB41" t="e">
        <f>AND(#REF!,"AAAAAHvUuZ0=")</f>
        <v>#REF!</v>
      </c>
      <c r="FC41" t="e">
        <f>AND(#REF!,"AAAAAHvUuZ4=")</f>
        <v>#REF!</v>
      </c>
      <c r="FD41" t="e">
        <f>AND(#REF!,"AAAAAHvUuZ8=")</f>
        <v>#REF!</v>
      </c>
      <c r="FE41" t="e">
        <f>AND(#REF!,"AAAAAHvUuaA=")</f>
        <v>#REF!</v>
      </c>
      <c r="FF41" t="e">
        <f>AND(#REF!,"AAAAAHvUuaE=")</f>
        <v>#REF!</v>
      </c>
      <c r="FG41" t="e">
        <f>AND(#REF!,"AAAAAHvUuaI=")</f>
        <v>#REF!</v>
      </c>
      <c r="FH41" t="e">
        <f>IF(#REF!,"AAAAAHvUuaM=",0)</f>
        <v>#REF!</v>
      </c>
      <c r="FI41" t="e">
        <f>AND(#REF!,"AAAAAHvUuaQ=")</f>
        <v>#REF!</v>
      </c>
      <c r="FJ41" t="e">
        <f>AND(#REF!,"AAAAAHvUuaU=")</f>
        <v>#REF!</v>
      </c>
      <c r="FK41" t="e">
        <f>AND(#REF!,"AAAAAHvUuaY=")</f>
        <v>#REF!</v>
      </c>
      <c r="FL41" t="e">
        <f>AND(#REF!,"AAAAAHvUuac=")</f>
        <v>#REF!</v>
      </c>
      <c r="FM41" t="e">
        <f>AND(#REF!,"AAAAAHvUuag=")</f>
        <v>#REF!</v>
      </c>
      <c r="FN41" t="e">
        <f>AND(#REF!,"AAAAAHvUuak=")</f>
        <v>#REF!</v>
      </c>
      <c r="FO41" t="e">
        <f>AND(#REF!,"AAAAAHvUuao=")</f>
        <v>#REF!</v>
      </c>
      <c r="FP41" t="e">
        <f>AND(#REF!,"AAAAAHvUuas=")</f>
        <v>#REF!</v>
      </c>
      <c r="FQ41" t="e">
        <f>AND(#REF!,"AAAAAHvUuaw=")</f>
        <v>#REF!</v>
      </c>
      <c r="FR41" t="e">
        <f>IF(#REF!,"AAAAAHvUua0=",0)</f>
        <v>#REF!</v>
      </c>
      <c r="FS41" t="e">
        <f>AND(#REF!,"AAAAAHvUua4=")</f>
        <v>#REF!</v>
      </c>
      <c r="FT41" t="e">
        <f>AND(#REF!,"AAAAAHvUua8=")</f>
        <v>#REF!</v>
      </c>
      <c r="FU41" t="e">
        <f>AND(#REF!,"AAAAAHvUubA=")</f>
        <v>#REF!</v>
      </c>
      <c r="FV41" t="e">
        <f>AND(#REF!,"AAAAAHvUubE=")</f>
        <v>#REF!</v>
      </c>
      <c r="FW41" t="e">
        <f>AND(#REF!,"AAAAAHvUubI=")</f>
        <v>#REF!</v>
      </c>
      <c r="FX41" t="e">
        <f>AND(#REF!,"AAAAAHvUubM=")</f>
        <v>#REF!</v>
      </c>
      <c r="FY41" t="e">
        <f>AND(#REF!,"AAAAAHvUubQ=")</f>
        <v>#REF!</v>
      </c>
      <c r="FZ41" t="e">
        <f>AND(#REF!,"AAAAAHvUubU=")</f>
        <v>#REF!</v>
      </c>
      <c r="GA41" t="e">
        <f>AND(#REF!,"AAAAAHvUubY=")</f>
        <v>#REF!</v>
      </c>
      <c r="GB41" t="e">
        <f>IF(#REF!,"AAAAAHvUubc=",0)</f>
        <v>#REF!</v>
      </c>
      <c r="GC41" t="e">
        <f>AND(#REF!,"AAAAAHvUubg=")</f>
        <v>#REF!</v>
      </c>
      <c r="GD41" t="e">
        <f>AND(#REF!,"AAAAAHvUubk=")</f>
        <v>#REF!</v>
      </c>
      <c r="GE41" t="e">
        <f>AND(#REF!,"AAAAAHvUubo=")</f>
        <v>#REF!</v>
      </c>
      <c r="GF41" t="e">
        <f>AND(#REF!,"AAAAAHvUubs=")</f>
        <v>#REF!</v>
      </c>
      <c r="GG41" t="e">
        <f>AND(#REF!,"AAAAAHvUubw=")</f>
        <v>#REF!</v>
      </c>
      <c r="GH41" t="e">
        <f>AND(#REF!,"AAAAAHvUub0=")</f>
        <v>#REF!</v>
      </c>
      <c r="GI41" t="e">
        <f>AND(#REF!,"AAAAAHvUub4=")</f>
        <v>#REF!</v>
      </c>
      <c r="GJ41" t="e">
        <f>AND(#REF!,"AAAAAHvUub8=")</f>
        <v>#REF!</v>
      </c>
      <c r="GK41" t="e">
        <f>AND(#REF!,"AAAAAHvUucA=")</f>
        <v>#REF!</v>
      </c>
      <c r="GL41" t="e">
        <f>IF(#REF!,"AAAAAHvUucE=",0)</f>
        <v>#REF!</v>
      </c>
      <c r="GM41" t="e">
        <f>AND(#REF!,"AAAAAHvUucI=")</f>
        <v>#REF!</v>
      </c>
      <c r="GN41" t="e">
        <f>AND(#REF!,"AAAAAHvUucM=")</f>
        <v>#REF!</v>
      </c>
      <c r="GO41" t="e">
        <f>AND(#REF!,"AAAAAHvUucQ=")</f>
        <v>#REF!</v>
      </c>
      <c r="GP41" t="e">
        <f>AND(#REF!,"AAAAAHvUucU=")</f>
        <v>#REF!</v>
      </c>
      <c r="GQ41" t="e">
        <f>AND(#REF!,"AAAAAHvUucY=")</f>
        <v>#REF!</v>
      </c>
      <c r="GR41" t="e">
        <f>AND(#REF!,"AAAAAHvUucc=")</f>
        <v>#REF!</v>
      </c>
      <c r="GS41" t="e">
        <f>AND(#REF!,"AAAAAHvUucg=")</f>
        <v>#REF!</v>
      </c>
      <c r="GT41" t="e">
        <f>AND(#REF!,"AAAAAHvUuck=")</f>
        <v>#REF!</v>
      </c>
      <c r="GU41" t="e">
        <f>AND(#REF!,"AAAAAHvUuco=")</f>
        <v>#REF!</v>
      </c>
      <c r="GV41" t="e">
        <f>IF(#REF!,"AAAAAHvUucs=",0)</f>
        <v>#REF!</v>
      </c>
      <c r="GW41" t="e">
        <f>AND(#REF!,"AAAAAHvUucw=")</f>
        <v>#REF!</v>
      </c>
      <c r="GX41" t="e">
        <f>AND(#REF!,"AAAAAHvUuc0=")</f>
        <v>#REF!</v>
      </c>
      <c r="GY41" t="e">
        <f>AND(#REF!,"AAAAAHvUuc4=")</f>
        <v>#REF!</v>
      </c>
      <c r="GZ41" t="e">
        <f>AND(#REF!,"AAAAAHvUuc8=")</f>
        <v>#REF!</v>
      </c>
      <c r="HA41" t="e">
        <f>AND(#REF!,"AAAAAHvUudA=")</f>
        <v>#REF!</v>
      </c>
      <c r="HB41" t="e">
        <f>AND(#REF!,"AAAAAHvUudE=")</f>
        <v>#REF!</v>
      </c>
      <c r="HC41" t="e">
        <f>AND(#REF!,"AAAAAHvUudI=")</f>
        <v>#REF!</v>
      </c>
      <c r="HD41" t="e">
        <f>AND(#REF!,"AAAAAHvUudM=")</f>
        <v>#REF!</v>
      </c>
      <c r="HE41" t="e">
        <f>AND(#REF!,"AAAAAHvUudQ=")</f>
        <v>#REF!</v>
      </c>
      <c r="HF41" t="e">
        <f>IF(#REF!,"AAAAAHvUudU=",0)</f>
        <v>#REF!</v>
      </c>
      <c r="HG41" t="e">
        <f>AND(#REF!,"AAAAAHvUudY=")</f>
        <v>#REF!</v>
      </c>
      <c r="HH41" t="e">
        <f>AND(#REF!,"AAAAAHvUudc=")</f>
        <v>#REF!</v>
      </c>
      <c r="HI41" t="e">
        <f>AND(#REF!,"AAAAAHvUudg=")</f>
        <v>#REF!</v>
      </c>
      <c r="HJ41" t="e">
        <f>AND(#REF!,"AAAAAHvUudk=")</f>
        <v>#REF!</v>
      </c>
      <c r="HK41" t="e">
        <f>AND(#REF!,"AAAAAHvUudo=")</f>
        <v>#REF!</v>
      </c>
      <c r="HL41" t="e">
        <f>AND(#REF!,"AAAAAHvUuds=")</f>
        <v>#REF!</v>
      </c>
      <c r="HM41" t="e">
        <f>AND(#REF!,"AAAAAHvUudw=")</f>
        <v>#REF!</v>
      </c>
      <c r="HN41" t="e">
        <f>AND(#REF!,"AAAAAHvUud0=")</f>
        <v>#REF!</v>
      </c>
      <c r="HO41" t="e">
        <f>AND(#REF!,"AAAAAHvUud4=")</f>
        <v>#REF!</v>
      </c>
      <c r="HP41" t="e">
        <f>IF(#REF!,"AAAAAHvUud8=",0)</f>
        <v>#REF!</v>
      </c>
      <c r="HQ41" t="e">
        <f>AND(#REF!,"AAAAAHvUueA=")</f>
        <v>#REF!</v>
      </c>
      <c r="HR41" t="e">
        <f>AND(#REF!,"AAAAAHvUueE=")</f>
        <v>#REF!</v>
      </c>
      <c r="HS41" t="e">
        <f>AND(#REF!,"AAAAAHvUueI=")</f>
        <v>#REF!</v>
      </c>
      <c r="HT41" t="e">
        <f>AND(#REF!,"AAAAAHvUueM=")</f>
        <v>#REF!</v>
      </c>
      <c r="HU41" t="e">
        <f>AND(#REF!,"AAAAAHvUueQ=")</f>
        <v>#REF!</v>
      </c>
      <c r="HV41" t="e">
        <f>AND(#REF!,"AAAAAHvUueU=")</f>
        <v>#REF!</v>
      </c>
      <c r="HW41" t="e">
        <f>AND(#REF!,"AAAAAHvUueY=")</f>
        <v>#REF!</v>
      </c>
      <c r="HX41" t="e">
        <f>AND(#REF!,"AAAAAHvUuec=")</f>
        <v>#REF!</v>
      </c>
      <c r="HY41" t="e">
        <f>AND(#REF!,"AAAAAHvUueg=")</f>
        <v>#REF!</v>
      </c>
      <c r="HZ41" t="e">
        <f>IF(#REF!,"AAAAAHvUuek=",0)</f>
        <v>#REF!</v>
      </c>
      <c r="IA41" t="e">
        <f>AND(#REF!,"AAAAAHvUueo=")</f>
        <v>#REF!</v>
      </c>
      <c r="IB41" t="e">
        <f>AND(#REF!,"AAAAAHvUues=")</f>
        <v>#REF!</v>
      </c>
      <c r="IC41" t="e">
        <f>AND(#REF!,"AAAAAHvUuew=")</f>
        <v>#REF!</v>
      </c>
      <c r="ID41" t="e">
        <f>AND(#REF!,"AAAAAHvUue0=")</f>
        <v>#REF!</v>
      </c>
      <c r="IE41" t="e">
        <f>AND(#REF!,"AAAAAHvUue4=")</f>
        <v>#REF!</v>
      </c>
      <c r="IF41" t="e">
        <f>AND(#REF!,"AAAAAHvUue8=")</f>
        <v>#REF!</v>
      </c>
      <c r="IG41" t="e">
        <f>AND(#REF!,"AAAAAHvUufA=")</f>
        <v>#REF!</v>
      </c>
      <c r="IH41" t="e">
        <f>AND(#REF!,"AAAAAHvUufE=")</f>
        <v>#REF!</v>
      </c>
      <c r="II41" t="e">
        <f>AND(#REF!,"AAAAAHvUufI=")</f>
        <v>#REF!</v>
      </c>
      <c r="IJ41" t="e">
        <f>IF(#REF!,"AAAAAHvUufM=",0)</f>
        <v>#REF!</v>
      </c>
      <c r="IK41" t="e">
        <f>AND(#REF!,"AAAAAHvUufQ=")</f>
        <v>#REF!</v>
      </c>
      <c r="IL41" t="e">
        <f>AND(#REF!,"AAAAAHvUufU=")</f>
        <v>#REF!</v>
      </c>
      <c r="IM41" t="e">
        <f>AND(#REF!,"AAAAAHvUufY=")</f>
        <v>#REF!</v>
      </c>
      <c r="IN41" t="e">
        <f>AND(#REF!,"AAAAAHvUufc=")</f>
        <v>#REF!</v>
      </c>
      <c r="IO41" t="e">
        <f>AND(#REF!,"AAAAAHvUufg=")</f>
        <v>#REF!</v>
      </c>
      <c r="IP41" t="e">
        <f>AND(#REF!,"AAAAAHvUufk=")</f>
        <v>#REF!</v>
      </c>
      <c r="IQ41" t="e">
        <f>AND(#REF!,"AAAAAHvUufo=")</f>
        <v>#REF!</v>
      </c>
      <c r="IR41" t="e">
        <f>AND(#REF!,"AAAAAHvUufs=")</f>
        <v>#REF!</v>
      </c>
      <c r="IS41" t="e">
        <f>AND(#REF!,"AAAAAHvUufw=")</f>
        <v>#REF!</v>
      </c>
      <c r="IT41" t="e">
        <f>IF(#REF!,"AAAAAHvUuf0=",0)</f>
        <v>#REF!</v>
      </c>
      <c r="IU41" t="e">
        <f>AND(#REF!,"AAAAAHvUuf4=")</f>
        <v>#REF!</v>
      </c>
      <c r="IV41" t="e">
        <f>AND(#REF!,"AAAAAHvUuf8=")</f>
        <v>#REF!</v>
      </c>
    </row>
    <row r="42" spans="1:256">
      <c r="A42" t="e">
        <f>AND(#REF!,"AAAAAH2+uQA=")</f>
        <v>#REF!</v>
      </c>
      <c r="B42" t="e">
        <f>AND(#REF!,"AAAAAH2+uQE=")</f>
        <v>#REF!</v>
      </c>
      <c r="C42" t="e">
        <f>AND(#REF!,"AAAAAH2+uQI=")</f>
        <v>#REF!</v>
      </c>
      <c r="D42" t="e">
        <f>AND(#REF!,"AAAAAH2+uQM=")</f>
        <v>#REF!</v>
      </c>
      <c r="E42" t="e">
        <f>AND(#REF!,"AAAAAH2+uQQ=")</f>
        <v>#REF!</v>
      </c>
      <c r="F42" t="e">
        <f>AND(#REF!,"AAAAAH2+uQU=")</f>
        <v>#REF!</v>
      </c>
      <c r="G42" t="e">
        <f>AND(#REF!,"AAAAAH2+uQY=")</f>
        <v>#REF!</v>
      </c>
      <c r="H42" t="e">
        <f>IF(#REF!,"AAAAAH2+uQc=",0)</f>
        <v>#REF!</v>
      </c>
      <c r="I42" t="e">
        <f>AND(#REF!,"AAAAAH2+uQg=")</f>
        <v>#REF!</v>
      </c>
      <c r="J42" t="e">
        <f>AND(#REF!,"AAAAAH2+uQk=")</f>
        <v>#REF!</v>
      </c>
      <c r="K42" t="e">
        <f>AND(#REF!,"AAAAAH2+uQo=")</f>
        <v>#REF!</v>
      </c>
      <c r="L42" t="e">
        <f>AND(#REF!,"AAAAAH2+uQs=")</f>
        <v>#REF!</v>
      </c>
      <c r="M42" t="e">
        <f>AND(#REF!,"AAAAAH2+uQw=")</f>
        <v>#REF!</v>
      </c>
      <c r="N42" t="e">
        <f>AND(#REF!,"AAAAAH2+uQ0=")</f>
        <v>#REF!</v>
      </c>
      <c r="O42" t="e">
        <f>AND(#REF!,"AAAAAH2+uQ4=")</f>
        <v>#REF!</v>
      </c>
      <c r="P42" t="e">
        <f>AND(#REF!,"AAAAAH2+uQ8=")</f>
        <v>#REF!</v>
      </c>
      <c r="Q42" t="e">
        <f>AND(#REF!,"AAAAAH2+uRA=")</f>
        <v>#REF!</v>
      </c>
      <c r="R42" t="e">
        <f>IF(#REF!,"AAAAAH2+uRE=",0)</f>
        <v>#REF!</v>
      </c>
      <c r="S42" t="e">
        <f>AND(#REF!,"AAAAAH2+uRI=")</f>
        <v>#REF!</v>
      </c>
      <c r="T42" t="e">
        <f>AND(#REF!,"AAAAAH2+uRM=")</f>
        <v>#REF!</v>
      </c>
      <c r="U42" t="e">
        <f>AND(#REF!,"AAAAAH2+uRQ=")</f>
        <v>#REF!</v>
      </c>
      <c r="V42" t="e">
        <f>AND(#REF!,"AAAAAH2+uRU=")</f>
        <v>#REF!</v>
      </c>
      <c r="W42" t="e">
        <f>AND(#REF!,"AAAAAH2+uRY=")</f>
        <v>#REF!</v>
      </c>
      <c r="X42" t="e">
        <f>AND(#REF!,"AAAAAH2+uRc=")</f>
        <v>#REF!</v>
      </c>
      <c r="Y42" t="e">
        <f>AND(#REF!,"AAAAAH2+uRg=")</f>
        <v>#REF!</v>
      </c>
      <c r="Z42" t="e">
        <f>AND(#REF!,"AAAAAH2+uRk=")</f>
        <v>#REF!</v>
      </c>
      <c r="AA42" t="e">
        <f>AND(#REF!,"AAAAAH2+uRo=")</f>
        <v>#REF!</v>
      </c>
      <c r="AB42" t="e">
        <f>IF(#REF!,"AAAAAH2+uRs=",0)</f>
        <v>#REF!</v>
      </c>
      <c r="AC42" t="e">
        <f>AND(#REF!,"AAAAAH2+uRw=")</f>
        <v>#REF!</v>
      </c>
      <c r="AD42" t="e">
        <f>AND(#REF!,"AAAAAH2+uR0=")</f>
        <v>#REF!</v>
      </c>
      <c r="AE42" t="e">
        <f>AND(#REF!,"AAAAAH2+uR4=")</f>
        <v>#REF!</v>
      </c>
      <c r="AF42" t="e">
        <f>AND(#REF!,"AAAAAH2+uR8=")</f>
        <v>#REF!</v>
      </c>
      <c r="AG42" t="e">
        <f>AND(#REF!,"AAAAAH2+uSA=")</f>
        <v>#REF!</v>
      </c>
      <c r="AH42" t="e">
        <f>AND(#REF!,"AAAAAH2+uSE=")</f>
        <v>#REF!</v>
      </c>
      <c r="AI42" t="e">
        <f>AND(#REF!,"AAAAAH2+uSI=")</f>
        <v>#REF!</v>
      </c>
      <c r="AJ42" t="e">
        <f>AND(#REF!,"AAAAAH2+uSM=")</f>
        <v>#REF!</v>
      </c>
      <c r="AK42" t="e">
        <f>AND(#REF!,"AAAAAH2+uSQ=")</f>
        <v>#REF!</v>
      </c>
      <c r="AL42" t="e">
        <f>IF(#REF!,"AAAAAH2+uSU=",0)</f>
        <v>#REF!</v>
      </c>
      <c r="AM42" t="e">
        <f>AND(#REF!,"AAAAAH2+uSY=")</f>
        <v>#REF!</v>
      </c>
      <c r="AN42" t="e">
        <f>AND(#REF!,"AAAAAH2+uSc=")</f>
        <v>#REF!</v>
      </c>
      <c r="AO42" t="e">
        <f>AND(#REF!,"AAAAAH2+uSg=")</f>
        <v>#REF!</v>
      </c>
      <c r="AP42" t="e">
        <f>AND(#REF!,"AAAAAH2+uSk=")</f>
        <v>#REF!</v>
      </c>
      <c r="AQ42" t="e">
        <f>AND(#REF!,"AAAAAH2+uSo=")</f>
        <v>#REF!</v>
      </c>
      <c r="AR42" t="e">
        <f>AND(#REF!,"AAAAAH2+uSs=")</f>
        <v>#REF!</v>
      </c>
      <c r="AS42" t="e">
        <f>AND(#REF!,"AAAAAH2+uSw=")</f>
        <v>#REF!</v>
      </c>
      <c r="AT42" t="e">
        <f>AND(#REF!,"AAAAAH2+uS0=")</f>
        <v>#REF!</v>
      </c>
      <c r="AU42" t="e">
        <f>AND(#REF!,"AAAAAH2+uS4=")</f>
        <v>#REF!</v>
      </c>
      <c r="AV42" t="e">
        <f>IF(#REF!,"AAAAAH2+uS8=",0)</f>
        <v>#REF!</v>
      </c>
      <c r="AW42" t="e">
        <f>AND(#REF!,"AAAAAH2+uTA=")</f>
        <v>#REF!</v>
      </c>
      <c r="AX42" t="e">
        <f>AND(#REF!,"AAAAAH2+uTE=")</f>
        <v>#REF!</v>
      </c>
      <c r="AY42" t="e">
        <f>AND(#REF!,"AAAAAH2+uTI=")</f>
        <v>#REF!</v>
      </c>
      <c r="AZ42" t="e">
        <f>AND(#REF!,"AAAAAH2+uTM=")</f>
        <v>#REF!</v>
      </c>
      <c r="BA42" t="e">
        <f>AND(#REF!,"AAAAAH2+uTQ=")</f>
        <v>#REF!</v>
      </c>
      <c r="BB42" t="e">
        <f>AND(#REF!,"AAAAAH2+uTU=")</f>
        <v>#REF!</v>
      </c>
      <c r="BC42" t="e">
        <f>AND(#REF!,"AAAAAH2+uTY=")</f>
        <v>#REF!</v>
      </c>
      <c r="BD42" t="e">
        <f>AND(#REF!,"AAAAAH2+uTc=")</f>
        <v>#REF!</v>
      </c>
      <c r="BE42" t="e">
        <f>AND(#REF!,"AAAAAH2+uTg=")</f>
        <v>#REF!</v>
      </c>
      <c r="BF42" t="e">
        <f>IF(#REF!,"AAAAAH2+uTk=",0)</f>
        <v>#REF!</v>
      </c>
      <c r="BG42" t="e">
        <f>AND(#REF!,"AAAAAH2+uTo=")</f>
        <v>#REF!</v>
      </c>
      <c r="BH42" t="e">
        <f>AND(#REF!,"AAAAAH2+uTs=")</f>
        <v>#REF!</v>
      </c>
      <c r="BI42" t="e">
        <f>AND(#REF!,"AAAAAH2+uTw=")</f>
        <v>#REF!</v>
      </c>
      <c r="BJ42" t="e">
        <f>AND(#REF!,"AAAAAH2+uT0=")</f>
        <v>#REF!</v>
      </c>
      <c r="BK42" t="e">
        <f>AND(#REF!,"AAAAAH2+uT4=")</f>
        <v>#REF!</v>
      </c>
      <c r="BL42" t="e">
        <f>AND(#REF!,"AAAAAH2+uT8=")</f>
        <v>#REF!</v>
      </c>
      <c r="BM42" t="e">
        <f>AND(#REF!,"AAAAAH2+uUA=")</f>
        <v>#REF!</v>
      </c>
      <c r="BN42" t="e">
        <f>AND(#REF!,"AAAAAH2+uUE=")</f>
        <v>#REF!</v>
      </c>
      <c r="BO42" t="e">
        <f>AND(#REF!,"AAAAAH2+uUI=")</f>
        <v>#REF!</v>
      </c>
      <c r="BP42" t="e">
        <f>IF(#REF!,"AAAAAH2+uUM=",0)</f>
        <v>#REF!</v>
      </c>
      <c r="BQ42" t="e">
        <f>AND(#REF!,"AAAAAH2+uUQ=")</f>
        <v>#REF!</v>
      </c>
      <c r="BR42" t="e">
        <f>AND(#REF!,"AAAAAH2+uUU=")</f>
        <v>#REF!</v>
      </c>
      <c r="BS42" t="e">
        <f>AND(#REF!,"AAAAAH2+uUY=")</f>
        <v>#REF!</v>
      </c>
      <c r="BT42" t="e">
        <f>AND(#REF!,"AAAAAH2+uUc=")</f>
        <v>#REF!</v>
      </c>
      <c r="BU42" t="e">
        <f>AND(#REF!,"AAAAAH2+uUg=")</f>
        <v>#REF!</v>
      </c>
      <c r="BV42" t="e">
        <f>AND(#REF!,"AAAAAH2+uUk=")</f>
        <v>#REF!</v>
      </c>
      <c r="BW42" t="e">
        <f>AND(#REF!,"AAAAAH2+uUo=")</f>
        <v>#REF!</v>
      </c>
      <c r="BX42" t="e">
        <f>AND(#REF!,"AAAAAH2+uUs=")</f>
        <v>#REF!</v>
      </c>
      <c r="BY42" t="e">
        <f>AND(#REF!,"AAAAAH2+uUw=")</f>
        <v>#REF!</v>
      </c>
      <c r="BZ42" t="e">
        <f>IF(#REF!,"AAAAAH2+uU0=",0)</f>
        <v>#REF!</v>
      </c>
      <c r="CA42" t="e">
        <f>AND(#REF!,"AAAAAH2+uU4=")</f>
        <v>#REF!</v>
      </c>
      <c r="CB42" t="e">
        <f>AND(#REF!,"AAAAAH2+uU8=")</f>
        <v>#REF!</v>
      </c>
      <c r="CC42" t="e">
        <f>AND(#REF!,"AAAAAH2+uVA=")</f>
        <v>#REF!</v>
      </c>
      <c r="CD42" t="e">
        <f>AND(#REF!,"AAAAAH2+uVE=")</f>
        <v>#REF!</v>
      </c>
      <c r="CE42" t="e">
        <f>AND(#REF!,"AAAAAH2+uVI=")</f>
        <v>#REF!</v>
      </c>
      <c r="CF42" t="e">
        <f>AND(#REF!,"AAAAAH2+uVM=")</f>
        <v>#REF!</v>
      </c>
      <c r="CG42" t="e">
        <f>AND(#REF!,"AAAAAH2+uVQ=")</f>
        <v>#REF!</v>
      </c>
      <c r="CH42" t="e">
        <f>AND(#REF!,"AAAAAH2+uVU=")</f>
        <v>#REF!</v>
      </c>
      <c r="CI42" t="e">
        <f>AND(#REF!,"AAAAAH2+uVY=")</f>
        <v>#REF!</v>
      </c>
      <c r="CJ42" t="e">
        <f>IF(#REF!,"AAAAAH2+uVc=",0)</f>
        <v>#REF!</v>
      </c>
      <c r="CK42" t="e">
        <f>AND(#REF!,"AAAAAH2+uVg=")</f>
        <v>#REF!</v>
      </c>
      <c r="CL42" t="e">
        <f>AND(#REF!,"AAAAAH2+uVk=")</f>
        <v>#REF!</v>
      </c>
      <c r="CM42" t="e">
        <f>AND(#REF!,"AAAAAH2+uVo=")</f>
        <v>#REF!</v>
      </c>
      <c r="CN42" t="e">
        <f>AND(#REF!,"AAAAAH2+uVs=")</f>
        <v>#REF!</v>
      </c>
      <c r="CO42" t="e">
        <f>AND(#REF!,"AAAAAH2+uVw=")</f>
        <v>#REF!</v>
      </c>
      <c r="CP42" t="e">
        <f>AND(#REF!,"AAAAAH2+uV0=")</f>
        <v>#REF!</v>
      </c>
      <c r="CQ42" t="e">
        <f>AND(#REF!,"AAAAAH2+uV4=")</f>
        <v>#REF!</v>
      </c>
      <c r="CR42" t="e">
        <f>AND(#REF!,"AAAAAH2+uV8=")</f>
        <v>#REF!</v>
      </c>
      <c r="CS42" t="e">
        <f>AND(#REF!,"AAAAAH2+uWA=")</f>
        <v>#REF!</v>
      </c>
      <c r="CT42" t="e">
        <f>IF(#REF!,"AAAAAH2+uWE=",0)</f>
        <v>#REF!</v>
      </c>
      <c r="CU42" t="e">
        <f>AND(#REF!,"AAAAAH2+uWI=")</f>
        <v>#REF!</v>
      </c>
      <c r="CV42" t="e">
        <f>AND(#REF!,"AAAAAH2+uWM=")</f>
        <v>#REF!</v>
      </c>
      <c r="CW42" t="e">
        <f>AND(#REF!,"AAAAAH2+uWQ=")</f>
        <v>#REF!</v>
      </c>
      <c r="CX42" t="e">
        <f>AND(#REF!,"AAAAAH2+uWU=")</f>
        <v>#REF!</v>
      </c>
      <c r="CY42" t="e">
        <f>AND(#REF!,"AAAAAH2+uWY=")</f>
        <v>#REF!</v>
      </c>
      <c r="CZ42" t="e">
        <f>AND(#REF!,"AAAAAH2+uWc=")</f>
        <v>#REF!</v>
      </c>
      <c r="DA42" t="e">
        <f>AND(#REF!,"AAAAAH2+uWg=")</f>
        <v>#REF!</v>
      </c>
      <c r="DB42" t="e">
        <f>AND(#REF!,"AAAAAH2+uWk=")</f>
        <v>#REF!</v>
      </c>
      <c r="DC42" t="e">
        <f>AND(#REF!,"AAAAAH2+uWo=")</f>
        <v>#REF!</v>
      </c>
      <c r="DD42" t="e">
        <f>IF(#REF!,"AAAAAH2+uWs=",0)</f>
        <v>#REF!</v>
      </c>
      <c r="DE42" t="e">
        <f>AND(#REF!,"AAAAAH2+uWw=")</f>
        <v>#REF!</v>
      </c>
      <c r="DF42" t="e">
        <f>AND(#REF!,"AAAAAH2+uW0=")</f>
        <v>#REF!</v>
      </c>
      <c r="DG42" t="e">
        <f>AND(#REF!,"AAAAAH2+uW4=")</f>
        <v>#REF!</v>
      </c>
      <c r="DH42" t="e">
        <f>AND(#REF!,"AAAAAH2+uW8=")</f>
        <v>#REF!</v>
      </c>
      <c r="DI42" t="e">
        <f>AND(#REF!,"AAAAAH2+uXA=")</f>
        <v>#REF!</v>
      </c>
      <c r="DJ42" t="e">
        <f>AND(#REF!,"AAAAAH2+uXE=")</f>
        <v>#REF!</v>
      </c>
      <c r="DK42" t="e">
        <f>AND(#REF!,"AAAAAH2+uXI=")</f>
        <v>#REF!</v>
      </c>
      <c r="DL42" t="e">
        <f>AND(#REF!,"AAAAAH2+uXM=")</f>
        <v>#REF!</v>
      </c>
      <c r="DM42" t="e">
        <f>AND(#REF!,"AAAAAH2+uXQ=")</f>
        <v>#REF!</v>
      </c>
      <c r="DN42" t="e">
        <f>IF(#REF!,"AAAAAH2+uXU=",0)</f>
        <v>#REF!</v>
      </c>
      <c r="DO42" t="e">
        <f>AND(#REF!,"AAAAAH2+uXY=")</f>
        <v>#REF!</v>
      </c>
      <c r="DP42" t="e">
        <f>AND(#REF!,"AAAAAH2+uXc=")</f>
        <v>#REF!</v>
      </c>
      <c r="DQ42" t="e">
        <f>AND(#REF!,"AAAAAH2+uXg=")</f>
        <v>#REF!</v>
      </c>
      <c r="DR42" t="e">
        <f>AND(#REF!,"AAAAAH2+uXk=")</f>
        <v>#REF!</v>
      </c>
      <c r="DS42" t="e">
        <f>AND(#REF!,"AAAAAH2+uXo=")</f>
        <v>#REF!</v>
      </c>
      <c r="DT42" t="e">
        <f>AND(#REF!,"AAAAAH2+uXs=")</f>
        <v>#REF!</v>
      </c>
      <c r="DU42" t="e">
        <f>AND(#REF!,"AAAAAH2+uXw=")</f>
        <v>#REF!</v>
      </c>
      <c r="DV42" t="e">
        <f>AND(#REF!,"AAAAAH2+uX0=")</f>
        <v>#REF!</v>
      </c>
      <c r="DW42" t="e">
        <f>AND(#REF!,"AAAAAH2+uX4=")</f>
        <v>#REF!</v>
      </c>
      <c r="DX42" t="e">
        <f>IF(#REF!,"AAAAAH2+uX8=",0)</f>
        <v>#REF!</v>
      </c>
      <c r="DY42" t="e">
        <f>AND(#REF!,"AAAAAH2+uYA=")</f>
        <v>#REF!</v>
      </c>
      <c r="DZ42" t="e">
        <f>AND(#REF!,"AAAAAH2+uYE=")</f>
        <v>#REF!</v>
      </c>
      <c r="EA42" t="e">
        <f>AND(#REF!,"AAAAAH2+uYI=")</f>
        <v>#REF!</v>
      </c>
      <c r="EB42" t="e">
        <f>AND(#REF!,"AAAAAH2+uYM=")</f>
        <v>#REF!</v>
      </c>
      <c r="EC42" t="e">
        <f>AND(#REF!,"AAAAAH2+uYQ=")</f>
        <v>#REF!</v>
      </c>
      <c r="ED42" t="e">
        <f>AND(#REF!,"AAAAAH2+uYU=")</f>
        <v>#REF!</v>
      </c>
      <c r="EE42" t="e">
        <f>AND(#REF!,"AAAAAH2+uYY=")</f>
        <v>#REF!</v>
      </c>
      <c r="EF42" t="e">
        <f>AND(#REF!,"AAAAAH2+uYc=")</f>
        <v>#REF!</v>
      </c>
      <c r="EG42" t="e">
        <f>AND(#REF!,"AAAAAH2+uYg=")</f>
        <v>#REF!</v>
      </c>
      <c r="EH42" t="e">
        <f>IF(#REF!,"AAAAAH2+uYk=",0)</f>
        <v>#REF!</v>
      </c>
      <c r="EI42" t="e">
        <f>AND(#REF!,"AAAAAH2+uYo=")</f>
        <v>#REF!</v>
      </c>
      <c r="EJ42" t="e">
        <f>AND(#REF!,"AAAAAH2+uYs=")</f>
        <v>#REF!</v>
      </c>
      <c r="EK42" t="e">
        <f>AND(#REF!,"AAAAAH2+uYw=")</f>
        <v>#REF!</v>
      </c>
      <c r="EL42" t="e">
        <f>AND(#REF!,"AAAAAH2+uY0=")</f>
        <v>#REF!</v>
      </c>
      <c r="EM42" t="e">
        <f>AND(#REF!,"AAAAAH2+uY4=")</f>
        <v>#REF!</v>
      </c>
      <c r="EN42" t="e">
        <f>AND(#REF!,"AAAAAH2+uY8=")</f>
        <v>#REF!</v>
      </c>
      <c r="EO42" t="e">
        <f>AND(#REF!,"AAAAAH2+uZA=")</f>
        <v>#REF!</v>
      </c>
      <c r="EP42" t="e">
        <f>AND(#REF!,"AAAAAH2+uZE=")</f>
        <v>#REF!</v>
      </c>
      <c r="EQ42" t="e">
        <f>AND(#REF!,"AAAAAH2+uZI=")</f>
        <v>#REF!</v>
      </c>
      <c r="ER42" t="e">
        <f>IF(#REF!,"AAAAAH2+uZM=",0)</f>
        <v>#REF!</v>
      </c>
      <c r="ES42" t="e">
        <f>AND(#REF!,"AAAAAH2+uZQ=")</f>
        <v>#REF!</v>
      </c>
      <c r="ET42" t="e">
        <f>AND(#REF!,"AAAAAH2+uZU=")</f>
        <v>#REF!</v>
      </c>
      <c r="EU42" t="e">
        <f>AND(#REF!,"AAAAAH2+uZY=")</f>
        <v>#REF!</v>
      </c>
      <c r="EV42" t="e">
        <f>AND(#REF!,"AAAAAH2+uZc=")</f>
        <v>#REF!</v>
      </c>
      <c r="EW42" t="e">
        <f>AND(#REF!,"AAAAAH2+uZg=")</f>
        <v>#REF!</v>
      </c>
      <c r="EX42" t="e">
        <f>AND(#REF!,"AAAAAH2+uZk=")</f>
        <v>#REF!</v>
      </c>
      <c r="EY42" t="e">
        <f>AND(#REF!,"AAAAAH2+uZo=")</f>
        <v>#REF!</v>
      </c>
      <c r="EZ42" t="e">
        <f>AND(#REF!,"AAAAAH2+uZs=")</f>
        <v>#REF!</v>
      </c>
      <c r="FA42" t="e">
        <f>AND(#REF!,"AAAAAH2+uZw=")</f>
        <v>#REF!</v>
      </c>
      <c r="FB42" t="e">
        <f>IF(#REF!,"AAAAAH2+uZ0=",0)</f>
        <v>#REF!</v>
      </c>
      <c r="FC42" t="e">
        <f>AND(#REF!,"AAAAAH2+uZ4=")</f>
        <v>#REF!</v>
      </c>
      <c r="FD42" t="e">
        <f>AND(#REF!,"AAAAAH2+uZ8=")</f>
        <v>#REF!</v>
      </c>
      <c r="FE42" t="e">
        <f>AND(#REF!,"AAAAAH2+uaA=")</f>
        <v>#REF!</v>
      </c>
      <c r="FF42" t="e">
        <f>AND(#REF!,"AAAAAH2+uaE=")</f>
        <v>#REF!</v>
      </c>
      <c r="FG42" t="e">
        <f>AND(#REF!,"AAAAAH2+uaI=")</f>
        <v>#REF!</v>
      </c>
      <c r="FH42" t="e">
        <f>AND(#REF!,"AAAAAH2+uaM=")</f>
        <v>#REF!</v>
      </c>
      <c r="FI42" t="e">
        <f>AND(#REF!,"AAAAAH2+uaQ=")</f>
        <v>#REF!</v>
      </c>
      <c r="FJ42" t="e">
        <f>AND(#REF!,"AAAAAH2+uaU=")</f>
        <v>#REF!</v>
      </c>
      <c r="FK42" t="e">
        <f>AND(#REF!,"AAAAAH2+uaY=")</f>
        <v>#REF!</v>
      </c>
      <c r="FL42" t="e">
        <f>IF(#REF!,"AAAAAH2+uac=",0)</f>
        <v>#REF!</v>
      </c>
      <c r="FM42" t="e">
        <f>AND(#REF!,"AAAAAH2+uag=")</f>
        <v>#REF!</v>
      </c>
      <c r="FN42" t="e">
        <f>AND(#REF!,"AAAAAH2+uak=")</f>
        <v>#REF!</v>
      </c>
      <c r="FO42" t="e">
        <f>AND(#REF!,"AAAAAH2+uao=")</f>
        <v>#REF!</v>
      </c>
      <c r="FP42" t="e">
        <f>AND(#REF!,"AAAAAH2+uas=")</f>
        <v>#REF!</v>
      </c>
      <c r="FQ42" t="e">
        <f>AND(#REF!,"AAAAAH2+uaw=")</f>
        <v>#REF!</v>
      </c>
      <c r="FR42" t="e">
        <f>AND(#REF!,"AAAAAH2+ua0=")</f>
        <v>#REF!</v>
      </c>
      <c r="FS42" t="e">
        <f>AND(#REF!,"AAAAAH2+ua4=")</f>
        <v>#REF!</v>
      </c>
      <c r="FT42" t="e">
        <f>AND(#REF!,"AAAAAH2+ua8=")</f>
        <v>#REF!</v>
      </c>
      <c r="FU42" t="e">
        <f>AND(#REF!,"AAAAAH2+ubA=")</f>
        <v>#REF!</v>
      </c>
      <c r="FV42" t="e">
        <f>IF(#REF!,"AAAAAH2+ubE=",0)</f>
        <v>#REF!</v>
      </c>
      <c r="FW42" t="e">
        <f>AND(#REF!,"AAAAAH2+ubI=")</f>
        <v>#REF!</v>
      </c>
      <c r="FX42" t="e">
        <f>AND(#REF!,"AAAAAH2+ubM=")</f>
        <v>#REF!</v>
      </c>
      <c r="FY42" t="e">
        <f>AND(#REF!,"AAAAAH2+ubQ=")</f>
        <v>#REF!</v>
      </c>
      <c r="FZ42" t="e">
        <f>AND(#REF!,"AAAAAH2+ubU=")</f>
        <v>#REF!</v>
      </c>
      <c r="GA42" t="e">
        <f>AND(#REF!,"AAAAAH2+ubY=")</f>
        <v>#REF!</v>
      </c>
      <c r="GB42" t="e">
        <f>AND(#REF!,"AAAAAH2+ubc=")</f>
        <v>#REF!</v>
      </c>
      <c r="GC42" t="e">
        <f>AND(#REF!,"AAAAAH2+ubg=")</f>
        <v>#REF!</v>
      </c>
      <c r="GD42" t="e">
        <f>AND(#REF!,"AAAAAH2+ubk=")</f>
        <v>#REF!</v>
      </c>
      <c r="GE42" t="e">
        <f>AND(#REF!,"AAAAAH2+ubo=")</f>
        <v>#REF!</v>
      </c>
      <c r="GF42" t="e">
        <f>IF(#REF!,"AAAAAH2+ubs=",0)</f>
        <v>#REF!</v>
      </c>
      <c r="GG42" t="e">
        <f>AND(#REF!,"AAAAAH2+ubw=")</f>
        <v>#REF!</v>
      </c>
      <c r="GH42" t="e">
        <f>AND(#REF!,"AAAAAH2+ub0=")</f>
        <v>#REF!</v>
      </c>
      <c r="GI42" t="e">
        <f>AND(#REF!,"AAAAAH2+ub4=")</f>
        <v>#REF!</v>
      </c>
      <c r="GJ42" t="e">
        <f>AND(#REF!,"AAAAAH2+ub8=")</f>
        <v>#REF!</v>
      </c>
      <c r="GK42" t="e">
        <f>AND(#REF!,"AAAAAH2+ucA=")</f>
        <v>#REF!</v>
      </c>
      <c r="GL42" t="e">
        <f>AND(#REF!,"AAAAAH2+ucE=")</f>
        <v>#REF!</v>
      </c>
      <c r="GM42" t="e">
        <f>AND(#REF!,"AAAAAH2+ucI=")</f>
        <v>#REF!</v>
      </c>
      <c r="GN42" t="e">
        <f>AND(#REF!,"AAAAAH2+ucM=")</f>
        <v>#REF!</v>
      </c>
      <c r="GO42" t="e">
        <f>AND(#REF!,"AAAAAH2+ucQ=")</f>
        <v>#REF!</v>
      </c>
      <c r="GP42" t="e">
        <f>IF(#REF!,"AAAAAH2+ucU=",0)</f>
        <v>#REF!</v>
      </c>
      <c r="GQ42" t="e">
        <f>AND(#REF!,"AAAAAH2+ucY=")</f>
        <v>#REF!</v>
      </c>
      <c r="GR42" t="e">
        <f>AND(#REF!,"AAAAAH2+ucc=")</f>
        <v>#REF!</v>
      </c>
      <c r="GS42" t="e">
        <f>AND(#REF!,"AAAAAH2+ucg=")</f>
        <v>#REF!</v>
      </c>
      <c r="GT42" t="e">
        <f>AND(#REF!,"AAAAAH2+uck=")</f>
        <v>#REF!</v>
      </c>
      <c r="GU42" t="e">
        <f>AND(#REF!,"AAAAAH2+uco=")</f>
        <v>#REF!</v>
      </c>
      <c r="GV42" t="e">
        <f>AND(#REF!,"AAAAAH2+ucs=")</f>
        <v>#REF!</v>
      </c>
      <c r="GW42" t="e">
        <f>AND(#REF!,"AAAAAH2+ucw=")</f>
        <v>#REF!</v>
      </c>
      <c r="GX42" t="e">
        <f>AND(#REF!,"AAAAAH2+uc0=")</f>
        <v>#REF!</v>
      </c>
      <c r="GY42" t="e">
        <f>AND(#REF!,"AAAAAH2+uc4=")</f>
        <v>#REF!</v>
      </c>
      <c r="GZ42" t="e">
        <f>IF(#REF!,"AAAAAH2+uc8=",0)</f>
        <v>#REF!</v>
      </c>
      <c r="HA42" t="e">
        <f>AND(#REF!,"AAAAAH2+udA=")</f>
        <v>#REF!</v>
      </c>
      <c r="HB42" t="e">
        <f>AND(#REF!,"AAAAAH2+udE=")</f>
        <v>#REF!</v>
      </c>
      <c r="HC42" t="e">
        <f>AND(#REF!,"AAAAAH2+udI=")</f>
        <v>#REF!</v>
      </c>
      <c r="HD42" t="e">
        <f>AND(#REF!,"AAAAAH2+udM=")</f>
        <v>#REF!</v>
      </c>
      <c r="HE42" t="e">
        <f>AND(#REF!,"AAAAAH2+udQ=")</f>
        <v>#REF!</v>
      </c>
      <c r="HF42" t="e">
        <f>AND(#REF!,"AAAAAH2+udU=")</f>
        <v>#REF!</v>
      </c>
      <c r="HG42" t="e">
        <f>AND(#REF!,"AAAAAH2+udY=")</f>
        <v>#REF!</v>
      </c>
      <c r="HH42" t="e">
        <f>AND(#REF!,"AAAAAH2+udc=")</f>
        <v>#REF!</v>
      </c>
      <c r="HI42" t="e">
        <f>AND(#REF!,"AAAAAH2+udg=")</f>
        <v>#REF!</v>
      </c>
      <c r="HJ42" t="e">
        <f>IF(#REF!,"AAAAAH2+udk=",0)</f>
        <v>#REF!</v>
      </c>
      <c r="HK42" t="e">
        <f>AND(#REF!,"AAAAAH2+udo=")</f>
        <v>#REF!</v>
      </c>
      <c r="HL42" t="e">
        <f>AND(#REF!,"AAAAAH2+uds=")</f>
        <v>#REF!</v>
      </c>
      <c r="HM42" t="e">
        <f>AND(#REF!,"AAAAAH2+udw=")</f>
        <v>#REF!</v>
      </c>
      <c r="HN42" t="e">
        <f>AND(#REF!,"AAAAAH2+ud0=")</f>
        <v>#REF!</v>
      </c>
      <c r="HO42" t="e">
        <f>AND(#REF!,"AAAAAH2+ud4=")</f>
        <v>#REF!</v>
      </c>
      <c r="HP42" t="e">
        <f>AND(#REF!,"AAAAAH2+ud8=")</f>
        <v>#REF!</v>
      </c>
      <c r="HQ42" t="e">
        <f>AND(#REF!,"AAAAAH2+ueA=")</f>
        <v>#REF!</v>
      </c>
      <c r="HR42" t="e">
        <f>AND(#REF!,"AAAAAH2+ueE=")</f>
        <v>#REF!</v>
      </c>
      <c r="HS42" t="e">
        <f>AND(#REF!,"AAAAAH2+ueI=")</f>
        <v>#REF!</v>
      </c>
      <c r="HT42" t="e">
        <f>IF(#REF!,"AAAAAH2+ueM=",0)</f>
        <v>#REF!</v>
      </c>
      <c r="HU42" t="e">
        <f>AND(#REF!,"AAAAAH2+ueQ=")</f>
        <v>#REF!</v>
      </c>
      <c r="HV42" t="e">
        <f>AND(#REF!,"AAAAAH2+ueU=")</f>
        <v>#REF!</v>
      </c>
      <c r="HW42" t="e">
        <f>AND(#REF!,"AAAAAH2+ueY=")</f>
        <v>#REF!</v>
      </c>
      <c r="HX42" t="e">
        <f>AND(#REF!,"AAAAAH2+uec=")</f>
        <v>#REF!</v>
      </c>
      <c r="HY42" t="e">
        <f>AND(#REF!,"AAAAAH2+ueg=")</f>
        <v>#REF!</v>
      </c>
      <c r="HZ42" t="e">
        <f>AND(#REF!,"AAAAAH2+uek=")</f>
        <v>#REF!</v>
      </c>
      <c r="IA42" t="e">
        <f>AND(#REF!,"AAAAAH2+ueo=")</f>
        <v>#REF!</v>
      </c>
      <c r="IB42" t="e">
        <f>AND(#REF!,"AAAAAH2+ues=")</f>
        <v>#REF!</v>
      </c>
      <c r="IC42" t="e">
        <f>AND(#REF!,"AAAAAH2+uew=")</f>
        <v>#REF!</v>
      </c>
      <c r="ID42" t="e">
        <f>IF(#REF!,"AAAAAH2+ue0=",0)</f>
        <v>#REF!</v>
      </c>
      <c r="IE42" t="e">
        <f>AND(#REF!,"AAAAAH2+ue4=")</f>
        <v>#REF!</v>
      </c>
      <c r="IF42" t="e">
        <f>AND(#REF!,"AAAAAH2+ue8=")</f>
        <v>#REF!</v>
      </c>
      <c r="IG42" t="e">
        <f>AND(#REF!,"AAAAAH2+ufA=")</f>
        <v>#REF!</v>
      </c>
      <c r="IH42" t="e">
        <f>AND(#REF!,"AAAAAH2+ufE=")</f>
        <v>#REF!</v>
      </c>
      <c r="II42" t="e">
        <f>AND(#REF!,"AAAAAH2+ufI=")</f>
        <v>#REF!</v>
      </c>
      <c r="IJ42" t="e">
        <f>AND(#REF!,"AAAAAH2+ufM=")</f>
        <v>#REF!</v>
      </c>
      <c r="IK42" t="e">
        <f>AND(#REF!,"AAAAAH2+ufQ=")</f>
        <v>#REF!</v>
      </c>
      <c r="IL42" t="e">
        <f>AND(#REF!,"AAAAAH2+ufU=")</f>
        <v>#REF!</v>
      </c>
      <c r="IM42" t="e">
        <f>AND(#REF!,"AAAAAH2+ufY=")</f>
        <v>#REF!</v>
      </c>
      <c r="IN42" t="e">
        <f>IF(#REF!,"AAAAAH2+ufc=",0)</f>
        <v>#REF!</v>
      </c>
      <c r="IO42" t="e">
        <f>AND(#REF!,"AAAAAH2+ufg=")</f>
        <v>#REF!</v>
      </c>
      <c r="IP42" t="e">
        <f>AND(#REF!,"AAAAAH2+ufk=")</f>
        <v>#REF!</v>
      </c>
      <c r="IQ42" t="e">
        <f>AND(#REF!,"AAAAAH2+ufo=")</f>
        <v>#REF!</v>
      </c>
      <c r="IR42" t="e">
        <f>AND(#REF!,"AAAAAH2+ufs=")</f>
        <v>#REF!</v>
      </c>
      <c r="IS42" t="e">
        <f>AND(#REF!,"AAAAAH2+ufw=")</f>
        <v>#REF!</v>
      </c>
      <c r="IT42" t="e">
        <f>AND(#REF!,"AAAAAH2+uf0=")</f>
        <v>#REF!</v>
      </c>
      <c r="IU42" t="e">
        <f>AND(#REF!,"AAAAAH2+uf4=")</f>
        <v>#REF!</v>
      </c>
      <c r="IV42" t="e">
        <f>AND(#REF!,"AAAAAH2+uf8=")</f>
        <v>#REF!</v>
      </c>
    </row>
    <row r="43" spans="1:256">
      <c r="A43" t="e">
        <f>AND(#REF!,"AAAAAHWTswA=")</f>
        <v>#REF!</v>
      </c>
      <c r="B43" t="e">
        <f>IF(#REF!,"AAAAAHWTswE=",0)</f>
        <v>#REF!</v>
      </c>
      <c r="C43" t="e">
        <f>AND(#REF!,"AAAAAHWTswI=")</f>
        <v>#REF!</v>
      </c>
      <c r="D43" t="e">
        <f>AND(#REF!,"AAAAAHWTswM=")</f>
        <v>#REF!</v>
      </c>
      <c r="E43" t="e">
        <f>AND(#REF!,"AAAAAHWTswQ=")</f>
        <v>#REF!</v>
      </c>
      <c r="F43" t="e">
        <f>AND(#REF!,"AAAAAHWTswU=")</f>
        <v>#REF!</v>
      </c>
      <c r="G43" t="e">
        <f>AND(#REF!,"AAAAAHWTswY=")</f>
        <v>#REF!</v>
      </c>
      <c r="H43" t="e">
        <f>AND(#REF!,"AAAAAHWTswc=")</f>
        <v>#REF!</v>
      </c>
      <c r="I43" t="e">
        <f>AND(#REF!,"AAAAAHWTswg=")</f>
        <v>#REF!</v>
      </c>
      <c r="J43" t="e">
        <f>AND(#REF!,"AAAAAHWTswk=")</f>
        <v>#REF!</v>
      </c>
      <c r="K43" t="e">
        <f>AND(#REF!,"AAAAAHWTswo=")</f>
        <v>#REF!</v>
      </c>
      <c r="L43" t="e">
        <f>IF(#REF!,"AAAAAHWTsws=",0)</f>
        <v>#REF!</v>
      </c>
      <c r="M43" t="e">
        <f>AND(#REF!,"AAAAAHWTsww=")</f>
        <v>#REF!</v>
      </c>
      <c r="N43" t="e">
        <f>AND(#REF!,"AAAAAHWTsw0=")</f>
        <v>#REF!</v>
      </c>
      <c r="O43" t="e">
        <f>AND(#REF!,"AAAAAHWTsw4=")</f>
        <v>#REF!</v>
      </c>
      <c r="P43" t="e">
        <f>AND(#REF!,"AAAAAHWTsw8=")</f>
        <v>#REF!</v>
      </c>
      <c r="Q43" t="e">
        <f>AND(#REF!,"AAAAAHWTsxA=")</f>
        <v>#REF!</v>
      </c>
      <c r="R43" t="e">
        <f>AND(#REF!,"AAAAAHWTsxE=")</f>
        <v>#REF!</v>
      </c>
      <c r="S43" t="e">
        <f>AND(#REF!,"AAAAAHWTsxI=")</f>
        <v>#REF!</v>
      </c>
      <c r="T43" t="e">
        <f>AND(#REF!,"AAAAAHWTsxM=")</f>
        <v>#REF!</v>
      </c>
      <c r="U43" t="e">
        <f>AND(#REF!,"AAAAAHWTsxQ=")</f>
        <v>#REF!</v>
      </c>
      <c r="V43" t="e">
        <f>IF(#REF!,"AAAAAHWTsxU=",0)</f>
        <v>#REF!</v>
      </c>
      <c r="W43" t="e">
        <f>AND(#REF!,"AAAAAHWTsxY=")</f>
        <v>#REF!</v>
      </c>
      <c r="X43" t="e">
        <f>AND(#REF!,"AAAAAHWTsxc=")</f>
        <v>#REF!</v>
      </c>
      <c r="Y43" t="e">
        <f>AND(#REF!,"AAAAAHWTsxg=")</f>
        <v>#REF!</v>
      </c>
      <c r="Z43" t="e">
        <f>AND(#REF!,"AAAAAHWTsxk=")</f>
        <v>#REF!</v>
      </c>
      <c r="AA43" t="e">
        <f>AND(#REF!,"AAAAAHWTsxo=")</f>
        <v>#REF!</v>
      </c>
      <c r="AB43" t="e">
        <f>AND(#REF!,"AAAAAHWTsxs=")</f>
        <v>#REF!</v>
      </c>
      <c r="AC43" t="e">
        <f>AND(#REF!,"AAAAAHWTsxw=")</f>
        <v>#REF!</v>
      </c>
      <c r="AD43" t="e">
        <f>AND(#REF!,"AAAAAHWTsx0=")</f>
        <v>#REF!</v>
      </c>
      <c r="AE43" t="e">
        <f>AND(#REF!,"AAAAAHWTsx4=")</f>
        <v>#REF!</v>
      </c>
      <c r="AF43" t="e">
        <f>IF(#REF!,"AAAAAHWTsx8=",0)</f>
        <v>#REF!</v>
      </c>
      <c r="AG43" t="e">
        <f>AND(#REF!,"AAAAAHWTsyA=")</f>
        <v>#REF!</v>
      </c>
      <c r="AH43" t="e">
        <f>AND(#REF!,"AAAAAHWTsyE=")</f>
        <v>#REF!</v>
      </c>
      <c r="AI43" t="e">
        <f>AND(#REF!,"AAAAAHWTsyI=")</f>
        <v>#REF!</v>
      </c>
      <c r="AJ43" t="e">
        <f>AND(#REF!,"AAAAAHWTsyM=")</f>
        <v>#REF!</v>
      </c>
      <c r="AK43" t="e">
        <f>AND(#REF!,"AAAAAHWTsyQ=")</f>
        <v>#REF!</v>
      </c>
      <c r="AL43" t="e">
        <f>AND(#REF!,"AAAAAHWTsyU=")</f>
        <v>#REF!</v>
      </c>
      <c r="AM43" t="e">
        <f>AND(#REF!,"AAAAAHWTsyY=")</f>
        <v>#REF!</v>
      </c>
      <c r="AN43" t="e">
        <f>AND(#REF!,"AAAAAHWTsyc=")</f>
        <v>#REF!</v>
      </c>
      <c r="AO43" t="e">
        <f>AND(#REF!,"AAAAAHWTsyg=")</f>
        <v>#REF!</v>
      </c>
      <c r="AP43" t="e">
        <f>IF(#REF!,"AAAAAHWTsyk=",0)</f>
        <v>#REF!</v>
      </c>
      <c r="AQ43" t="e">
        <f>AND(#REF!,"AAAAAHWTsyo=")</f>
        <v>#REF!</v>
      </c>
      <c r="AR43" t="e">
        <f>AND(#REF!,"AAAAAHWTsys=")</f>
        <v>#REF!</v>
      </c>
      <c r="AS43" t="e">
        <f>AND(#REF!,"AAAAAHWTsyw=")</f>
        <v>#REF!</v>
      </c>
      <c r="AT43" t="e">
        <f>AND(#REF!,"AAAAAHWTsy0=")</f>
        <v>#REF!</v>
      </c>
      <c r="AU43" t="e">
        <f>AND(#REF!,"AAAAAHWTsy4=")</f>
        <v>#REF!</v>
      </c>
      <c r="AV43" t="e">
        <f>AND(#REF!,"AAAAAHWTsy8=")</f>
        <v>#REF!</v>
      </c>
      <c r="AW43" t="e">
        <f>AND(#REF!,"AAAAAHWTszA=")</f>
        <v>#REF!</v>
      </c>
      <c r="AX43" t="e">
        <f>AND(#REF!,"AAAAAHWTszE=")</f>
        <v>#REF!</v>
      </c>
      <c r="AY43" t="e">
        <f>AND(#REF!,"AAAAAHWTszI=")</f>
        <v>#REF!</v>
      </c>
      <c r="AZ43" t="e">
        <f>IF(#REF!,"AAAAAHWTszM=",0)</f>
        <v>#REF!</v>
      </c>
      <c r="BA43" t="e">
        <f>AND(#REF!,"AAAAAHWTszQ=")</f>
        <v>#REF!</v>
      </c>
      <c r="BB43" t="e">
        <f>AND(#REF!,"AAAAAHWTszU=")</f>
        <v>#REF!</v>
      </c>
      <c r="BC43" t="e">
        <f>AND(#REF!,"AAAAAHWTszY=")</f>
        <v>#REF!</v>
      </c>
      <c r="BD43" t="e">
        <f>AND(#REF!,"AAAAAHWTszc=")</f>
        <v>#REF!</v>
      </c>
      <c r="BE43" t="e">
        <f>AND(#REF!,"AAAAAHWTszg=")</f>
        <v>#REF!</v>
      </c>
      <c r="BF43" t="e">
        <f>AND(#REF!,"AAAAAHWTszk=")</f>
        <v>#REF!</v>
      </c>
      <c r="BG43" t="e">
        <f>AND(#REF!,"AAAAAHWTszo=")</f>
        <v>#REF!</v>
      </c>
      <c r="BH43" t="e">
        <f>AND(#REF!,"AAAAAHWTszs=")</f>
        <v>#REF!</v>
      </c>
      <c r="BI43" t="e">
        <f>AND(#REF!,"AAAAAHWTszw=")</f>
        <v>#REF!</v>
      </c>
      <c r="BJ43" t="e">
        <f>IF(#REF!,"AAAAAHWTsz0=",0)</f>
        <v>#REF!</v>
      </c>
      <c r="BK43" t="e">
        <f>AND(#REF!,"AAAAAHWTsz4=")</f>
        <v>#REF!</v>
      </c>
      <c r="BL43" t="e">
        <f>AND(#REF!,"AAAAAHWTsz8=")</f>
        <v>#REF!</v>
      </c>
      <c r="BM43" t="e">
        <f>AND(#REF!,"AAAAAHWTs0A=")</f>
        <v>#REF!</v>
      </c>
      <c r="BN43" t="e">
        <f>AND(#REF!,"AAAAAHWTs0E=")</f>
        <v>#REF!</v>
      </c>
      <c r="BO43" t="e">
        <f>AND(#REF!,"AAAAAHWTs0I=")</f>
        <v>#REF!</v>
      </c>
      <c r="BP43" t="e">
        <f>AND(#REF!,"AAAAAHWTs0M=")</f>
        <v>#REF!</v>
      </c>
      <c r="BQ43" t="e">
        <f>AND(#REF!,"AAAAAHWTs0Q=")</f>
        <v>#REF!</v>
      </c>
      <c r="BR43" t="e">
        <f>AND(#REF!,"AAAAAHWTs0U=")</f>
        <v>#REF!</v>
      </c>
      <c r="BS43" t="e">
        <f>AND(#REF!,"AAAAAHWTs0Y=")</f>
        <v>#REF!</v>
      </c>
      <c r="BT43" t="e">
        <f>IF(#REF!,"AAAAAHWTs0c=",0)</f>
        <v>#REF!</v>
      </c>
      <c r="BU43" t="e">
        <f>AND(#REF!,"AAAAAHWTs0g=")</f>
        <v>#REF!</v>
      </c>
      <c r="BV43" t="e">
        <f>AND(#REF!,"AAAAAHWTs0k=")</f>
        <v>#REF!</v>
      </c>
      <c r="BW43" t="e">
        <f>AND(#REF!,"AAAAAHWTs0o=")</f>
        <v>#REF!</v>
      </c>
      <c r="BX43" t="e">
        <f>AND(#REF!,"AAAAAHWTs0s=")</f>
        <v>#REF!</v>
      </c>
      <c r="BY43" t="e">
        <f>AND(#REF!,"AAAAAHWTs0w=")</f>
        <v>#REF!</v>
      </c>
      <c r="BZ43" t="e">
        <f>AND(#REF!,"AAAAAHWTs00=")</f>
        <v>#REF!</v>
      </c>
      <c r="CA43" t="e">
        <f>AND(#REF!,"AAAAAHWTs04=")</f>
        <v>#REF!</v>
      </c>
      <c r="CB43" t="e">
        <f>AND(#REF!,"AAAAAHWTs08=")</f>
        <v>#REF!</v>
      </c>
      <c r="CC43" t="e">
        <f>AND(#REF!,"AAAAAHWTs1A=")</f>
        <v>#REF!</v>
      </c>
      <c r="CD43" t="e">
        <f>IF(#REF!,"AAAAAHWTs1E=",0)</f>
        <v>#REF!</v>
      </c>
      <c r="CE43" t="e">
        <f>AND(#REF!,"AAAAAHWTs1I=")</f>
        <v>#REF!</v>
      </c>
      <c r="CF43" t="e">
        <f>AND(#REF!,"AAAAAHWTs1M=")</f>
        <v>#REF!</v>
      </c>
      <c r="CG43" t="e">
        <f>AND(#REF!,"AAAAAHWTs1Q=")</f>
        <v>#REF!</v>
      </c>
      <c r="CH43" t="e">
        <f>AND(#REF!,"AAAAAHWTs1U=")</f>
        <v>#REF!</v>
      </c>
      <c r="CI43" t="e">
        <f>AND(#REF!,"AAAAAHWTs1Y=")</f>
        <v>#REF!</v>
      </c>
      <c r="CJ43" t="e">
        <f>AND(#REF!,"AAAAAHWTs1c=")</f>
        <v>#REF!</v>
      </c>
      <c r="CK43" t="e">
        <f>AND(#REF!,"AAAAAHWTs1g=")</f>
        <v>#REF!</v>
      </c>
      <c r="CL43" t="e">
        <f>AND(#REF!,"AAAAAHWTs1k=")</f>
        <v>#REF!</v>
      </c>
      <c r="CM43" t="e">
        <f>AND(#REF!,"AAAAAHWTs1o=")</f>
        <v>#REF!</v>
      </c>
      <c r="CN43" t="e">
        <f>IF(#REF!,"AAAAAHWTs1s=",0)</f>
        <v>#REF!</v>
      </c>
      <c r="CO43" t="e">
        <f>AND(#REF!,"AAAAAHWTs1w=")</f>
        <v>#REF!</v>
      </c>
      <c r="CP43" t="e">
        <f>AND(#REF!,"AAAAAHWTs10=")</f>
        <v>#REF!</v>
      </c>
      <c r="CQ43" t="e">
        <f>AND(#REF!,"AAAAAHWTs14=")</f>
        <v>#REF!</v>
      </c>
      <c r="CR43" t="e">
        <f>AND(#REF!,"AAAAAHWTs18=")</f>
        <v>#REF!</v>
      </c>
      <c r="CS43" t="e">
        <f>AND(#REF!,"AAAAAHWTs2A=")</f>
        <v>#REF!</v>
      </c>
      <c r="CT43" t="e">
        <f>AND(#REF!,"AAAAAHWTs2E=")</f>
        <v>#REF!</v>
      </c>
      <c r="CU43" t="e">
        <f>AND(#REF!,"AAAAAHWTs2I=")</f>
        <v>#REF!</v>
      </c>
      <c r="CV43" t="e">
        <f>AND(#REF!,"AAAAAHWTs2M=")</f>
        <v>#REF!</v>
      </c>
      <c r="CW43" t="e">
        <f>AND(#REF!,"AAAAAHWTs2Q=")</f>
        <v>#REF!</v>
      </c>
      <c r="CX43" t="e">
        <f>IF(#REF!,"AAAAAHWTs2U=",0)</f>
        <v>#REF!</v>
      </c>
      <c r="CY43" t="e">
        <f>AND(#REF!,"AAAAAHWTs2Y=")</f>
        <v>#REF!</v>
      </c>
      <c r="CZ43" t="e">
        <f>AND(#REF!,"AAAAAHWTs2c=")</f>
        <v>#REF!</v>
      </c>
      <c r="DA43" t="e">
        <f>AND(#REF!,"AAAAAHWTs2g=")</f>
        <v>#REF!</v>
      </c>
      <c r="DB43" t="e">
        <f>AND(#REF!,"AAAAAHWTs2k=")</f>
        <v>#REF!</v>
      </c>
      <c r="DC43" t="e">
        <f>AND(#REF!,"AAAAAHWTs2o=")</f>
        <v>#REF!</v>
      </c>
      <c r="DD43" t="e">
        <f>AND(#REF!,"AAAAAHWTs2s=")</f>
        <v>#REF!</v>
      </c>
      <c r="DE43" t="e">
        <f>AND(#REF!,"AAAAAHWTs2w=")</f>
        <v>#REF!</v>
      </c>
      <c r="DF43" t="e">
        <f>AND(#REF!,"AAAAAHWTs20=")</f>
        <v>#REF!</v>
      </c>
      <c r="DG43" t="e">
        <f>AND(#REF!,"AAAAAHWTs24=")</f>
        <v>#REF!</v>
      </c>
      <c r="DH43" t="e">
        <f>IF(#REF!,"AAAAAHWTs28=",0)</f>
        <v>#REF!</v>
      </c>
      <c r="DI43" t="e">
        <f>AND(#REF!,"AAAAAHWTs3A=")</f>
        <v>#REF!</v>
      </c>
      <c r="DJ43" t="e">
        <f>AND(#REF!,"AAAAAHWTs3E=")</f>
        <v>#REF!</v>
      </c>
      <c r="DK43" t="e">
        <f>AND(#REF!,"AAAAAHWTs3I=")</f>
        <v>#REF!</v>
      </c>
      <c r="DL43" t="e">
        <f>AND(#REF!,"AAAAAHWTs3M=")</f>
        <v>#REF!</v>
      </c>
      <c r="DM43" t="e">
        <f>AND(#REF!,"AAAAAHWTs3Q=")</f>
        <v>#REF!</v>
      </c>
      <c r="DN43" t="e">
        <f>AND(#REF!,"AAAAAHWTs3U=")</f>
        <v>#REF!</v>
      </c>
      <c r="DO43" t="e">
        <f>AND(#REF!,"AAAAAHWTs3Y=")</f>
        <v>#REF!</v>
      </c>
      <c r="DP43" t="e">
        <f>AND(#REF!,"AAAAAHWTs3c=")</f>
        <v>#REF!</v>
      </c>
      <c r="DQ43" t="e">
        <f>AND(#REF!,"AAAAAHWTs3g=")</f>
        <v>#REF!</v>
      </c>
      <c r="DR43" t="e">
        <f>IF(#REF!,"AAAAAHWTs3k=",0)</f>
        <v>#REF!</v>
      </c>
      <c r="DS43" t="e">
        <f>AND(#REF!,"AAAAAHWTs3o=")</f>
        <v>#REF!</v>
      </c>
      <c r="DT43" t="e">
        <f>AND(#REF!,"AAAAAHWTs3s=")</f>
        <v>#REF!</v>
      </c>
      <c r="DU43" t="e">
        <f>AND(#REF!,"AAAAAHWTs3w=")</f>
        <v>#REF!</v>
      </c>
      <c r="DV43" t="e">
        <f>AND(#REF!,"AAAAAHWTs30=")</f>
        <v>#REF!</v>
      </c>
      <c r="DW43" t="e">
        <f>AND(#REF!,"AAAAAHWTs34=")</f>
        <v>#REF!</v>
      </c>
      <c r="DX43" t="e">
        <f>AND(#REF!,"AAAAAHWTs38=")</f>
        <v>#REF!</v>
      </c>
      <c r="DY43" t="e">
        <f>AND(#REF!,"AAAAAHWTs4A=")</f>
        <v>#REF!</v>
      </c>
      <c r="DZ43" t="e">
        <f>AND(#REF!,"AAAAAHWTs4E=")</f>
        <v>#REF!</v>
      </c>
      <c r="EA43" t="e">
        <f>AND(#REF!,"AAAAAHWTs4I=")</f>
        <v>#REF!</v>
      </c>
      <c r="EB43" t="e">
        <f>IF(#REF!,"AAAAAHWTs4M=",0)</f>
        <v>#REF!</v>
      </c>
      <c r="EC43" t="e">
        <f>AND(#REF!,"AAAAAHWTs4Q=")</f>
        <v>#REF!</v>
      </c>
      <c r="ED43" t="e">
        <f>AND(#REF!,"AAAAAHWTs4U=")</f>
        <v>#REF!</v>
      </c>
      <c r="EE43" t="e">
        <f>AND(#REF!,"AAAAAHWTs4Y=")</f>
        <v>#REF!</v>
      </c>
      <c r="EF43" t="e">
        <f>AND(#REF!,"AAAAAHWTs4c=")</f>
        <v>#REF!</v>
      </c>
      <c r="EG43" t="e">
        <f>AND(#REF!,"AAAAAHWTs4g=")</f>
        <v>#REF!</v>
      </c>
      <c r="EH43" t="e">
        <f>AND(#REF!,"AAAAAHWTs4k=")</f>
        <v>#REF!</v>
      </c>
      <c r="EI43" t="e">
        <f>AND(#REF!,"AAAAAHWTs4o=")</f>
        <v>#REF!</v>
      </c>
      <c r="EJ43" t="e">
        <f>AND(#REF!,"AAAAAHWTs4s=")</f>
        <v>#REF!</v>
      </c>
      <c r="EK43" t="e">
        <f>AND(#REF!,"AAAAAHWTs4w=")</f>
        <v>#REF!</v>
      </c>
      <c r="EL43" t="e">
        <f>IF(#REF!,"AAAAAHWTs40=",0)</f>
        <v>#REF!</v>
      </c>
      <c r="EM43" t="e">
        <f>AND(#REF!,"AAAAAHWTs44=")</f>
        <v>#REF!</v>
      </c>
      <c r="EN43" t="e">
        <f>AND(#REF!,"AAAAAHWTs48=")</f>
        <v>#REF!</v>
      </c>
      <c r="EO43" t="e">
        <f>AND(#REF!,"AAAAAHWTs5A=")</f>
        <v>#REF!</v>
      </c>
      <c r="EP43" t="e">
        <f>AND(#REF!,"AAAAAHWTs5E=")</f>
        <v>#REF!</v>
      </c>
      <c r="EQ43" t="e">
        <f>AND(#REF!,"AAAAAHWTs5I=")</f>
        <v>#REF!</v>
      </c>
      <c r="ER43" t="e">
        <f>AND(#REF!,"AAAAAHWTs5M=")</f>
        <v>#REF!</v>
      </c>
      <c r="ES43" t="e">
        <f>AND(#REF!,"AAAAAHWTs5Q=")</f>
        <v>#REF!</v>
      </c>
      <c r="ET43" t="e">
        <f>AND(#REF!,"AAAAAHWTs5U=")</f>
        <v>#REF!</v>
      </c>
      <c r="EU43" t="e">
        <f>AND(#REF!,"AAAAAHWTs5Y=")</f>
        <v>#REF!</v>
      </c>
      <c r="EV43" t="e">
        <f>IF(#REF!,"AAAAAHWTs5c=",0)</f>
        <v>#REF!</v>
      </c>
      <c r="EW43" t="e">
        <f>AND(#REF!,"AAAAAHWTs5g=")</f>
        <v>#REF!</v>
      </c>
      <c r="EX43" t="e">
        <f>AND(#REF!,"AAAAAHWTs5k=")</f>
        <v>#REF!</v>
      </c>
      <c r="EY43" t="e">
        <f>AND(#REF!,"AAAAAHWTs5o=")</f>
        <v>#REF!</v>
      </c>
      <c r="EZ43" t="e">
        <f>AND(#REF!,"AAAAAHWTs5s=")</f>
        <v>#REF!</v>
      </c>
      <c r="FA43" t="e">
        <f>AND(#REF!,"AAAAAHWTs5w=")</f>
        <v>#REF!</v>
      </c>
      <c r="FB43" t="e">
        <f>AND(#REF!,"AAAAAHWTs50=")</f>
        <v>#REF!</v>
      </c>
      <c r="FC43" t="e">
        <f>AND(#REF!,"AAAAAHWTs54=")</f>
        <v>#REF!</v>
      </c>
      <c r="FD43" t="e">
        <f>AND(#REF!,"AAAAAHWTs58=")</f>
        <v>#REF!</v>
      </c>
      <c r="FE43" t="e">
        <f>AND(#REF!,"AAAAAHWTs6A=")</f>
        <v>#REF!</v>
      </c>
      <c r="FF43" t="e">
        <f>IF(#REF!,"AAAAAHWTs6E=",0)</f>
        <v>#REF!</v>
      </c>
      <c r="FG43" t="e">
        <f>AND(#REF!,"AAAAAHWTs6I=")</f>
        <v>#REF!</v>
      </c>
      <c r="FH43" t="e">
        <f>AND(#REF!,"AAAAAHWTs6M=")</f>
        <v>#REF!</v>
      </c>
      <c r="FI43" t="e">
        <f>AND(#REF!,"AAAAAHWTs6Q=")</f>
        <v>#REF!</v>
      </c>
      <c r="FJ43" t="e">
        <f>AND(#REF!,"AAAAAHWTs6U=")</f>
        <v>#REF!</v>
      </c>
      <c r="FK43" t="e">
        <f>AND(#REF!,"AAAAAHWTs6Y=")</f>
        <v>#REF!</v>
      </c>
      <c r="FL43" t="e">
        <f>AND(#REF!,"AAAAAHWTs6c=")</f>
        <v>#REF!</v>
      </c>
      <c r="FM43" t="e">
        <f>AND(#REF!,"AAAAAHWTs6g=")</f>
        <v>#REF!</v>
      </c>
      <c r="FN43" t="e">
        <f>AND(#REF!,"AAAAAHWTs6k=")</f>
        <v>#REF!</v>
      </c>
      <c r="FO43" t="e">
        <f>AND(#REF!,"AAAAAHWTs6o=")</f>
        <v>#REF!</v>
      </c>
      <c r="FP43" t="e">
        <f>IF(#REF!,"AAAAAHWTs6s=",0)</f>
        <v>#REF!</v>
      </c>
      <c r="FQ43" t="e">
        <f>AND(#REF!,"AAAAAHWTs6w=")</f>
        <v>#REF!</v>
      </c>
      <c r="FR43" t="e">
        <f>AND(#REF!,"AAAAAHWTs60=")</f>
        <v>#REF!</v>
      </c>
      <c r="FS43" t="e">
        <f>AND(#REF!,"AAAAAHWTs64=")</f>
        <v>#REF!</v>
      </c>
      <c r="FT43" t="e">
        <f>AND(#REF!,"AAAAAHWTs68=")</f>
        <v>#REF!</v>
      </c>
      <c r="FU43" t="e">
        <f>AND(#REF!,"AAAAAHWTs7A=")</f>
        <v>#REF!</v>
      </c>
      <c r="FV43" t="e">
        <f>AND(#REF!,"AAAAAHWTs7E=")</f>
        <v>#REF!</v>
      </c>
      <c r="FW43" t="e">
        <f>AND(#REF!,"AAAAAHWTs7I=")</f>
        <v>#REF!</v>
      </c>
      <c r="FX43" t="e">
        <f>AND(#REF!,"AAAAAHWTs7M=")</f>
        <v>#REF!</v>
      </c>
      <c r="FY43" t="e">
        <f>AND(#REF!,"AAAAAHWTs7Q=")</f>
        <v>#REF!</v>
      </c>
      <c r="FZ43" t="e">
        <f>IF(#REF!,"AAAAAHWTs7U=",0)</f>
        <v>#REF!</v>
      </c>
      <c r="GA43" t="e">
        <f>AND(#REF!,"AAAAAHWTs7Y=")</f>
        <v>#REF!</v>
      </c>
      <c r="GB43" t="e">
        <f>AND(#REF!,"AAAAAHWTs7c=")</f>
        <v>#REF!</v>
      </c>
      <c r="GC43" t="e">
        <f>AND(#REF!,"AAAAAHWTs7g=")</f>
        <v>#REF!</v>
      </c>
      <c r="GD43" t="e">
        <f>AND(#REF!,"AAAAAHWTs7k=")</f>
        <v>#REF!</v>
      </c>
      <c r="GE43" t="e">
        <f>AND(#REF!,"AAAAAHWTs7o=")</f>
        <v>#REF!</v>
      </c>
      <c r="GF43" t="e">
        <f>AND(#REF!,"AAAAAHWTs7s=")</f>
        <v>#REF!</v>
      </c>
      <c r="GG43" t="e">
        <f>AND(#REF!,"AAAAAHWTs7w=")</f>
        <v>#REF!</v>
      </c>
      <c r="GH43" t="e">
        <f>AND(#REF!,"AAAAAHWTs70=")</f>
        <v>#REF!</v>
      </c>
      <c r="GI43" t="e">
        <f>AND(#REF!,"AAAAAHWTs74=")</f>
        <v>#REF!</v>
      </c>
      <c r="GJ43" t="e">
        <f>IF(#REF!,"AAAAAHWTs78=",0)</f>
        <v>#REF!</v>
      </c>
      <c r="GK43" t="e">
        <f>AND(#REF!,"AAAAAHWTs8A=")</f>
        <v>#REF!</v>
      </c>
      <c r="GL43" t="e">
        <f>AND(#REF!,"AAAAAHWTs8E=")</f>
        <v>#REF!</v>
      </c>
      <c r="GM43" t="e">
        <f>AND(#REF!,"AAAAAHWTs8I=")</f>
        <v>#REF!</v>
      </c>
      <c r="GN43" t="e">
        <f>AND(#REF!,"AAAAAHWTs8M=")</f>
        <v>#REF!</v>
      </c>
      <c r="GO43" t="e">
        <f>AND(#REF!,"AAAAAHWTs8Q=")</f>
        <v>#REF!</v>
      </c>
      <c r="GP43" t="e">
        <f>AND(#REF!,"AAAAAHWTs8U=")</f>
        <v>#REF!</v>
      </c>
      <c r="GQ43" t="e">
        <f>AND(#REF!,"AAAAAHWTs8Y=")</f>
        <v>#REF!</v>
      </c>
      <c r="GR43" t="e">
        <f>AND(#REF!,"AAAAAHWTs8c=")</f>
        <v>#REF!</v>
      </c>
      <c r="GS43" t="e">
        <f>AND(#REF!,"AAAAAHWTs8g=")</f>
        <v>#REF!</v>
      </c>
      <c r="GT43" t="e">
        <f>IF(#REF!,"AAAAAHWTs8k=",0)</f>
        <v>#REF!</v>
      </c>
      <c r="GU43" t="e">
        <f>AND(#REF!,"AAAAAHWTs8o=")</f>
        <v>#REF!</v>
      </c>
      <c r="GV43" t="e">
        <f>AND(#REF!,"AAAAAHWTs8s=")</f>
        <v>#REF!</v>
      </c>
      <c r="GW43" t="e">
        <f>AND(#REF!,"AAAAAHWTs8w=")</f>
        <v>#REF!</v>
      </c>
      <c r="GX43" t="e">
        <f>AND(#REF!,"AAAAAHWTs80=")</f>
        <v>#REF!</v>
      </c>
      <c r="GY43" t="e">
        <f>AND(#REF!,"AAAAAHWTs84=")</f>
        <v>#REF!</v>
      </c>
      <c r="GZ43" t="e">
        <f>AND(#REF!,"AAAAAHWTs88=")</f>
        <v>#REF!</v>
      </c>
      <c r="HA43" t="e">
        <f>AND(#REF!,"AAAAAHWTs9A=")</f>
        <v>#REF!</v>
      </c>
      <c r="HB43" t="e">
        <f>AND(#REF!,"AAAAAHWTs9E=")</f>
        <v>#REF!</v>
      </c>
      <c r="HC43" t="e">
        <f>AND(#REF!,"AAAAAHWTs9I=")</f>
        <v>#REF!</v>
      </c>
      <c r="HD43" t="e">
        <f>IF(#REF!,"AAAAAHWTs9M=",0)</f>
        <v>#REF!</v>
      </c>
      <c r="HE43" t="e">
        <f>AND(#REF!,"AAAAAHWTs9Q=")</f>
        <v>#REF!</v>
      </c>
      <c r="HF43" t="e">
        <f>AND(#REF!,"AAAAAHWTs9U=")</f>
        <v>#REF!</v>
      </c>
      <c r="HG43" t="e">
        <f>AND(#REF!,"AAAAAHWTs9Y=")</f>
        <v>#REF!</v>
      </c>
      <c r="HH43" t="e">
        <f>AND(#REF!,"AAAAAHWTs9c=")</f>
        <v>#REF!</v>
      </c>
      <c r="HI43" t="e">
        <f>AND(#REF!,"AAAAAHWTs9g=")</f>
        <v>#REF!</v>
      </c>
      <c r="HJ43" t="e">
        <f>AND(#REF!,"AAAAAHWTs9k=")</f>
        <v>#REF!</v>
      </c>
      <c r="HK43" t="e">
        <f>AND(#REF!,"AAAAAHWTs9o=")</f>
        <v>#REF!</v>
      </c>
      <c r="HL43" t="e">
        <f>AND(#REF!,"AAAAAHWTs9s=")</f>
        <v>#REF!</v>
      </c>
      <c r="HM43" t="e">
        <f>AND(#REF!,"AAAAAHWTs9w=")</f>
        <v>#REF!</v>
      </c>
      <c r="HN43" t="e">
        <f>IF(#REF!,"AAAAAHWTs90=",0)</f>
        <v>#REF!</v>
      </c>
      <c r="HO43" t="e">
        <f>AND(#REF!,"AAAAAHWTs94=")</f>
        <v>#REF!</v>
      </c>
      <c r="HP43" t="e">
        <f>AND(#REF!,"AAAAAHWTs98=")</f>
        <v>#REF!</v>
      </c>
      <c r="HQ43" t="e">
        <f>AND(#REF!,"AAAAAHWTs+A=")</f>
        <v>#REF!</v>
      </c>
      <c r="HR43" t="e">
        <f>AND(#REF!,"AAAAAHWTs+E=")</f>
        <v>#REF!</v>
      </c>
      <c r="HS43" t="e">
        <f>AND(#REF!,"AAAAAHWTs+I=")</f>
        <v>#REF!</v>
      </c>
      <c r="HT43" t="e">
        <f>AND(#REF!,"AAAAAHWTs+M=")</f>
        <v>#REF!</v>
      </c>
      <c r="HU43" t="e">
        <f>AND(#REF!,"AAAAAHWTs+Q=")</f>
        <v>#REF!</v>
      </c>
      <c r="HV43" t="e">
        <f>AND(#REF!,"AAAAAHWTs+U=")</f>
        <v>#REF!</v>
      </c>
      <c r="HW43" t="e">
        <f>AND(#REF!,"AAAAAHWTs+Y=")</f>
        <v>#REF!</v>
      </c>
      <c r="HX43" t="e">
        <f>IF(#REF!,"AAAAAHWTs+c=",0)</f>
        <v>#REF!</v>
      </c>
      <c r="HY43" t="e">
        <f>AND(#REF!,"AAAAAHWTs+g=")</f>
        <v>#REF!</v>
      </c>
      <c r="HZ43" t="e">
        <f>AND(#REF!,"AAAAAHWTs+k=")</f>
        <v>#REF!</v>
      </c>
      <c r="IA43" t="e">
        <f>AND(#REF!,"AAAAAHWTs+o=")</f>
        <v>#REF!</v>
      </c>
      <c r="IB43" t="e">
        <f>AND(#REF!,"AAAAAHWTs+s=")</f>
        <v>#REF!</v>
      </c>
      <c r="IC43" t="e">
        <f>AND(#REF!,"AAAAAHWTs+w=")</f>
        <v>#REF!</v>
      </c>
      <c r="ID43" t="e">
        <f>AND(#REF!,"AAAAAHWTs+0=")</f>
        <v>#REF!</v>
      </c>
      <c r="IE43" t="e">
        <f>AND(#REF!,"AAAAAHWTs+4=")</f>
        <v>#REF!</v>
      </c>
      <c r="IF43" t="e">
        <f>AND(#REF!,"AAAAAHWTs+8=")</f>
        <v>#REF!</v>
      </c>
      <c r="IG43" t="e">
        <f>AND(#REF!,"AAAAAHWTs/A=")</f>
        <v>#REF!</v>
      </c>
      <c r="IH43" t="e">
        <f>IF(#REF!,"AAAAAHWTs/E=",0)</f>
        <v>#REF!</v>
      </c>
      <c r="II43" t="e">
        <f>AND(#REF!,"AAAAAHWTs/I=")</f>
        <v>#REF!</v>
      </c>
      <c r="IJ43" t="e">
        <f>AND(#REF!,"AAAAAHWTs/M=")</f>
        <v>#REF!</v>
      </c>
      <c r="IK43" t="e">
        <f>AND(#REF!,"AAAAAHWTs/Q=")</f>
        <v>#REF!</v>
      </c>
      <c r="IL43" t="e">
        <f>AND(#REF!,"AAAAAHWTs/U=")</f>
        <v>#REF!</v>
      </c>
      <c r="IM43" t="e">
        <f>AND(#REF!,"AAAAAHWTs/Y=")</f>
        <v>#REF!</v>
      </c>
      <c r="IN43" t="e">
        <f>AND(#REF!,"AAAAAHWTs/c=")</f>
        <v>#REF!</v>
      </c>
      <c r="IO43" t="e">
        <f>AND(#REF!,"AAAAAHWTs/g=")</f>
        <v>#REF!</v>
      </c>
      <c r="IP43" t="e">
        <f>AND(#REF!,"AAAAAHWTs/k=")</f>
        <v>#REF!</v>
      </c>
      <c r="IQ43" t="e">
        <f>AND(#REF!,"AAAAAHWTs/o=")</f>
        <v>#REF!</v>
      </c>
      <c r="IR43" t="e">
        <f>IF(#REF!,"AAAAAHWTs/s=",0)</f>
        <v>#REF!</v>
      </c>
      <c r="IS43" t="e">
        <f>AND(#REF!,"AAAAAHWTs/w=")</f>
        <v>#REF!</v>
      </c>
      <c r="IT43" t="e">
        <f>AND(#REF!,"AAAAAHWTs/0=")</f>
        <v>#REF!</v>
      </c>
      <c r="IU43" t="e">
        <f>AND(#REF!,"AAAAAHWTs/4=")</f>
        <v>#REF!</v>
      </c>
      <c r="IV43" t="e">
        <f>AND(#REF!,"AAAAAHWTs/8=")</f>
        <v>#REF!</v>
      </c>
    </row>
    <row r="44" spans="1:256">
      <c r="A44" t="e">
        <f>AND(#REF!,"AAAAAD/GfwA=")</f>
        <v>#REF!</v>
      </c>
      <c r="B44" t="e">
        <f>AND(#REF!,"AAAAAD/GfwE=")</f>
        <v>#REF!</v>
      </c>
      <c r="C44" t="e">
        <f>AND(#REF!,"AAAAAD/GfwI=")</f>
        <v>#REF!</v>
      </c>
      <c r="D44" t="e">
        <f>AND(#REF!,"AAAAAD/GfwM=")</f>
        <v>#REF!</v>
      </c>
      <c r="E44" t="e">
        <f>AND(#REF!,"AAAAAD/GfwQ=")</f>
        <v>#REF!</v>
      </c>
      <c r="F44" t="e">
        <f>IF(#REF!,"AAAAAD/GfwU=",0)</f>
        <v>#REF!</v>
      </c>
      <c r="G44" t="e">
        <f>AND(#REF!,"AAAAAD/GfwY=")</f>
        <v>#REF!</v>
      </c>
      <c r="H44" t="e">
        <f>AND(#REF!,"AAAAAD/Gfwc=")</f>
        <v>#REF!</v>
      </c>
      <c r="I44" t="e">
        <f>AND(#REF!,"AAAAAD/Gfwg=")</f>
        <v>#REF!</v>
      </c>
      <c r="J44" t="e">
        <f>AND(#REF!,"AAAAAD/Gfwk=")</f>
        <v>#REF!</v>
      </c>
      <c r="K44" t="e">
        <f>AND(#REF!,"AAAAAD/Gfwo=")</f>
        <v>#REF!</v>
      </c>
      <c r="L44" t="e">
        <f>AND(#REF!,"AAAAAD/Gfws=")</f>
        <v>#REF!</v>
      </c>
      <c r="M44" t="e">
        <f>AND(#REF!,"AAAAAD/Gfww=")</f>
        <v>#REF!</v>
      </c>
      <c r="N44" t="e">
        <f>AND(#REF!,"AAAAAD/Gfw0=")</f>
        <v>#REF!</v>
      </c>
      <c r="O44" t="e">
        <f>AND(#REF!,"AAAAAD/Gfw4=")</f>
        <v>#REF!</v>
      </c>
      <c r="P44" t="e">
        <f>IF(#REF!,"AAAAAD/Gfw8=",0)</f>
        <v>#REF!</v>
      </c>
      <c r="Q44" t="e">
        <f>AND(#REF!,"AAAAAD/GfxA=")</f>
        <v>#REF!</v>
      </c>
      <c r="R44" t="e">
        <f>AND(#REF!,"AAAAAD/GfxE=")</f>
        <v>#REF!</v>
      </c>
      <c r="S44" t="e">
        <f>AND(#REF!,"AAAAAD/GfxI=")</f>
        <v>#REF!</v>
      </c>
      <c r="T44" t="e">
        <f>AND(#REF!,"AAAAAD/GfxM=")</f>
        <v>#REF!</v>
      </c>
      <c r="U44" t="e">
        <f>AND(#REF!,"AAAAAD/GfxQ=")</f>
        <v>#REF!</v>
      </c>
      <c r="V44" t="e">
        <f>AND(#REF!,"AAAAAD/GfxU=")</f>
        <v>#REF!</v>
      </c>
      <c r="W44" t="e">
        <f>AND(#REF!,"AAAAAD/GfxY=")</f>
        <v>#REF!</v>
      </c>
      <c r="X44" t="e">
        <f>AND(#REF!,"AAAAAD/Gfxc=")</f>
        <v>#REF!</v>
      </c>
      <c r="Y44" t="e">
        <f>AND(#REF!,"AAAAAD/Gfxg=")</f>
        <v>#REF!</v>
      </c>
      <c r="Z44" t="e">
        <f>IF(#REF!,"AAAAAD/Gfxk=",0)</f>
        <v>#REF!</v>
      </c>
      <c r="AA44" t="e">
        <f>AND(#REF!,"AAAAAD/Gfxo=")</f>
        <v>#REF!</v>
      </c>
      <c r="AB44" t="e">
        <f>AND(#REF!,"AAAAAD/Gfxs=")</f>
        <v>#REF!</v>
      </c>
      <c r="AC44" t="e">
        <f>AND(#REF!,"AAAAAD/Gfxw=")</f>
        <v>#REF!</v>
      </c>
      <c r="AD44" t="e">
        <f>AND(#REF!,"AAAAAD/Gfx0=")</f>
        <v>#REF!</v>
      </c>
      <c r="AE44" t="e">
        <f>AND(#REF!,"AAAAAD/Gfx4=")</f>
        <v>#REF!</v>
      </c>
      <c r="AF44" t="e">
        <f>AND(#REF!,"AAAAAD/Gfx8=")</f>
        <v>#REF!</v>
      </c>
      <c r="AG44" t="e">
        <f>AND(#REF!,"AAAAAD/GfyA=")</f>
        <v>#REF!</v>
      </c>
      <c r="AH44" t="e">
        <f>AND(#REF!,"AAAAAD/GfyE=")</f>
        <v>#REF!</v>
      </c>
      <c r="AI44" t="e">
        <f>AND(#REF!,"AAAAAD/GfyI=")</f>
        <v>#REF!</v>
      </c>
      <c r="AJ44" t="e">
        <f>IF(#REF!,"AAAAAD/GfyM=",0)</f>
        <v>#REF!</v>
      </c>
      <c r="AK44" t="e">
        <f>AND(#REF!,"AAAAAD/GfyQ=")</f>
        <v>#REF!</v>
      </c>
      <c r="AL44" t="e">
        <f>AND(#REF!,"AAAAAD/GfyU=")</f>
        <v>#REF!</v>
      </c>
      <c r="AM44" t="e">
        <f>AND(#REF!,"AAAAAD/GfyY=")</f>
        <v>#REF!</v>
      </c>
      <c r="AN44" t="e">
        <f>AND(#REF!,"AAAAAD/Gfyc=")</f>
        <v>#REF!</v>
      </c>
      <c r="AO44" t="e">
        <f>AND(#REF!,"AAAAAD/Gfyg=")</f>
        <v>#REF!</v>
      </c>
      <c r="AP44" t="e">
        <f>AND(#REF!,"AAAAAD/Gfyk=")</f>
        <v>#REF!</v>
      </c>
      <c r="AQ44" t="e">
        <f>AND(#REF!,"AAAAAD/Gfyo=")</f>
        <v>#REF!</v>
      </c>
      <c r="AR44" t="e">
        <f>AND(#REF!,"AAAAAD/Gfys=")</f>
        <v>#REF!</v>
      </c>
      <c r="AS44" t="e">
        <f>AND(#REF!,"AAAAAD/Gfyw=")</f>
        <v>#REF!</v>
      </c>
      <c r="AT44" t="e">
        <f>IF(#REF!,"AAAAAD/Gfy0=",0)</f>
        <v>#REF!</v>
      </c>
      <c r="AU44" t="e">
        <f>AND(#REF!,"AAAAAD/Gfy4=")</f>
        <v>#REF!</v>
      </c>
      <c r="AV44" t="e">
        <f>AND(#REF!,"AAAAAD/Gfy8=")</f>
        <v>#REF!</v>
      </c>
      <c r="AW44" t="e">
        <f>AND(#REF!,"AAAAAD/GfzA=")</f>
        <v>#REF!</v>
      </c>
      <c r="AX44" t="e">
        <f>AND(#REF!,"AAAAAD/GfzE=")</f>
        <v>#REF!</v>
      </c>
      <c r="AY44" t="e">
        <f>AND(#REF!,"AAAAAD/GfzI=")</f>
        <v>#REF!</v>
      </c>
      <c r="AZ44" t="e">
        <f>AND(#REF!,"AAAAAD/GfzM=")</f>
        <v>#REF!</v>
      </c>
      <c r="BA44" t="e">
        <f>AND(#REF!,"AAAAAD/GfzQ=")</f>
        <v>#REF!</v>
      </c>
      <c r="BB44" t="e">
        <f>AND(#REF!,"AAAAAD/GfzU=")</f>
        <v>#REF!</v>
      </c>
      <c r="BC44" t="e">
        <f>AND(#REF!,"AAAAAD/GfzY=")</f>
        <v>#REF!</v>
      </c>
      <c r="BD44" t="e">
        <f>IF(#REF!,"AAAAAD/Gfzc=",0)</f>
        <v>#REF!</v>
      </c>
      <c r="BE44" t="e">
        <f>AND(#REF!,"AAAAAD/Gfzg=")</f>
        <v>#REF!</v>
      </c>
      <c r="BF44" t="e">
        <f>AND(#REF!,"AAAAAD/Gfzk=")</f>
        <v>#REF!</v>
      </c>
      <c r="BG44" t="e">
        <f>AND(#REF!,"AAAAAD/Gfzo=")</f>
        <v>#REF!</v>
      </c>
      <c r="BH44" t="e">
        <f>AND(#REF!,"AAAAAD/Gfzs=")</f>
        <v>#REF!</v>
      </c>
      <c r="BI44" t="e">
        <f>AND(#REF!,"AAAAAD/Gfzw=")</f>
        <v>#REF!</v>
      </c>
      <c r="BJ44" t="e">
        <f>AND(#REF!,"AAAAAD/Gfz0=")</f>
        <v>#REF!</v>
      </c>
      <c r="BK44" t="e">
        <f>AND(#REF!,"AAAAAD/Gfz4=")</f>
        <v>#REF!</v>
      </c>
      <c r="BL44" t="e">
        <f>AND(#REF!,"AAAAAD/Gfz8=")</f>
        <v>#REF!</v>
      </c>
      <c r="BM44" t="e">
        <f>AND(#REF!,"AAAAAD/Gf0A=")</f>
        <v>#REF!</v>
      </c>
      <c r="BN44" t="e">
        <f>IF(#REF!,"AAAAAD/Gf0E=",0)</f>
        <v>#REF!</v>
      </c>
      <c r="BO44" t="e">
        <f>AND(#REF!,"AAAAAD/Gf0I=")</f>
        <v>#REF!</v>
      </c>
      <c r="BP44" t="e">
        <f>AND(#REF!,"AAAAAD/Gf0M=")</f>
        <v>#REF!</v>
      </c>
      <c r="BQ44" t="e">
        <f>AND(#REF!,"AAAAAD/Gf0Q=")</f>
        <v>#REF!</v>
      </c>
      <c r="BR44" t="e">
        <f>AND(#REF!,"AAAAAD/Gf0U=")</f>
        <v>#REF!</v>
      </c>
      <c r="BS44" t="e">
        <f>AND(#REF!,"AAAAAD/Gf0Y=")</f>
        <v>#REF!</v>
      </c>
      <c r="BT44" t="e">
        <f>AND(#REF!,"AAAAAD/Gf0c=")</f>
        <v>#REF!</v>
      </c>
      <c r="BU44" t="e">
        <f>AND(#REF!,"AAAAAD/Gf0g=")</f>
        <v>#REF!</v>
      </c>
      <c r="BV44" t="e">
        <f>AND(#REF!,"AAAAAD/Gf0k=")</f>
        <v>#REF!</v>
      </c>
      <c r="BW44" t="e">
        <f>AND(#REF!,"AAAAAD/Gf0o=")</f>
        <v>#REF!</v>
      </c>
      <c r="BX44" t="e">
        <f>IF(#REF!,"AAAAAD/Gf0s=",0)</f>
        <v>#REF!</v>
      </c>
      <c r="BY44" t="e">
        <f>AND(#REF!,"AAAAAD/Gf0w=")</f>
        <v>#REF!</v>
      </c>
      <c r="BZ44" t="e">
        <f>AND(#REF!,"AAAAAD/Gf00=")</f>
        <v>#REF!</v>
      </c>
      <c r="CA44" t="e">
        <f>AND(#REF!,"AAAAAD/Gf04=")</f>
        <v>#REF!</v>
      </c>
      <c r="CB44" t="e">
        <f>AND(#REF!,"AAAAAD/Gf08=")</f>
        <v>#REF!</v>
      </c>
      <c r="CC44" t="e">
        <f>AND(#REF!,"AAAAAD/Gf1A=")</f>
        <v>#REF!</v>
      </c>
      <c r="CD44" t="e">
        <f>AND(#REF!,"AAAAAD/Gf1E=")</f>
        <v>#REF!</v>
      </c>
      <c r="CE44" t="e">
        <f>AND(#REF!,"AAAAAD/Gf1I=")</f>
        <v>#REF!</v>
      </c>
      <c r="CF44" t="e">
        <f>AND(#REF!,"AAAAAD/Gf1M=")</f>
        <v>#REF!</v>
      </c>
      <c r="CG44" t="e">
        <f>AND(#REF!,"AAAAAD/Gf1Q=")</f>
        <v>#REF!</v>
      </c>
      <c r="CH44" t="e">
        <f>IF(#REF!,"AAAAAD/Gf1U=",0)</f>
        <v>#REF!</v>
      </c>
      <c r="CI44" t="e">
        <f>AND(#REF!,"AAAAAD/Gf1Y=")</f>
        <v>#REF!</v>
      </c>
      <c r="CJ44" t="e">
        <f>AND(#REF!,"AAAAAD/Gf1c=")</f>
        <v>#REF!</v>
      </c>
      <c r="CK44" t="e">
        <f>AND(#REF!,"AAAAAD/Gf1g=")</f>
        <v>#REF!</v>
      </c>
      <c r="CL44" t="e">
        <f>AND(#REF!,"AAAAAD/Gf1k=")</f>
        <v>#REF!</v>
      </c>
      <c r="CM44" t="e">
        <f>AND(#REF!,"AAAAAD/Gf1o=")</f>
        <v>#REF!</v>
      </c>
      <c r="CN44" t="e">
        <f>AND(#REF!,"AAAAAD/Gf1s=")</f>
        <v>#REF!</v>
      </c>
      <c r="CO44" t="e">
        <f>AND(#REF!,"AAAAAD/Gf1w=")</f>
        <v>#REF!</v>
      </c>
      <c r="CP44" t="e">
        <f>AND(#REF!,"AAAAAD/Gf10=")</f>
        <v>#REF!</v>
      </c>
      <c r="CQ44" t="e">
        <f>AND(#REF!,"AAAAAD/Gf14=")</f>
        <v>#REF!</v>
      </c>
      <c r="CR44" t="e">
        <f>IF(#REF!,"AAAAAD/Gf18=",0)</f>
        <v>#REF!</v>
      </c>
      <c r="CS44" t="e">
        <f>AND(#REF!,"AAAAAD/Gf2A=")</f>
        <v>#REF!</v>
      </c>
      <c r="CT44" t="e">
        <f>AND(#REF!,"AAAAAD/Gf2E=")</f>
        <v>#REF!</v>
      </c>
      <c r="CU44" t="e">
        <f>AND(#REF!,"AAAAAD/Gf2I=")</f>
        <v>#REF!</v>
      </c>
      <c r="CV44" t="e">
        <f>AND(#REF!,"AAAAAD/Gf2M=")</f>
        <v>#REF!</v>
      </c>
      <c r="CW44" t="e">
        <f>AND(#REF!,"AAAAAD/Gf2Q=")</f>
        <v>#REF!</v>
      </c>
      <c r="CX44" t="e">
        <f>AND(#REF!,"AAAAAD/Gf2U=")</f>
        <v>#REF!</v>
      </c>
      <c r="CY44" t="e">
        <f>AND(#REF!,"AAAAAD/Gf2Y=")</f>
        <v>#REF!</v>
      </c>
      <c r="CZ44" t="e">
        <f>AND(#REF!,"AAAAAD/Gf2c=")</f>
        <v>#REF!</v>
      </c>
      <c r="DA44" t="e">
        <f>AND(#REF!,"AAAAAD/Gf2g=")</f>
        <v>#REF!</v>
      </c>
      <c r="DB44" t="e">
        <f>IF(#REF!,"AAAAAD/Gf2k=",0)</f>
        <v>#REF!</v>
      </c>
      <c r="DC44" t="e">
        <f>AND(#REF!,"AAAAAD/Gf2o=")</f>
        <v>#REF!</v>
      </c>
      <c r="DD44" t="e">
        <f>AND(#REF!,"AAAAAD/Gf2s=")</f>
        <v>#REF!</v>
      </c>
      <c r="DE44" t="e">
        <f>AND(#REF!,"AAAAAD/Gf2w=")</f>
        <v>#REF!</v>
      </c>
      <c r="DF44" t="e">
        <f>AND(#REF!,"AAAAAD/Gf20=")</f>
        <v>#REF!</v>
      </c>
      <c r="DG44" t="e">
        <f>AND(#REF!,"AAAAAD/Gf24=")</f>
        <v>#REF!</v>
      </c>
      <c r="DH44" t="e">
        <f>AND(#REF!,"AAAAAD/Gf28=")</f>
        <v>#REF!</v>
      </c>
      <c r="DI44" t="e">
        <f>AND(#REF!,"AAAAAD/Gf3A=")</f>
        <v>#REF!</v>
      </c>
      <c r="DJ44" t="e">
        <f>AND(#REF!,"AAAAAD/Gf3E=")</f>
        <v>#REF!</v>
      </c>
      <c r="DK44" t="e">
        <f>AND(#REF!,"AAAAAD/Gf3I=")</f>
        <v>#REF!</v>
      </c>
      <c r="DL44" t="e">
        <f>IF(#REF!,"AAAAAD/Gf3M=",0)</f>
        <v>#REF!</v>
      </c>
      <c r="DM44" t="e">
        <f>AND(#REF!,"AAAAAD/Gf3Q=")</f>
        <v>#REF!</v>
      </c>
      <c r="DN44" t="e">
        <f>AND(#REF!,"AAAAAD/Gf3U=")</f>
        <v>#REF!</v>
      </c>
      <c r="DO44" t="e">
        <f>AND(#REF!,"AAAAAD/Gf3Y=")</f>
        <v>#REF!</v>
      </c>
      <c r="DP44" t="e">
        <f>AND(#REF!,"AAAAAD/Gf3c=")</f>
        <v>#REF!</v>
      </c>
      <c r="DQ44" t="e">
        <f>AND(#REF!,"AAAAAD/Gf3g=")</f>
        <v>#REF!</v>
      </c>
      <c r="DR44" t="e">
        <f>AND(#REF!,"AAAAAD/Gf3k=")</f>
        <v>#REF!</v>
      </c>
      <c r="DS44" t="e">
        <f>AND(#REF!,"AAAAAD/Gf3o=")</f>
        <v>#REF!</v>
      </c>
      <c r="DT44" t="e">
        <f>AND(#REF!,"AAAAAD/Gf3s=")</f>
        <v>#REF!</v>
      </c>
      <c r="DU44" t="e">
        <f>AND(#REF!,"AAAAAD/Gf3w=")</f>
        <v>#REF!</v>
      </c>
      <c r="DV44" t="e">
        <f>IF(#REF!,"AAAAAD/Gf30=",0)</f>
        <v>#REF!</v>
      </c>
      <c r="DW44" t="e">
        <f>AND(#REF!,"AAAAAD/Gf34=")</f>
        <v>#REF!</v>
      </c>
      <c r="DX44" t="e">
        <f>AND(#REF!,"AAAAAD/Gf38=")</f>
        <v>#REF!</v>
      </c>
      <c r="DY44" t="e">
        <f>AND(#REF!,"AAAAAD/Gf4A=")</f>
        <v>#REF!</v>
      </c>
      <c r="DZ44" t="e">
        <f>AND(#REF!,"AAAAAD/Gf4E=")</f>
        <v>#REF!</v>
      </c>
      <c r="EA44" t="e">
        <f>AND(#REF!,"AAAAAD/Gf4I=")</f>
        <v>#REF!</v>
      </c>
      <c r="EB44" t="e">
        <f>AND(#REF!,"AAAAAD/Gf4M=")</f>
        <v>#REF!</v>
      </c>
      <c r="EC44" t="e">
        <f>AND(#REF!,"AAAAAD/Gf4Q=")</f>
        <v>#REF!</v>
      </c>
      <c r="ED44" t="e">
        <f>AND(#REF!,"AAAAAD/Gf4U=")</f>
        <v>#REF!</v>
      </c>
      <c r="EE44" t="e">
        <f>AND(#REF!,"AAAAAD/Gf4Y=")</f>
        <v>#REF!</v>
      </c>
      <c r="EF44" t="e">
        <f>IF(#REF!,"AAAAAD/Gf4c=",0)</f>
        <v>#REF!</v>
      </c>
      <c r="EG44" t="e">
        <f>AND(#REF!,"AAAAAD/Gf4g=")</f>
        <v>#REF!</v>
      </c>
      <c r="EH44" t="e">
        <f>AND(#REF!,"AAAAAD/Gf4k=")</f>
        <v>#REF!</v>
      </c>
      <c r="EI44" t="e">
        <f>AND(#REF!,"AAAAAD/Gf4o=")</f>
        <v>#REF!</v>
      </c>
      <c r="EJ44" t="e">
        <f>AND(#REF!,"AAAAAD/Gf4s=")</f>
        <v>#REF!</v>
      </c>
      <c r="EK44" t="e">
        <f>AND(#REF!,"AAAAAD/Gf4w=")</f>
        <v>#REF!</v>
      </c>
      <c r="EL44" t="e">
        <f>AND(#REF!,"AAAAAD/Gf40=")</f>
        <v>#REF!</v>
      </c>
      <c r="EM44" t="e">
        <f>AND(#REF!,"AAAAAD/Gf44=")</f>
        <v>#REF!</v>
      </c>
      <c r="EN44" t="e">
        <f>AND(#REF!,"AAAAAD/Gf48=")</f>
        <v>#REF!</v>
      </c>
      <c r="EO44" t="e">
        <f>AND(#REF!,"AAAAAD/Gf5A=")</f>
        <v>#REF!</v>
      </c>
      <c r="EP44" t="e">
        <f>IF(#REF!,"AAAAAD/Gf5E=",0)</f>
        <v>#REF!</v>
      </c>
      <c r="EQ44" t="e">
        <f>AND(#REF!,"AAAAAD/Gf5I=")</f>
        <v>#REF!</v>
      </c>
      <c r="ER44" t="e">
        <f>AND(#REF!,"AAAAAD/Gf5M=")</f>
        <v>#REF!</v>
      </c>
      <c r="ES44" t="e">
        <f>AND(#REF!,"AAAAAD/Gf5Q=")</f>
        <v>#REF!</v>
      </c>
      <c r="ET44" t="e">
        <f>AND(#REF!,"AAAAAD/Gf5U=")</f>
        <v>#REF!</v>
      </c>
      <c r="EU44" t="e">
        <f>AND(#REF!,"AAAAAD/Gf5Y=")</f>
        <v>#REF!</v>
      </c>
      <c r="EV44" t="e">
        <f>AND(#REF!,"AAAAAD/Gf5c=")</f>
        <v>#REF!</v>
      </c>
      <c r="EW44" t="e">
        <f>AND(#REF!,"AAAAAD/Gf5g=")</f>
        <v>#REF!</v>
      </c>
      <c r="EX44" t="e">
        <f>AND(#REF!,"AAAAAD/Gf5k=")</f>
        <v>#REF!</v>
      </c>
      <c r="EY44" t="e">
        <f>AND(#REF!,"AAAAAD/Gf5o=")</f>
        <v>#REF!</v>
      </c>
      <c r="EZ44" t="e">
        <f>IF(#REF!,"AAAAAD/Gf5s=",0)</f>
        <v>#REF!</v>
      </c>
      <c r="FA44" t="e">
        <f>AND(#REF!,"AAAAAD/Gf5w=")</f>
        <v>#REF!</v>
      </c>
      <c r="FB44" t="e">
        <f>AND(#REF!,"AAAAAD/Gf50=")</f>
        <v>#REF!</v>
      </c>
      <c r="FC44" t="e">
        <f>AND(#REF!,"AAAAAD/Gf54=")</f>
        <v>#REF!</v>
      </c>
      <c r="FD44" t="e">
        <f>AND(#REF!,"AAAAAD/Gf58=")</f>
        <v>#REF!</v>
      </c>
      <c r="FE44" t="e">
        <f>AND(#REF!,"AAAAAD/Gf6A=")</f>
        <v>#REF!</v>
      </c>
      <c r="FF44" t="e">
        <f>AND(#REF!,"AAAAAD/Gf6E=")</f>
        <v>#REF!</v>
      </c>
      <c r="FG44" t="e">
        <f>AND(#REF!,"AAAAAD/Gf6I=")</f>
        <v>#REF!</v>
      </c>
      <c r="FH44" t="e">
        <f>AND(#REF!,"AAAAAD/Gf6M=")</f>
        <v>#REF!</v>
      </c>
      <c r="FI44" t="e">
        <f>AND(#REF!,"AAAAAD/Gf6Q=")</f>
        <v>#REF!</v>
      </c>
      <c r="FJ44" t="e">
        <f>IF(#REF!,"AAAAAD/Gf6U=",0)</f>
        <v>#REF!</v>
      </c>
      <c r="FK44" t="e">
        <f>AND(#REF!,"AAAAAD/Gf6Y=")</f>
        <v>#REF!</v>
      </c>
      <c r="FL44" t="e">
        <f>AND(#REF!,"AAAAAD/Gf6c=")</f>
        <v>#REF!</v>
      </c>
      <c r="FM44" t="e">
        <f>AND(#REF!,"AAAAAD/Gf6g=")</f>
        <v>#REF!</v>
      </c>
      <c r="FN44" t="e">
        <f>AND(#REF!,"AAAAAD/Gf6k=")</f>
        <v>#REF!</v>
      </c>
      <c r="FO44" t="e">
        <f>AND(#REF!,"AAAAAD/Gf6o=")</f>
        <v>#REF!</v>
      </c>
      <c r="FP44" t="e">
        <f>AND(#REF!,"AAAAAD/Gf6s=")</f>
        <v>#REF!</v>
      </c>
      <c r="FQ44" t="e">
        <f>AND(#REF!,"AAAAAD/Gf6w=")</f>
        <v>#REF!</v>
      </c>
      <c r="FR44" t="e">
        <f>AND(#REF!,"AAAAAD/Gf60=")</f>
        <v>#REF!</v>
      </c>
      <c r="FS44" t="e">
        <f>AND(#REF!,"AAAAAD/Gf64=")</f>
        <v>#REF!</v>
      </c>
      <c r="FT44" t="e">
        <f>IF(#REF!,"AAAAAD/Gf68=",0)</f>
        <v>#REF!</v>
      </c>
      <c r="FU44" t="e">
        <f>AND(#REF!,"AAAAAD/Gf7A=")</f>
        <v>#REF!</v>
      </c>
      <c r="FV44" t="e">
        <f>AND(#REF!,"AAAAAD/Gf7E=")</f>
        <v>#REF!</v>
      </c>
      <c r="FW44" t="e">
        <f>AND(#REF!,"AAAAAD/Gf7I=")</f>
        <v>#REF!</v>
      </c>
      <c r="FX44" t="e">
        <f>AND(#REF!,"AAAAAD/Gf7M=")</f>
        <v>#REF!</v>
      </c>
      <c r="FY44" t="e">
        <f>AND(#REF!,"AAAAAD/Gf7Q=")</f>
        <v>#REF!</v>
      </c>
      <c r="FZ44" t="e">
        <f>AND(#REF!,"AAAAAD/Gf7U=")</f>
        <v>#REF!</v>
      </c>
      <c r="GA44" t="e">
        <f>AND(#REF!,"AAAAAD/Gf7Y=")</f>
        <v>#REF!</v>
      </c>
      <c r="GB44" t="e">
        <f>AND(#REF!,"AAAAAD/Gf7c=")</f>
        <v>#REF!</v>
      </c>
      <c r="GC44" t="e">
        <f>AND(#REF!,"AAAAAD/Gf7g=")</f>
        <v>#REF!</v>
      </c>
      <c r="GD44" t="e">
        <f>IF(#REF!,"AAAAAD/Gf7k=",0)</f>
        <v>#REF!</v>
      </c>
      <c r="GE44" t="e">
        <f>AND(#REF!,"AAAAAD/Gf7o=")</f>
        <v>#REF!</v>
      </c>
      <c r="GF44" t="e">
        <f>AND(#REF!,"AAAAAD/Gf7s=")</f>
        <v>#REF!</v>
      </c>
      <c r="GG44" t="e">
        <f>AND(#REF!,"AAAAAD/Gf7w=")</f>
        <v>#REF!</v>
      </c>
      <c r="GH44" t="e">
        <f>AND(#REF!,"AAAAAD/Gf70=")</f>
        <v>#REF!</v>
      </c>
      <c r="GI44" t="e">
        <f>AND(#REF!,"AAAAAD/Gf74=")</f>
        <v>#REF!</v>
      </c>
      <c r="GJ44" t="e">
        <f>AND(#REF!,"AAAAAD/Gf78=")</f>
        <v>#REF!</v>
      </c>
      <c r="GK44" t="e">
        <f>AND(#REF!,"AAAAAD/Gf8A=")</f>
        <v>#REF!</v>
      </c>
      <c r="GL44" t="e">
        <f>AND(#REF!,"AAAAAD/Gf8E=")</f>
        <v>#REF!</v>
      </c>
      <c r="GM44" t="e">
        <f>AND(#REF!,"AAAAAD/Gf8I=")</f>
        <v>#REF!</v>
      </c>
      <c r="GN44" t="e">
        <f>IF(#REF!,"AAAAAD/Gf8M=",0)</f>
        <v>#REF!</v>
      </c>
      <c r="GO44" t="e">
        <f>AND(#REF!,"AAAAAD/Gf8Q=")</f>
        <v>#REF!</v>
      </c>
      <c r="GP44" t="e">
        <f>AND(#REF!,"AAAAAD/Gf8U=")</f>
        <v>#REF!</v>
      </c>
      <c r="GQ44" t="e">
        <f>AND(#REF!,"AAAAAD/Gf8Y=")</f>
        <v>#REF!</v>
      </c>
      <c r="GR44" t="e">
        <f>AND(#REF!,"AAAAAD/Gf8c=")</f>
        <v>#REF!</v>
      </c>
      <c r="GS44" t="e">
        <f>AND(#REF!,"AAAAAD/Gf8g=")</f>
        <v>#REF!</v>
      </c>
      <c r="GT44" t="e">
        <f>AND(#REF!,"AAAAAD/Gf8k=")</f>
        <v>#REF!</v>
      </c>
      <c r="GU44" t="e">
        <f>AND(#REF!,"AAAAAD/Gf8o=")</f>
        <v>#REF!</v>
      </c>
      <c r="GV44" t="e">
        <f>AND(#REF!,"AAAAAD/Gf8s=")</f>
        <v>#REF!</v>
      </c>
      <c r="GW44" t="e">
        <f>AND(#REF!,"AAAAAD/Gf8w=")</f>
        <v>#REF!</v>
      </c>
      <c r="GX44" t="e">
        <f>IF(#REF!,"AAAAAD/Gf80=",0)</f>
        <v>#REF!</v>
      </c>
      <c r="GY44" t="e">
        <f>AND(#REF!,"AAAAAD/Gf84=")</f>
        <v>#REF!</v>
      </c>
      <c r="GZ44" t="e">
        <f>AND(#REF!,"AAAAAD/Gf88=")</f>
        <v>#REF!</v>
      </c>
      <c r="HA44" t="e">
        <f>AND(#REF!,"AAAAAD/Gf9A=")</f>
        <v>#REF!</v>
      </c>
      <c r="HB44" t="e">
        <f>AND(#REF!,"AAAAAD/Gf9E=")</f>
        <v>#REF!</v>
      </c>
      <c r="HC44" t="e">
        <f>AND(#REF!,"AAAAAD/Gf9I=")</f>
        <v>#REF!</v>
      </c>
      <c r="HD44" t="e">
        <f>AND(#REF!,"AAAAAD/Gf9M=")</f>
        <v>#REF!</v>
      </c>
      <c r="HE44" t="e">
        <f>AND(#REF!,"AAAAAD/Gf9Q=")</f>
        <v>#REF!</v>
      </c>
      <c r="HF44" t="e">
        <f>AND(#REF!,"AAAAAD/Gf9U=")</f>
        <v>#REF!</v>
      </c>
      <c r="HG44" t="e">
        <f>AND(#REF!,"AAAAAD/Gf9Y=")</f>
        <v>#REF!</v>
      </c>
      <c r="HH44" t="e">
        <f>IF(#REF!,"AAAAAD/Gf9c=",0)</f>
        <v>#REF!</v>
      </c>
      <c r="HI44" t="e">
        <f>AND(#REF!,"AAAAAD/Gf9g=")</f>
        <v>#REF!</v>
      </c>
      <c r="HJ44" t="e">
        <f>AND(#REF!,"AAAAAD/Gf9k=")</f>
        <v>#REF!</v>
      </c>
      <c r="HK44" t="e">
        <f>AND(#REF!,"AAAAAD/Gf9o=")</f>
        <v>#REF!</v>
      </c>
      <c r="HL44" t="e">
        <f>AND(#REF!,"AAAAAD/Gf9s=")</f>
        <v>#REF!</v>
      </c>
      <c r="HM44" t="e">
        <f>AND(#REF!,"AAAAAD/Gf9w=")</f>
        <v>#REF!</v>
      </c>
      <c r="HN44" t="e">
        <f>AND(#REF!,"AAAAAD/Gf90=")</f>
        <v>#REF!</v>
      </c>
      <c r="HO44" t="e">
        <f>AND(#REF!,"AAAAAD/Gf94=")</f>
        <v>#REF!</v>
      </c>
      <c r="HP44" t="e">
        <f>AND(#REF!,"AAAAAD/Gf98=")</f>
        <v>#REF!</v>
      </c>
      <c r="HQ44" t="e">
        <f>AND(#REF!,"AAAAAD/Gf+A=")</f>
        <v>#REF!</v>
      </c>
      <c r="HR44" t="e">
        <f>IF(#REF!,"AAAAAD/Gf+E=",0)</f>
        <v>#REF!</v>
      </c>
      <c r="HS44" t="e">
        <f>AND(#REF!,"AAAAAD/Gf+I=")</f>
        <v>#REF!</v>
      </c>
      <c r="HT44" t="e">
        <f>AND(#REF!,"AAAAAD/Gf+M=")</f>
        <v>#REF!</v>
      </c>
      <c r="HU44" t="e">
        <f>AND(#REF!,"AAAAAD/Gf+Q=")</f>
        <v>#REF!</v>
      </c>
      <c r="HV44" t="e">
        <f>AND(#REF!,"AAAAAD/Gf+U=")</f>
        <v>#REF!</v>
      </c>
      <c r="HW44" t="e">
        <f>AND(#REF!,"AAAAAD/Gf+Y=")</f>
        <v>#REF!</v>
      </c>
      <c r="HX44" t="e">
        <f>AND(#REF!,"AAAAAD/Gf+c=")</f>
        <v>#REF!</v>
      </c>
      <c r="HY44" t="e">
        <f>AND(#REF!,"AAAAAD/Gf+g=")</f>
        <v>#REF!</v>
      </c>
      <c r="HZ44" t="e">
        <f>AND(#REF!,"AAAAAD/Gf+k=")</f>
        <v>#REF!</v>
      </c>
      <c r="IA44" t="e">
        <f>AND(#REF!,"AAAAAD/Gf+o=")</f>
        <v>#REF!</v>
      </c>
      <c r="IB44" t="e">
        <f>IF(#REF!,"AAAAAD/Gf+s=",0)</f>
        <v>#REF!</v>
      </c>
      <c r="IC44" t="e">
        <f>AND(#REF!,"AAAAAD/Gf+w=")</f>
        <v>#REF!</v>
      </c>
      <c r="ID44" t="e">
        <f>AND(#REF!,"AAAAAD/Gf+0=")</f>
        <v>#REF!</v>
      </c>
      <c r="IE44" t="e">
        <f>AND(#REF!,"AAAAAD/Gf+4=")</f>
        <v>#REF!</v>
      </c>
      <c r="IF44" t="e">
        <f>AND(#REF!,"AAAAAD/Gf+8=")</f>
        <v>#REF!</v>
      </c>
      <c r="IG44" t="e">
        <f>AND(#REF!,"AAAAAD/Gf/A=")</f>
        <v>#REF!</v>
      </c>
      <c r="IH44" t="e">
        <f>AND(#REF!,"AAAAAD/Gf/E=")</f>
        <v>#REF!</v>
      </c>
      <c r="II44" t="e">
        <f>AND(#REF!,"AAAAAD/Gf/I=")</f>
        <v>#REF!</v>
      </c>
      <c r="IJ44" t="e">
        <f>AND(#REF!,"AAAAAD/Gf/M=")</f>
        <v>#REF!</v>
      </c>
      <c r="IK44" t="e">
        <f>AND(#REF!,"AAAAAD/Gf/Q=")</f>
        <v>#REF!</v>
      </c>
      <c r="IL44" t="e">
        <f>IF(#REF!,"AAAAAD/Gf/U=",0)</f>
        <v>#REF!</v>
      </c>
      <c r="IM44" t="e">
        <f>AND(#REF!,"AAAAAD/Gf/Y=")</f>
        <v>#REF!</v>
      </c>
      <c r="IN44" t="e">
        <f>AND(#REF!,"AAAAAD/Gf/c=")</f>
        <v>#REF!</v>
      </c>
      <c r="IO44" t="e">
        <f>AND(#REF!,"AAAAAD/Gf/g=")</f>
        <v>#REF!</v>
      </c>
      <c r="IP44" t="e">
        <f>AND(#REF!,"AAAAAD/Gf/k=")</f>
        <v>#REF!</v>
      </c>
      <c r="IQ44" t="e">
        <f>AND(#REF!,"AAAAAD/Gf/o=")</f>
        <v>#REF!</v>
      </c>
      <c r="IR44" t="e">
        <f>AND(#REF!,"AAAAAD/Gf/s=")</f>
        <v>#REF!</v>
      </c>
      <c r="IS44" t="e">
        <f>AND(#REF!,"AAAAAD/Gf/w=")</f>
        <v>#REF!</v>
      </c>
      <c r="IT44" t="e">
        <f>AND(#REF!,"AAAAAD/Gf/0=")</f>
        <v>#REF!</v>
      </c>
      <c r="IU44" t="e">
        <f>AND(#REF!,"AAAAAD/Gf/4=")</f>
        <v>#REF!</v>
      </c>
      <c r="IV44" t="e">
        <f>IF(#REF!,"AAAAAD/Gf/8=",0)</f>
        <v>#REF!</v>
      </c>
    </row>
    <row r="45" spans="1:256">
      <c r="A45" t="e">
        <f>AND(#REF!,"AAAAAFW+3wA=")</f>
        <v>#REF!</v>
      </c>
      <c r="B45" t="e">
        <f>AND(#REF!,"AAAAAFW+3wE=")</f>
        <v>#REF!</v>
      </c>
      <c r="C45" t="e">
        <f>AND(#REF!,"AAAAAFW+3wI=")</f>
        <v>#REF!</v>
      </c>
      <c r="D45" t="e">
        <f>AND(#REF!,"AAAAAFW+3wM=")</f>
        <v>#REF!</v>
      </c>
      <c r="E45" t="e">
        <f>AND(#REF!,"AAAAAFW+3wQ=")</f>
        <v>#REF!</v>
      </c>
      <c r="F45" t="e">
        <f>AND(#REF!,"AAAAAFW+3wU=")</f>
        <v>#REF!</v>
      </c>
      <c r="G45" t="e">
        <f>AND(#REF!,"AAAAAFW+3wY=")</f>
        <v>#REF!</v>
      </c>
      <c r="H45" t="e">
        <f>AND(#REF!,"AAAAAFW+3wc=")</f>
        <v>#REF!</v>
      </c>
      <c r="I45" t="e">
        <f>AND(#REF!,"AAAAAFW+3wg=")</f>
        <v>#REF!</v>
      </c>
      <c r="J45" t="e">
        <f>IF(#REF!,"AAAAAFW+3wk=",0)</f>
        <v>#REF!</v>
      </c>
      <c r="K45" t="e">
        <f>AND(#REF!,"AAAAAFW+3wo=")</f>
        <v>#REF!</v>
      </c>
      <c r="L45" t="e">
        <f>AND(#REF!,"AAAAAFW+3ws=")</f>
        <v>#REF!</v>
      </c>
      <c r="M45" t="e">
        <f>AND(#REF!,"AAAAAFW+3ww=")</f>
        <v>#REF!</v>
      </c>
      <c r="N45" t="e">
        <f>AND(#REF!,"AAAAAFW+3w0=")</f>
        <v>#REF!</v>
      </c>
      <c r="O45" t="e">
        <f>AND(#REF!,"AAAAAFW+3w4=")</f>
        <v>#REF!</v>
      </c>
      <c r="P45" t="e">
        <f>AND(#REF!,"AAAAAFW+3w8=")</f>
        <v>#REF!</v>
      </c>
      <c r="Q45" t="e">
        <f>AND(#REF!,"AAAAAFW+3xA=")</f>
        <v>#REF!</v>
      </c>
      <c r="R45" t="e">
        <f>AND(#REF!,"AAAAAFW+3xE=")</f>
        <v>#REF!</v>
      </c>
      <c r="S45" t="e">
        <f>AND(#REF!,"AAAAAFW+3xI=")</f>
        <v>#REF!</v>
      </c>
      <c r="T45" t="e">
        <f>IF(#REF!,"AAAAAFW+3xM=",0)</f>
        <v>#REF!</v>
      </c>
      <c r="U45" t="e">
        <f>AND(#REF!,"AAAAAFW+3xQ=")</f>
        <v>#REF!</v>
      </c>
      <c r="V45" t="e">
        <f>AND(#REF!,"AAAAAFW+3xU=")</f>
        <v>#REF!</v>
      </c>
      <c r="W45" t="e">
        <f>AND(#REF!,"AAAAAFW+3xY=")</f>
        <v>#REF!</v>
      </c>
      <c r="X45" t="e">
        <f>AND(#REF!,"AAAAAFW+3xc=")</f>
        <v>#REF!</v>
      </c>
      <c r="Y45" t="e">
        <f>AND(#REF!,"AAAAAFW+3xg=")</f>
        <v>#REF!</v>
      </c>
      <c r="Z45" t="e">
        <f>AND(#REF!,"AAAAAFW+3xk=")</f>
        <v>#REF!</v>
      </c>
      <c r="AA45" t="e">
        <f>AND(#REF!,"AAAAAFW+3xo=")</f>
        <v>#REF!</v>
      </c>
      <c r="AB45" t="e">
        <f>AND(#REF!,"AAAAAFW+3xs=")</f>
        <v>#REF!</v>
      </c>
      <c r="AC45" t="e">
        <f>AND(#REF!,"AAAAAFW+3xw=")</f>
        <v>#REF!</v>
      </c>
      <c r="AD45" t="e">
        <f>IF(#REF!,"AAAAAFW+3x0=",0)</f>
        <v>#REF!</v>
      </c>
      <c r="AE45" t="e">
        <f>AND(#REF!,"AAAAAFW+3x4=")</f>
        <v>#REF!</v>
      </c>
      <c r="AF45" t="e">
        <f>AND(#REF!,"AAAAAFW+3x8=")</f>
        <v>#REF!</v>
      </c>
      <c r="AG45" t="e">
        <f>AND(#REF!,"AAAAAFW+3yA=")</f>
        <v>#REF!</v>
      </c>
      <c r="AH45" t="e">
        <f>AND(#REF!,"AAAAAFW+3yE=")</f>
        <v>#REF!</v>
      </c>
      <c r="AI45" t="e">
        <f>AND(#REF!,"AAAAAFW+3yI=")</f>
        <v>#REF!</v>
      </c>
      <c r="AJ45" t="e">
        <f>AND(#REF!,"AAAAAFW+3yM=")</f>
        <v>#REF!</v>
      </c>
      <c r="AK45" t="e">
        <f>AND(#REF!,"AAAAAFW+3yQ=")</f>
        <v>#REF!</v>
      </c>
      <c r="AL45" t="e">
        <f>AND(#REF!,"AAAAAFW+3yU=")</f>
        <v>#REF!</v>
      </c>
      <c r="AM45" t="e">
        <f>AND(#REF!,"AAAAAFW+3yY=")</f>
        <v>#REF!</v>
      </c>
      <c r="AN45" t="e">
        <f>IF(#REF!,"AAAAAFW+3yc=",0)</f>
        <v>#REF!</v>
      </c>
      <c r="AO45" t="e">
        <f>AND(#REF!,"AAAAAFW+3yg=")</f>
        <v>#REF!</v>
      </c>
      <c r="AP45" t="e">
        <f>AND(#REF!,"AAAAAFW+3yk=")</f>
        <v>#REF!</v>
      </c>
      <c r="AQ45" t="e">
        <f>AND(#REF!,"AAAAAFW+3yo=")</f>
        <v>#REF!</v>
      </c>
      <c r="AR45" t="e">
        <f>AND(#REF!,"AAAAAFW+3ys=")</f>
        <v>#REF!</v>
      </c>
      <c r="AS45" t="e">
        <f>AND(#REF!,"AAAAAFW+3yw=")</f>
        <v>#REF!</v>
      </c>
      <c r="AT45" t="e">
        <f>AND(#REF!,"AAAAAFW+3y0=")</f>
        <v>#REF!</v>
      </c>
      <c r="AU45" t="e">
        <f>AND(#REF!,"AAAAAFW+3y4=")</f>
        <v>#REF!</v>
      </c>
      <c r="AV45" t="e">
        <f>AND(#REF!,"AAAAAFW+3y8=")</f>
        <v>#REF!</v>
      </c>
      <c r="AW45" t="e">
        <f>AND(#REF!,"AAAAAFW+3zA=")</f>
        <v>#REF!</v>
      </c>
      <c r="AX45" t="e">
        <f>IF(#REF!,"AAAAAFW+3zE=",0)</f>
        <v>#REF!</v>
      </c>
      <c r="AY45" t="e">
        <f>AND(#REF!,"AAAAAFW+3zI=")</f>
        <v>#REF!</v>
      </c>
      <c r="AZ45" t="e">
        <f>AND(#REF!,"AAAAAFW+3zM=")</f>
        <v>#REF!</v>
      </c>
      <c r="BA45" t="e">
        <f>AND(#REF!,"AAAAAFW+3zQ=")</f>
        <v>#REF!</v>
      </c>
      <c r="BB45" t="e">
        <f>AND(#REF!,"AAAAAFW+3zU=")</f>
        <v>#REF!</v>
      </c>
      <c r="BC45" t="e">
        <f>AND(#REF!,"AAAAAFW+3zY=")</f>
        <v>#REF!</v>
      </c>
      <c r="BD45" t="e">
        <f>AND(#REF!,"AAAAAFW+3zc=")</f>
        <v>#REF!</v>
      </c>
      <c r="BE45" t="e">
        <f>AND(#REF!,"AAAAAFW+3zg=")</f>
        <v>#REF!</v>
      </c>
      <c r="BF45" t="e">
        <f>AND(#REF!,"AAAAAFW+3zk=")</f>
        <v>#REF!</v>
      </c>
      <c r="BG45" t="e">
        <f>AND(#REF!,"AAAAAFW+3zo=")</f>
        <v>#REF!</v>
      </c>
      <c r="BH45" t="e">
        <f>IF(#REF!,"AAAAAFW+3zs=",0)</f>
        <v>#REF!</v>
      </c>
      <c r="BI45" t="e">
        <f>AND(#REF!,"AAAAAFW+3zw=")</f>
        <v>#REF!</v>
      </c>
      <c r="BJ45" t="e">
        <f>AND(#REF!,"AAAAAFW+3z0=")</f>
        <v>#REF!</v>
      </c>
      <c r="BK45" t="e">
        <f>AND(#REF!,"AAAAAFW+3z4=")</f>
        <v>#REF!</v>
      </c>
      <c r="BL45" t="e">
        <f>AND(#REF!,"AAAAAFW+3z8=")</f>
        <v>#REF!</v>
      </c>
      <c r="BM45" t="e">
        <f>AND(#REF!,"AAAAAFW+30A=")</f>
        <v>#REF!</v>
      </c>
      <c r="BN45" t="e">
        <f>AND(#REF!,"AAAAAFW+30E=")</f>
        <v>#REF!</v>
      </c>
      <c r="BO45" t="e">
        <f>AND(#REF!,"AAAAAFW+30I=")</f>
        <v>#REF!</v>
      </c>
      <c r="BP45" t="e">
        <f>AND(#REF!,"AAAAAFW+30M=")</f>
        <v>#REF!</v>
      </c>
      <c r="BQ45" t="e">
        <f>AND(#REF!,"AAAAAFW+30Q=")</f>
        <v>#REF!</v>
      </c>
      <c r="BR45" t="e">
        <f>IF(#REF!,"AAAAAFW+30U=",0)</f>
        <v>#REF!</v>
      </c>
      <c r="BS45" t="e">
        <f>AND(#REF!,"AAAAAFW+30Y=")</f>
        <v>#REF!</v>
      </c>
      <c r="BT45" t="e">
        <f>AND(#REF!,"AAAAAFW+30c=")</f>
        <v>#REF!</v>
      </c>
      <c r="BU45" t="e">
        <f>AND(#REF!,"AAAAAFW+30g=")</f>
        <v>#REF!</v>
      </c>
      <c r="BV45" t="e">
        <f>AND(#REF!,"AAAAAFW+30k=")</f>
        <v>#REF!</v>
      </c>
      <c r="BW45" t="e">
        <f>AND(#REF!,"AAAAAFW+30o=")</f>
        <v>#REF!</v>
      </c>
      <c r="BX45" t="e">
        <f>AND(#REF!,"AAAAAFW+30s=")</f>
        <v>#REF!</v>
      </c>
      <c r="BY45" t="e">
        <f>AND(#REF!,"AAAAAFW+30w=")</f>
        <v>#REF!</v>
      </c>
      <c r="BZ45" t="e">
        <f>AND(#REF!,"AAAAAFW+300=")</f>
        <v>#REF!</v>
      </c>
      <c r="CA45" t="e">
        <f>AND(#REF!,"AAAAAFW+304=")</f>
        <v>#REF!</v>
      </c>
      <c r="CB45" t="e">
        <f>IF(#REF!,"AAAAAFW+308=",0)</f>
        <v>#REF!</v>
      </c>
      <c r="CC45" t="e">
        <f>AND(#REF!,"AAAAAFW+31A=")</f>
        <v>#REF!</v>
      </c>
      <c r="CD45" t="e">
        <f>AND(#REF!,"AAAAAFW+31E=")</f>
        <v>#REF!</v>
      </c>
      <c r="CE45" t="e">
        <f>AND(#REF!,"AAAAAFW+31I=")</f>
        <v>#REF!</v>
      </c>
      <c r="CF45" t="e">
        <f>AND(#REF!,"AAAAAFW+31M=")</f>
        <v>#REF!</v>
      </c>
      <c r="CG45" t="e">
        <f>AND(#REF!,"AAAAAFW+31Q=")</f>
        <v>#REF!</v>
      </c>
      <c r="CH45" t="e">
        <f>AND(#REF!,"AAAAAFW+31U=")</f>
        <v>#REF!</v>
      </c>
      <c r="CI45" t="e">
        <f>AND(#REF!,"AAAAAFW+31Y=")</f>
        <v>#REF!</v>
      </c>
      <c r="CJ45" t="e">
        <f>AND(#REF!,"AAAAAFW+31c=")</f>
        <v>#REF!</v>
      </c>
      <c r="CK45" t="e">
        <f>AND(#REF!,"AAAAAFW+31g=")</f>
        <v>#REF!</v>
      </c>
      <c r="CL45" t="e">
        <f>IF(#REF!,"AAAAAFW+31k=",0)</f>
        <v>#REF!</v>
      </c>
      <c r="CM45" t="e">
        <f>AND(#REF!,"AAAAAFW+31o=")</f>
        <v>#REF!</v>
      </c>
      <c r="CN45" t="e">
        <f>AND(#REF!,"AAAAAFW+31s=")</f>
        <v>#REF!</v>
      </c>
      <c r="CO45" t="e">
        <f>AND(#REF!,"AAAAAFW+31w=")</f>
        <v>#REF!</v>
      </c>
      <c r="CP45" t="e">
        <f>AND(#REF!,"AAAAAFW+310=")</f>
        <v>#REF!</v>
      </c>
      <c r="CQ45" t="e">
        <f>AND(#REF!,"AAAAAFW+314=")</f>
        <v>#REF!</v>
      </c>
      <c r="CR45" t="e">
        <f>AND(#REF!,"AAAAAFW+318=")</f>
        <v>#REF!</v>
      </c>
      <c r="CS45" t="e">
        <f>AND(#REF!,"AAAAAFW+32A=")</f>
        <v>#REF!</v>
      </c>
      <c r="CT45" t="e">
        <f>AND(#REF!,"AAAAAFW+32E=")</f>
        <v>#REF!</v>
      </c>
      <c r="CU45" t="e">
        <f>AND(#REF!,"AAAAAFW+32I=")</f>
        <v>#REF!</v>
      </c>
      <c r="CV45" t="e">
        <f>IF(#REF!,"AAAAAFW+32M=",0)</f>
        <v>#REF!</v>
      </c>
      <c r="CW45" t="e">
        <f>AND(#REF!,"AAAAAFW+32Q=")</f>
        <v>#REF!</v>
      </c>
      <c r="CX45" t="e">
        <f>AND(#REF!,"AAAAAFW+32U=")</f>
        <v>#REF!</v>
      </c>
      <c r="CY45" t="e">
        <f>AND(#REF!,"AAAAAFW+32Y=")</f>
        <v>#REF!</v>
      </c>
      <c r="CZ45" t="e">
        <f>AND(#REF!,"AAAAAFW+32c=")</f>
        <v>#REF!</v>
      </c>
      <c r="DA45" t="e">
        <f>AND(#REF!,"AAAAAFW+32g=")</f>
        <v>#REF!</v>
      </c>
      <c r="DB45" t="e">
        <f>AND(#REF!,"AAAAAFW+32k=")</f>
        <v>#REF!</v>
      </c>
      <c r="DC45" t="e">
        <f>AND(#REF!,"AAAAAFW+32o=")</f>
        <v>#REF!</v>
      </c>
      <c r="DD45" t="e">
        <f>AND(#REF!,"AAAAAFW+32s=")</f>
        <v>#REF!</v>
      </c>
      <c r="DE45" t="e">
        <f>AND(#REF!,"AAAAAFW+32w=")</f>
        <v>#REF!</v>
      </c>
      <c r="DF45" t="e">
        <f>IF(#REF!,"AAAAAFW+320=",0)</f>
        <v>#REF!</v>
      </c>
      <c r="DG45" t="e">
        <f>AND(#REF!,"AAAAAFW+324=")</f>
        <v>#REF!</v>
      </c>
      <c r="DH45" t="e">
        <f>AND(#REF!,"AAAAAFW+328=")</f>
        <v>#REF!</v>
      </c>
      <c r="DI45" t="e">
        <f>AND(#REF!,"AAAAAFW+33A=")</f>
        <v>#REF!</v>
      </c>
      <c r="DJ45" t="e">
        <f>AND(#REF!,"AAAAAFW+33E=")</f>
        <v>#REF!</v>
      </c>
      <c r="DK45" t="e">
        <f>AND(#REF!,"AAAAAFW+33I=")</f>
        <v>#REF!</v>
      </c>
      <c r="DL45" t="e">
        <f>AND(#REF!,"AAAAAFW+33M=")</f>
        <v>#REF!</v>
      </c>
      <c r="DM45" t="e">
        <f>AND(#REF!,"AAAAAFW+33Q=")</f>
        <v>#REF!</v>
      </c>
      <c r="DN45" t="e">
        <f>AND(#REF!,"AAAAAFW+33U=")</f>
        <v>#REF!</v>
      </c>
      <c r="DO45" t="e">
        <f>AND(#REF!,"AAAAAFW+33Y=")</f>
        <v>#REF!</v>
      </c>
      <c r="DP45" t="e">
        <f>IF(#REF!,"AAAAAFW+33c=",0)</f>
        <v>#REF!</v>
      </c>
      <c r="DQ45" t="e">
        <f>AND(#REF!,"AAAAAFW+33g=")</f>
        <v>#REF!</v>
      </c>
      <c r="DR45" t="e">
        <f>AND(#REF!,"AAAAAFW+33k=")</f>
        <v>#REF!</v>
      </c>
      <c r="DS45" t="e">
        <f>AND(#REF!,"AAAAAFW+33o=")</f>
        <v>#REF!</v>
      </c>
      <c r="DT45" t="e">
        <f>AND(#REF!,"AAAAAFW+33s=")</f>
        <v>#REF!</v>
      </c>
      <c r="DU45" t="e">
        <f>AND(#REF!,"AAAAAFW+33w=")</f>
        <v>#REF!</v>
      </c>
      <c r="DV45" t="e">
        <f>AND(#REF!,"AAAAAFW+330=")</f>
        <v>#REF!</v>
      </c>
      <c r="DW45" t="e">
        <f>AND(#REF!,"AAAAAFW+334=")</f>
        <v>#REF!</v>
      </c>
      <c r="DX45" t="e">
        <f>AND(#REF!,"AAAAAFW+338=")</f>
        <v>#REF!</v>
      </c>
      <c r="DY45" t="e">
        <f>AND(#REF!,"AAAAAFW+34A=")</f>
        <v>#REF!</v>
      </c>
      <c r="DZ45" t="e">
        <f>IF(#REF!,"AAAAAFW+34E=",0)</f>
        <v>#REF!</v>
      </c>
      <c r="EA45" t="e">
        <f>AND(#REF!,"AAAAAFW+34I=")</f>
        <v>#REF!</v>
      </c>
      <c r="EB45" t="e">
        <f>AND(#REF!,"AAAAAFW+34M=")</f>
        <v>#REF!</v>
      </c>
      <c r="EC45" t="e">
        <f>AND(#REF!,"AAAAAFW+34Q=")</f>
        <v>#REF!</v>
      </c>
      <c r="ED45" t="e">
        <f>AND(#REF!,"AAAAAFW+34U=")</f>
        <v>#REF!</v>
      </c>
      <c r="EE45" t="e">
        <f>AND(#REF!,"AAAAAFW+34Y=")</f>
        <v>#REF!</v>
      </c>
      <c r="EF45" t="e">
        <f>AND(#REF!,"AAAAAFW+34c=")</f>
        <v>#REF!</v>
      </c>
      <c r="EG45" t="e">
        <f>AND(#REF!,"AAAAAFW+34g=")</f>
        <v>#REF!</v>
      </c>
      <c r="EH45" t="e">
        <f>AND(#REF!,"AAAAAFW+34k=")</f>
        <v>#REF!</v>
      </c>
      <c r="EI45" t="e">
        <f>AND(#REF!,"AAAAAFW+34o=")</f>
        <v>#REF!</v>
      </c>
      <c r="EJ45" t="e">
        <f>IF(#REF!,"AAAAAFW+34s=",0)</f>
        <v>#REF!</v>
      </c>
      <c r="EK45" t="e">
        <f>AND(#REF!,"AAAAAFW+34w=")</f>
        <v>#REF!</v>
      </c>
      <c r="EL45" t="e">
        <f>AND(#REF!,"AAAAAFW+340=")</f>
        <v>#REF!</v>
      </c>
      <c r="EM45" t="e">
        <f>AND(#REF!,"AAAAAFW+344=")</f>
        <v>#REF!</v>
      </c>
      <c r="EN45" t="e">
        <f>AND(#REF!,"AAAAAFW+348=")</f>
        <v>#REF!</v>
      </c>
      <c r="EO45" t="e">
        <f>AND(#REF!,"AAAAAFW+35A=")</f>
        <v>#REF!</v>
      </c>
      <c r="EP45" t="e">
        <f>AND(#REF!,"AAAAAFW+35E=")</f>
        <v>#REF!</v>
      </c>
      <c r="EQ45" t="e">
        <f>AND(#REF!,"AAAAAFW+35I=")</f>
        <v>#REF!</v>
      </c>
      <c r="ER45" t="e">
        <f>AND(#REF!,"AAAAAFW+35M=")</f>
        <v>#REF!</v>
      </c>
      <c r="ES45" t="e">
        <f>AND(#REF!,"AAAAAFW+35Q=")</f>
        <v>#REF!</v>
      </c>
      <c r="ET45" t="e">
        <f>IF(#REF!,"AAAAAFW+35U=",0)</f>
        <v>#REF!</v>
      </c>
      <c r="EU45" t="e">
        <f>AND(#REF!,"AAAAAFW+35Y=")</f>
        <v>#REF!</v>
      </c>
      <c r="EV45" t="e">
        <f>AND(#REF!,"AAAAAFW+35c=")</f>
        <v>#REF!</v>
      </c>
      <c r="EW45" t="e">
        <f>AND(#REF!,"AAAAAFW+35g=")</f>
        <v>#REF!</v>
      </c>
      <c r="EX45" t="e">
        <f>AND(#REF!,"AAAAAFW+35k=")</f>
        <v>#REF!</v>
      </c>
      <c r="EY45" t="e">
        <f>AND(#REF!,"AAAAAFW+35o=")</f>
        <v>#REF!</v>
      </c>
      <c r="EZ45" t="e">
        <f>AND(#REF!,"AAAAAFW+35s=")</f>
        <v>#REF!</v>
      </c>
      <c r="FA45" t="e">
        <f>AND(#REF!,"AAAAAFW+35w=")</f>
        <v>#REF!</v>
      </c>
      <c r="FB45" t="e">
        <f>AND(#REF!,"AAAAAFW+350=")</f>
        <v>#REF!</v>
      </c>
      <c r="FC45" t="e">
        <f>AND(#REF!,"AAAAAFW+354=")</f>
        <v>#REF!</v>
      </c>
      <c r="FD45" t="e">
        <f>IF(#REF!,"AAAAAFW+358=",0)</f>
        <v>#REF!</v>
      </c>
      <c r="FE45" t="e">
        <f>AND(#REF!,"AAAAAFW+36A=")</f>
        <v>#REF!</v>
      </c>
      <c r="FF45" t="e">
        <f>AND(#REF!,"AAAAAFW+36E=")</f>
        <v>#REF!</v>
      </c>
      <c r="FG45" t="e">
        <f>AND(#REF!,"AAAAAFW+36I=")</f>
        <v>#REF!</v>
      </c>
      <c r="FH45" t="e">
        <f>AND(#REF!,"AAAAAFW+36M=")</f>
        <v>#REF!</v>
      </c>
      <c r="FI45" t="e">
        <f>AND(#REF!,"AAAAAFW+36Q=")</f>
        <v>#REF!</v>
      </c>
      <c r="FJ45" t="e">
        <f>AND(#REF!,"AAAAAFW+36U=")</f>
        <v>#REF!</v>
      </c>
      <c r="FK45" t="e">
        <f>AND(#REF!,"AAAAAFW+36Y=")</f>
        <v>#REF!</v>
      </c>
      <c r="FL45" t="e">
        <f>AND(#REF!,"AAAAAFW+36c=")</f>
        <v>#REF!</v>
      </c>
      <c r="FM45" t="e">
        <f>AND(#REF!,"AAAAAFW+36g=")</f>
        <v>#REF!</v>
      </c>
      <c r="FN45" t="e">
        <f>IF(#REF!,"AAAAAFW+36k=",0)</f>
        <v>#REF!</v>
      </c>
      <c r="FO45" t="e">
        <f>AND(#REF!,"AAAAAFW+36o=")</f>
        <v>#REF!</v>
      </c>
      <c r="FP45" t="e">
        <f>AND(#REF!,"AAAAAFW+36s=")</f>
        <v>#REF!</v>
      </c>
      <c r="FQ45" t="e">
        <f>AND(#REF!,"AAAAAFW+36w=")</f>
        <v>#REF!</v>
      </c>
      <c r="FR45" t="e">
        <f>AND(#REF!,"AAAAAFW+360=")</f>
        <v>#REF!</v>
      </c>
      <c r="FS45" t="e">
        <f>AND(#REF!,"AAAAAFW+364=")</f>
        <v>#REF!</v>
      </c>
      <c r="FT45" t="e">
        <f>AND(#REF!,"AAAAAFW+368=")</f>
        <v>#REF!</v>
      </c>
      <c r="FU45" t="e">
        <f>AND(#REF!,"AAAAAFW+37A=")</f>
        <v>#REF!</v>
      </c>
      <c r="FV45" t="e">
        <f>AND(#REF!,"AAAAAFW+37E=")</f>
        <v>#REF!</v>
      </c>
      <c r="FW45" t="e">
        <f>AND(#REF!,"AAAAAFW+37I=")</f>
        <v>#REF!</v>
      </c>
      <c r="FX45" t="e">
        <f>IF(#REF!,"AAAAAFW+37M=",0)</f>
        <v>#REF!</v>
      </c>
      <c r="FY45" t="e">
        <f>AND(#REF!,"AAAAAFW+37Q=")</f>
        <v>#REF!</v>
      </c>
      <c r="FZ45" t="e">
        <f>AND(#REF!,"AAAAAFW+37U=")</f>
        <v>#REF!</v>
      </c>
      <c r="GA45" t="e">
        <f>AND(#REF!,"AAAAAFW+37Y=")</f>
        <v>#REF!</v>
      </c>
      <c r="GB45" t="e">
        <f>AND(#REF!,"AAAAAFW+37c=")</f>
        <v>#REF!</v>
      </c>
      <c r="GC45" t="e">
        <f>AND(#REF!,"AAAAAFW+37g=")</f>
        <v>#REF!</v>
      </c>
      <c r="GD45" t="e">
        <f>AND(#REF!,"AAAAAFW+37k=")</f>
        <v>#REF!</v>
      </c>
      <c r="GE45" t="e">
        <f>AND(#REF!,"AAAAAFW+37o=")</f>
        <v>#REF!</v>
      </c>
      <c r="GF45" t="e">
        <f>AND(#REF!,"AAAAAFW+37s=")</f>
        <v>#REF!</v>
      </c>
      <c r="GG45" t="e">
        <f>AND(#REF!,"AAAAAFW+37w=")</f>
        <v>#REF!</v>
      </c>
      <c r="GH45" t="e">
        <f>IF(#REF!,"AAAAAFW+370=",0)</f>
        <v>#REF!</v>
      </c>
      <c r="GI45" t="e">
        <f>AND(#REF!,"AAAAAFW+374=")</f>
        <v>#REF!</v>
      </c>
      <c r="GJ45" t="e">
        <f>AND(#REF!,"AAAAAFW+378=")</f>
        <v>#REF!</v>
      </c>
      <c r="GK45" t="e">
        <f>AND(#REF!,"AAAAAFW+38A=")</f>
        <v>#REF!</v>
      </c>
      <c r="GL45" t="e">
        <f>AND(#REF!,"AAAAAFW+38E=")</f>
        <v>#REF!</v>
      </c>
      <c r="GM45" t="e">
        <f>AND(#REF!,"AAAAAFW+38I=")</f>
        <v>#REF!</v>
      </c>
      <c r="GN45" t="e">
        <f>AND(#REF!,"AAAAAFW+38M=")</f>
        <v>#REF!</v>
      </c>
      <c r="GO45" t="e">
        <f>AND(#REF!,"AAAAAFW+38Q=")</f>
        <v>#REF!</v>
      </c>
      <c r="GP45" t="e">
        <f>AND(#REF!,"AAAAAFW+38U=")</f>
        <v>#REF!</v>
      </c>
      <c r="GQ45" t="e">
        <f>AND(#REF!,"AAAAAFW+38Y=")</f>
        <v>#REF!</v>
      </c>
      <c r="GR45" t="e">
        <f>IF(#REF!,"AAAAAFW+38c=",0)</f>
        <v>#REF!</v>
      </c>
      <c r="GS45" t="e">
        <f>AND(#REF!,"AAAAAFW+38g=")</f>
        <v>#REF!</v>
      </c>
      <c r="GT45" t="e">
        <f>AND(#REF!,"AAAAAFW+38k=")</f>
        <v>#REF!</v>
      </c>
      <c r="GU45" t="e">
        <f>AND(#REF!,"AAAAAFW+38o=")</f>
        <v>#REF!</v>
      </c>
      <c r="GV45" t="e">
        <f>AND(#REF!,"AAAAAFW+38s=")</f>
        <v>#REF!</v>
      </c>
      <c r="GW45" t="e">
        <f>AND(#REF!,"AAAAAFW+38w=")</f>
        <v>#REF!</v>
      </c>
      <c r="GX45" t="e">
        <f>AND(#REF!,"AAAAAFW+380=")</f>
        <v>#REF!</v>
      </c>
      <c r="GY45" t="e">
        <f>AND(#REF!,"AAAAAFW+384=")</f>
        <v>#REF!</v>
      </c>
      <c r="GZ45" t="e">
        <f>AND(#REF!,"AAAAAFW+388=")</f>
        <v>#REF!</v>
      </c>
      <c r="HA45" t="e">
        <f>AND(#REF!,"AAAAAFW+39A=")</f>
        <v>#REF!</v>
      </c>
      <c r="HB45" t="e">
        <f>IF(#REF!,"AAAAAFW+39E=",0)</f>
        <v>#REF!</v>
      </c>
      <c r="HC45" t="e">
        <f>AND(#REF!,"AAAAAFW+39I=")</f>
        <v>#REF!</v>
      </c>
      <c r="HD45" t="e">
        <f>AND(#REF!,"AAAAAFW+39M=")</f>
        <v>#REF!</v>
      </c>
      <c r="HE45" t="e">
        <f>AND(#REF!,"AAAAAFW+39Q=")</f>
        <v>#REF!</v>
      </c>
      <c r="HF45" t="e">
        <f>AND(#REF!,"AAAAAFW+39U=")</f>
        <v>#REF!</v>
      </c>
      <c r="HG45" t="e">
        <f>AND(#REF!,"AAAAAFW+39Y=")</f>
        <v>#REF!</v>
      </c>
      <c r="HH45" t="e">
        <f>AND(#REF!,"AAAAAFW+39c=")</f>
        <v>#REF!</v>
      </c>
      <c r="HI45" t="e">
        <f>AND(#REF!,"AAAAAFW+39g=")</f>
        <v>#REF!</v>
      </c>
      <c r="HJ45" t="e">
        <f>AND(#REF!,"AAAAAFW+39k=")</f>
        <v>#REF!</v>
      </c>
      <c r="HK45" t="e">
        <f>AND(#REF!,"AAAAAFW+39o=")</f>
        <v>#REF!</v>
      </c>
      <c r="HL45" t="e">
        <f>IF(#REF!,"AAAAAFW+39s=",0)</f>
        <v>#REF!</v>
      </c>
      <c r="HM45" t="e">
        <f>AND(#REF!,"AAAAAFW+39w=")</f>
        <v>#REF!</v>
      </c>
      <c r="HN45" t="e">
        <f>AND(#REF!,"AAAAAFW+390=")</f>
        <v>#REF!</v>
      </c>
      <c r="HO45" t="e">
        <f>AND(#REF!,"AAAAAFW+394=")</f>
        <v>#REF!</v>
      </c>
      <c r="HP45" t="e">
        <f>AND(#REF!,"AAAAAFW+398=")</f>
        <v>#REF!</v>
      </c>
      <c r="HQ45" t="e">
        <f>AND(#REF!,"AAAAAFW+3+A=")</f>
        <v>#REF!</v>
      </c>
      <c r="HR45" t="e">
        <f>AND(#REF!,"AAAAAFW+3+E=")</f>
        <v>#REF!</v>
      </c>
      <c r="HS45" t="e">
        <f>AND(#REF!,"AAAAAFW+3+I=")</f>
        <v>#REF!</v>
      </c>
      <c r="HT45" t="e">
        <f>AND(#REF!,"AAAAAFW+3+M=")</f>
        <v>#REF!</v>
      </c>
      <c r="HU45" t="e">
        <f>AND(#REF!,"AAAAAFW+3+Q=")</f>
        <v>#REF!</v>
      </c>
      <c r="HV45" t="e">
        <f>IF(#REF!,"AAAAAFW+3+U=",0)</f>
        <v>#REF!</v>
      </c>
      <c r="HW45" t="e">
        <f>AND(#REF!,"AAAAAFW+3+Y=")</f>
        <v>#REF!</v>
      </c>
      <c r="HX45" t="e">
        <f>AND(#REF!,"AAAAAFW+3+c=")</f>
        <v>#REF!</v>
      </c>
      <c r="HY45" t="e">
        <f>AND(#REF!,"AAAAAFW+3+g=")</f>
        <v>#REF!</v>
      </c>
      <c r="HZ45" t="e">
        <f>AND(#REF!,"AAAAAFW+3+k=")</f>
        <v>#REF!</v>
      </c>
      <c r="IA45" t="e">
        <f>AND(#REF!,"AAAAAFW+3+o=")</f>
        <v>#REF!</v>
      </c>
      <c r="IB45" t="e">
        <f>AND(#REF!,"AAAAAFW+3+s=")</f>
        <v>#REF!</v>
      </c>
      <c r="IC45" t="e">
        <f>AND(#REF!,"AAAAAFW+3+w=")</f>
        <v>#REF!</v>
      </c>
      <c r="ID45" t="e">
        <f>AND(#REF!,"AAAAAFW+3+0=")</f>
        <v>#REF!</v>
      </c>
      <c r="IE45" t="e">
        <f>AND(#REF!,"AAAAAFW+3+4=")</f>
        <v>#REF!</v>
      </c>
      <c r="IF45" t="e">
        <f>IF(#REF!,"AAAAAFW+3+8=",0)</f>
        <v>#REF!</v>
      </c>
      <c r="IG45" t="e">
        <f>AND(#REF!,"AAAAAFW+3/A=")</f>
        <v>#REF!</v>
      </c>
      <c r="IH45" t="e">
        <f>AND(#REF!,"AAAAAFW+3/E=")</f>
        <v>#REF!</v>
      </c>
      <c r="II45" t="e">
        <f>AND(#REF!,"AAAAAFW+3/I=")</f>
        <v>#REF!</v>
      </c>
      <c r="IJ45" t="e">
        <f>AND(#REF!,"AAAAAFW+3/M=")</f>
        <v>#REF!</v>
      </c>
      <c r="IK45" t="e">
        <f>AND(#REF!,"AAAAAFW+3/Q=")</f>
        <v>#REF!</v>
      </c>
      <c r="IL45" t="e">
        <f>AND(#REF!,"AAAAAFW+3/U=")</f>
        <v>#REF!</v>
      </c>
      <c r="IM45" t="e">
        <f>AND(#REF!,"AAAAAFW+3/Y=")</f>
        <v>#REF!</v>
      </c>
      <c r="IN45" t="e">
        <f>AND(#REF!,"AAAAAFW+3/c=")</f>
        <v>#REF!</v>
      </c>
      <c r="IO45" t="e">
        <f>AND(#REF!,"AAAAAFW+3/g=")</f>
        <v>#REF!</v>
      </c>
      <c r="IP45" t="e">
        <f>IF(#REF!,"AAAAAFW+3/k=",0)</f>
        <v>#REF!</v>
      </c>
      <c r="IQ45" t="e">
        <f>AND(#REF!,"AAAAAFW+3/o=")</f>
        <v>#REF!</v>
      </c>
      <c r="IR45" t="e">
        <f>AND(#REF!,"AAAAAFW+3/s=")</f>
        <v>#REF!</v>
      </c>
      <c r="IS45" t="e">
        <f>AND(#REF!,"AAAAAFW+3/w=")</f>
        <v>#REF!</v>
      </c>
      <c r="IT45" t="e">
        <f>AND(#REF!,"AAAAAFW+3/0=")</f>
        <v>#REF!</v>
      </c>
      <c r="IU45" t="e">
        <f>AND(#REF!,"AAAAAFW+3/4=")</f>
        <v>#REF!</v>
      </c>
      <c r="IV45" t="e">
        <f>AND(#REF!,"AAAAAFW+3/8=")</f>
        <v>#REF!</v>
      </c>
    </row>
    <row r="46" spans="1:256">
      <c r="A46" t="e">
        <f>AND(#REF!,"AAAAAD60pQA=")</f>
        <v>#REF!</v>
      </c>
      <c r="B46" t="e">
        <f>AND(#REF!,"AAAAAD60pQE=")</f>
        <v>#REF!</v>
      </c>
      <c r="C46" t="e">
        <f>AND(#REF!,"AAAAAD60pQI=")</f>
        <v>#REF!</v>
      </c>
      <c r="D46" t="e">
        <f>IF(#REF!,"AAAAAD60pQM=",0)</f>
        <v>#REF!</v>
      </c>
      <c r="E46" t="e">
        <f>AND(#REF!,"AAAAAD60pQQ=")</f>
        <v>#REF!</v>
      </c>
      <c r="F46" t="e">
        <f>AND(#REF!,"AAAAAD60pQU=")</f>
        <v>#REF!</v>
      </c>
      <c r="G46" t="e">
        <f>AND(#REF!,"AAAAAD60pQY=")</f>
        <v>#REF!</v>
      </c>
      <c r="H46" t="e">
        <f>AND(#REF!,"AAAAAD60pQc=")</f>
        <v>#REF!</v>
      </c>
      <c r="I46" t="e">
        <f>AND(#REF!,"AAAAAD60pQg=")</f>
        <v>#REF!</v>
      </c>
      <c r="J46" t="e">
        <f>AND(#REF!,"AAAAAD60pQk=")</f>
        <v>#REF!</v>
      </c>
      <c r="K46" t="e">
        <f>AND(#REF!,"AAAAAD60pQo=")</f>
        <v>#REF!</v>
      </c>
      <c r="L46" t="e">
        <f>AND(#REF!,"AAAAAD60pQs=")</f>
        <v>#REF!</v>
      </c>
      <c r="M46" t="e">
        <f>AND(#REF!,"AAAAAD60pQw=")</f>
        <v>#REF!</v>
      </c>
      <c r="N46" t="e">
        <f>IF(#REF!,"AAAAAD60pQ0=",0)</f>
        <v>#REF!</v>
      </c>
      <c r="O46" t="e">
        <f>AND(#REF!,"AAAAAD60pQ4=")</f>
        <v>#REF!</v>
      </c>
      <c r="P46" t="e">
        <f>AND(#REF!,"AAAAAD60pQ8=")</f>
        <v>#REF!</v>
      </c>
      <c r="Q46" t="e">
        <f>AND(#REF!,"AAAAAD60pRA=")</f>
        <v>#REF!</v>
      </c>
      <c r="R46" t="e">
        <f>AND(#REF!,"AAAAAD60pRE=")</f>
        <v>#REF!</v>
      </c>
      <c r="S46" t="e">
        <f>AND(#REF!,"AAAAAD60pRI=")</f>
        <v>#REF!</v>
      </c>
      <c r="T46" t="e">
        <f>AND(#REF!,"AAAAAD60pRM=")</f>
        <v>#REF!</v>
      </c>
      <c r="U46" t="e">
        <f>AND(#REF!,"AAAAAD60pRQ=")</f>
        <v>#REF!</v>
      </c>
      <c r="V46" t="e">
        <f>AND(#REF!,"AAAAAD60pRU=")</f>
        <v>#REF!</v>
      </c>
      <c r="W46" t="e">
        <f>AND(#REF!,"AAAAAD60pRY=")</f>
        <v>#REF!</v>
      </c>
      <c r="X46" t="e">
        <f>IF(#REF!,"AAAAAD60pRc=",0)</f>
        <v>#REF!</v>
      </c>
      <c r="Y46" t="e">
        <f>AND(#REF!,"AAAAAD60pRg=")</f>
        <v>#REF!</v>
      </c>
      <c r="Z46" t="e">
        <f>AND(#REF!,"AAAAAD60pRk=")</f>
        <v>#REF!</v>
      </c>
      <c r="AA46" t="e">
        <f>AND(#REF!,"AAAAAD60pRo=")</f>
        <v>#REF!</v>
      </c>
      <c r="AB46" t="e">
        <f>AND(#REF!,"AAAAAD60pRs=")</f>
        <v>#REF!</v>
      </c>
      <c r="AC46" t="e">
        <f>AND(#REF!,"AAAAAD60pRw=")</f>
        <v>#REF!</v>
      </c>
      <c r="AD46" t="e">
        <f>AND(#REF!,"AAAAAD60pR0=")</f>
        <v>#REF!</v>
      </c>
      <c r="AE46" t="e">
        <f>AND(#REF!,"AAAAAD60pR4=")</f>
        <v>#REF!</v>
      </c>
      <c r="AF46" t="e">
        <f>AND(#REF!,"AAAAAD60pR8=")</f>
        <v>#REF!</v>
      </c>
      <c r="AG46" t="e">
        <f>AND(#REF!,"AAAAAD60pSA=")</f>
        <v>#REF!</v>
      </c>
      <c r="AH46" t="e">
        <f>IF(#REF!,"AAAAAD60pSE=",0)</f>
        <v>#REF!</v>
      </c>
      <c r="AI46" t="e">
        <f>AND(#REF!,"AAAAAD60pSI=")</f>
        <v>#REF!</v>
      </c>
      <c r="AJ46" t="e">
        <f>AND(#REF!,"AAAAAD60pSM=")</f>
        <v>#REF!</v>
      </c>
      <c r="AK46" t="e">
        <f>AND(#REF!,"AAAAAD60pSQ=")</f>
        <v>#REF!</v>
      </c>
      <c r="AL46" t="e">
        <f>AND(#REF!,"AAAAAD60pSU=")</f>
        <v>#REF!</v>
      </c>
      <c r="AM46" t="e">
        <f>AND(#REF!,"AAAAAD60pSY=")</f>
        <v>#REF!</v>
      </c>
      <c r="AN46" t="e">
        <f>AND(#REF!,"AAAAAD60pSc=")</f>
        <v>#REF!</v>
      </c>
      <c r="AO46" t="e">
        <f>AND(#REF!,"AAAAAD60pSg=")</f>
        <v>#REF!</v>
      </c>
      <c r="AP46" t="e">
        <f>AND(#REF!,"AAAAAD60pSk=")</f>
        <v>#REF!</v>
      </c>
      <c r="AQ46" t="e">
        <f>AND(#REF!,"AAAAAD60pSo=")</f>
        <v>#REF!</v>
      </c>
      <c r="AR46" t="e">
        <f>IF(#REF!,"AAAAAD60pSs=",0)</f>
        <v>#REF!</v>
      </c>
      <c r="AS46" t="e">
        <f>AND(#REF!,"AAAAAD60pSw=")</f>
        <v>#REF!</v>
      </c>
      <c r="AT46" t="e">
        <f>AND(#REF!,"AAAAAD60pS0=")</f>
        <v>#REF!</v>
      </c>
      <c r="AU46" t="e">
        <f>AND(#REF!,"AAAAAD60pS4=")</f>
        <v>#REF!</v>
      </c>
      <c r="AV46" t="e">
        <f>AND(#REF!,"AAAAAD60pS8=")</f>
        <v>#REF!</v>
      </c>
      <c r="AW46" t="e">
        <f>AND(#REF!,"AAAAAD60pTA=")</f>
        <v>#REF!</v>
      </c>
      <c r="AX46" t="e">
        <f>AND(#REF!,"AAAAAD60pTE=")</f>
        <v>#REF!</v>
      </c>
      <c r="AY46" t="e">
        <f>AND(#REF!,"AAAAAD60pTI=")</f>
        <v>#REF!</v>
      </c>
      <c r="AZ46" t="e">
        <f>AND(#REF!,"AAAAAD60pTM=")</f>
        <v>#REF!</v>
      </c>
      <c r="BA46" t="e">
        <f>AND(#REF!,"AAAAAD60pTQ=")</f>
        <v>#REF!</v>
      </c>
      <c r="BB46" t="e">
        <f>IF(#REF!,"AAAAAD60pTU=",0)</f>
        <v>#REF!</v>
      </c>
      <c r="BC46" t="e">
        <f>AND(#REF!,"AAAAAD60pTY=")</f>
        <v>#REF!</v>
      </c>
      <c r="BD46" t="e">
        <f>AND(#REF!,"AAAAAD60pTc=")</f>
        <v>#REF!</v>
      </c>
      <c r="BE46" t="e">
        <f>AND(#REF!,"AAAAAD60pTg=")</f>
        <v>#REF!</v>
      </c>
      <c r="BF46" t="e">
        <f>AND(#REF!,"AAAAAD60pTk=")</f>
        <v>#REF!</v>
      </c>
      <c r="BG46" t="e">
        <f>AND(#REF!,"AAAAAD60pTo=")</f>
        <v>#REF!</v>
      </c>
      <c r="BH46" t="e">
        <f>AND(#REF!,"AAAAAD60pTs=")</f>
        <v>#REF!</v>
      </c>
      <c r="BI46" t="e">
        <f>AND(#REF!,"AAAAAD60pTw=")</f>
        <v>#REF!</v>
      </c>
      <c r="BJ46" t="e">
        <f>AND(#REF!,"AAAAAD60pT0=")</f>
        <v>#REF!</v>
      </c>
      <c r="BK46" t="e">
        <f>AND(#REF!,"AAAAAD60pT4=")</f>
        <v>#REF!</v>
      </c>
      <c r="BL46" t="e">
        <f>IF(#REF!,"AAAAAD60pT8=",0)</f>
        <v>#REF!</v>
      </c>
      <c r="BM46" t="e">
        <f>AND(#REF!,"AAAAAD60pUA=")</f>
        <v>#REF!</v>
      </c>
      <c r="BN46" t="e">
        <f>AND(#REF!,"AAAAAD60pUE=")</f>
        <v>#REF!</v>
      </c>
      <c r="BO46" t="e">
        <f>AND(#REF!,"AAAAAD60pUI=")</f>
        <v>#REF!</v>
      </c>
      <c r="BP46" t="e">
        <f>AND(#REF!,"AAAAAD60pUM=")</f>
        <v>#REF!</v>
      </c>
      <c r="BQ46" t="e">
        <f>AND(#REF!,"AAAAAD60pUQ=")</f>
        <v>#REF!</v>
      </c>
      <c r="BR46" t="e">
        <f>AND(#REF!,"AAAAAD60pUU=")</f>
        <v>#REF!</v>
      </c>
      <c r="BS46" t="e">
        <f>AND(#REF!,"AAAAAD60pUY=")</f>
        <v>#REF!</v>
      </c>
      <c r="BT46" t="e">
        <f>AND(#REF!,"AAAAAD60pUc=")</f>
        <v>#REF!</v>
      </c>
      <c r="BU46" t="e">
        <f>AND(#REF!,"AAAAAD60pUg=")</f>
        <v>#REF!</v>
      </c>
      <c r="BV46" t="e">
        <f>IF(#REF!,"AAAAAD60pUk=",0)</f>
        <v>#REF!</v>
      </c>
      <c r="BW46" t="e">
        <f>AND(#REF!,"AAAAAD60pUo=")</f>
        <v>#REF!</v>
      </c>
      <c r="BX46" t="e">
        <f>AND(#REF!,"AAAAAD60pUs=")</f>
        <v>#REF!</v>
      </c>
      <c r="BY46" t="e">
        <f>AND(#REF!,"AAAAAD60pUw=")</f>
        <v>#REF!</v>
      </c>
      <c r="BZ46" t="e">
        <f>AND(#REF!,"AAAAAD60pU0=")</f>
        <v>#REF!</v>
      </c>
      <c r="CA46" t="e">
        <f>AND(#REF!,"AAAAAD60pU4=")</f>
        <v>#REF!</v>
      </c>
      <c r="CB46" t="e">
        <f>AND(#REF!,"AAAAAD60pU8=")</f>
        <v>#REF!</v>
      </c>
      <c r="CC46" t="e">
        <f>AND(#REF!,"AAAAAD60pVA=")</f>
        <v>#REF!</v>
      </c>
      <c r="CD46" t="e">
        <f>AND(#REF!,"AAAAAD60pVE=")</f>
        <v>#REF!</v>
      </c>
      <c r="CE46" t="e">
        <f>AND(#REF!,"AAAAAD60pVI=")</f>
        <v>#REF!</v>
      </c>
      <c r="CF46" t="e">
        <f>IF(#REF!,"AAAAAD60pVM=",0)</f>
        <v>#REF!</v>
      </c>
      <c r="CG46" t="e">
        <f>AND(#REF!,"AAAAAD60pVQ=")</f>
        <v>#REF!</v>
      </c>
      <c r="CH46" t="e">
        <f>AND(#REF!,"AAAAAD60pVU=")</f>
        <v>#REF!</v>
      </c>
      <c r="CI46" t="e">
        <f>AND(#REF!,"AAAAAD60pVY=")</f>
        <v>#REF!</v>
      </c>
      <c r="CJ46" t="e">
        <f>AND(#REF!,"AAAAAD60pVc=")</f>
        <v>#REF!</v>
      </c>
      <c r="CK46" t="e">
        <f>AND(#REF!,"AAAAAD60pVg=")</f>
        <v>#REF!</v>
      </c>
      <c r="CL46" t="e">
        <f>AND(#REF!,"AAAAAD60pVk=")</f>
        <v>#REF!</v>
      </c>
      <c r="CM46" t="e">
        <f>AND(#REF!,"AAAAAD60pVo=")</f>
        <v>#REF!</v>
      </c>
      <c r="CN46" t="e">
        <f>AND(#REF!,"AAAAAD60pVs=")</f>
        <v>#REF!</v>
      </c>
      <c r="CO46" t="e">
        <f>AND(#REF!,"AAAAAD60pVw=")</f>
        <v>#REF!</v>
      </c>
      <c r="CP46" t="e">
        <f>IF(#REF!,"AAAAAD60pV0=",0)</f>
        <v>#REF!</v>
      </c>
      <c r="CQ46" t="e">
        <f>AND(#REF!,"AAAAAD60pV4=")</f>
        <v>#REF!</v>
      </c>
      <c r="CR46" t="e">
        <f>AND(#REF!,"AAAAAD60pV8=")</f>
        <v>#REF!</v>
      </c>
      <c r="CS46" t="e">
        <f>AND(#REF!,"AAAAAD60pWA=")</f>
        <v>#REF!</v>
      </c>
      <c r="CT46" t="e">
        <f>AND(#REF!,"AAAAAD60pWE=")</f>
        <v>#REF!</v>
      </c>
      <c r="CU46" t="e">
        <f>AND(#REF!,"AAAAAD60pWI=")</f>
        <v>#REF!</v>
      </c>
      <c r="CV46" t="e">
        <f>AND(#REF!,"AAAAAD60pWM=")</f>
        <v>#REF!</v>
      </c>
      <c r="CW46" t="e">
        <f>AND(#REF!,"AAAAAD60pWQ=")</f>
        <v>#REF!</v>
      </c>
      <c r="CX46" t="e">
        <f>AND(#REF!,"AAAAAD60pWU=")</f>
        <v>#REF!</v>
      </c>
      <c r="CY46" t="e">
        <f>AND(#REF!,"AAAAAD60pWY=")</f>
        <v>#REF!</v>
      </c>
      <c r="CZ46" t="e">
        <f>IF(#REF!,"AAAAAD60pWc=",0)</f>
        <v>#REF!</v>
      </c>
      <c r="DA46" t="e">
        <f>AND(#REF!,"AAAAAD60pWg=")</f>
        <v>#REF!</v>
      </c>
      <c r="DB46" t="e">
        <f>AND(#REF!,"AAAAAD60pWk=")</f>
        <v>#REF!</v>
      </c>
      <c r="DC46" t="e">
        <f>AND(#REF!,"AAAAAD60pWo=")</f>
        <v>#REF!</v>
      </c>
      <c r="DD46" t="e">
        <f>AND(#REF!,"AAAAAD60pWs=")</f>
        <v>#REF!</v>
      </c>
      <c r="DE46" t="e">
        <f>AND(#REF!,"AAAAAD60pWw=")</f>
        <v>#REF!</v>
      </c>
      <c r="DF46" t="e">
        <f>AND(#REF!,"AAAAAD60pW0=")</f>
        <v>#REF!</v>
      </c>
      <c r="DG46" t="e">
        <f>AND(#REF!,"AAAAAD60pW4=")</f>
        <v>#REF!</v>
      </c>
      <c r="DH46" t="e">
        <f>AND(#REF!,"AAAAAD60pW8=")</f>
        <v>#REF!</v>
      </c>
      <c r="DI46" t="e">
        <f>AND(#REF!,"AAAAAD60pXA=")</f>
        <v>#REF!</v>
      </c>
      <c r="DJ46" t="e">
        <f>IF(#REF!,"AAAAAD60pXE=",0)</f>
        <v>#REF!</v>
      </c>
      <c r="DK46" t="e">
        <f>IF(#REF!,"AAAAAD60pXI=",0)</f>
        <v>#REF!</v>
      </c>
      <c r="DL46" t="e">
        <f>IF(#REF!,"AAAAAD60pXM=",0)</f>
        <v>#REF!</v>
      </c>
      <c r="DM46" t="e">
        <f>IF(#REF!,"AAAAAD60pXQ=",0)</f>
        <v>#REF!</v>
      </c>
      <c r="DN46" t="e">
        <f>IF(#REF!,"AAAAAD60pXU=",0)</f>
        <v>#REF!</v>
      </c>
      <c r="DO46" t="e">
        <f>IF(#REF!,"AAAAAD60pXY=",0)</f>
        <v>#REF!</v>
      </c>
      <c r="DP46" t="e">
        <f>IF(#REF!,"AAAAAD60pXc=",0)</f>
        <v>#REF!</v>
      </c>
      <c r="DQ46" t="e">
        <f>IF(#REF!,"AAAAAD60pXg=",0)</f>
        <v>#REF!</v>
      </c>
      <c r="DR46" t="e">
        <f>IF(#REF!,"AAAAAD60pXk=",0)</f>
        <v>#REF!</v>
      </c>
      <c r="DS46">
        <f>IF('Large Nonlinear Problem'!1:1,"AAAAAD60pXo=",0)</f>
        <v>0</v>
      </c>
      <c r="DT46" t="e">
        <f>AND('Large Nonlinear Problem'!A1,"AAAAAD60pXs=")</f>
        <v>#VALUE!</v>
      </c>
      <c r="DU46" t="e">
        <f>AND('Large Nonlinear Problem'!B1,"AAAAAD60pXw=")</f>
        <v>#VALUE!</v>
      </c>
      <c r="DV46" t="e">
        <f>AND('Large Nonlinear Problem'!C1,"AAAAAD60pX0=")</f>
        <v>#VALUE!</v>
      </c>
      <c r="DW46" t="e">
        <f>AND('Large Nonlinear Problem'!D1,"AAAAAD60pX4=")</f>
        <v>#VALUE!</v>
      </c>
      <c r="DX46" t="e">
        <f>AND('Large Nonlinear Problem'!E1,"AAAAAD60pX8=")</f>
        <v>#VALUE!</v>
      </c>
      <c r="DY46" t="e">
        <f>AND('Large Nonlinear Problem'!F1,"AAAAAD60pYA=")</f>
        <v>#VALUE!</v>
      </c>
      <c r="DZ46" t="e">
        <f>AND('Large Nonlinear Problem'!G1,"AAAAAD60pYE=")</f>
        <v>#VALUE!</v>
      </c>
      <c r="EA46">
        <f>IF('Large Nonlinear Problem'!2:2,"AAAAAD60pYI=",0)</f>
        <v>0</v>
      </c>
      <c r="EB46" t="e">
        <f>AND('Large Nonlinear Problem'!A2,"AAAAAD60pYM=")</f>
        <v>#VALUE!</v>
      </c>
      <c r="EC46" t="e">
        <f>AND('Large Nonlinear Problem'!B2,"AAAAAD60pYQ=")</f>
        <v>#VALUE!</v>
      </c>
      <c r="ED46" t="e">
        <f>AND('Large Nonlinear Problem'!C2,"AAAAAD60pYU=")</f>
        <v>#VALUE!</v>
      </c>
      <c r="EE46" t="e">
        <f>AND('Large Nonlinear Problem'!D2,"AAAAAD60pYY=")</f>
        <v>#VALUE!</v>
      </c>
      <c r="EF46" t="e">
        <f>AND('Large Nonlinear Problem'!E2,"AAAAAD60pYc=")</f>
        <v>#VALUE!</v>
      </c>
      <c r="EG46" t="e">
        <f>AND('Large Nonlinear Problem'!F2,"AAAAAD60pYg=")</f>
        <v>#VALUE!</v>
      </c>
      <c r="EH46" t="e">
        <f>AND('Large Nonlinear Problem'!G2,"AAAAAD60pYk=")</f>
        <v>#VALUE!</v>
      </c>
      <c r="EI46">
        <f>IF('Large Nonlinear Problem'!3:3,"AAAAAD60pYo=",0)</f>
        <v>0</v>
      </c>
      <c r="EJ46" t="e">
        <f>AND('Large Nonlinear Problem'!A3,"AAAAAD60pYs=")</f>
        <v>#VALUE!</v>
      </c>
      <c r="EK46" t="e">
        <f>AND('Large Nonlinear Problem'!B3,"AAAAAD60pYw=")</f>
        <v>#VALUE!</v>
      </c>
      <c r="EL46" t="e">
        <f>AND('Large Nonlinear Problem'!C3,"AAAAAD60pY0=")</f>
        <v>#VALUE!</v>
      </c>
      <c r="EM46" t="e">
        <f>AND('Large Nonlinear Problem'!D3,"AAAAAD60pY4=")</f>
        <v>#VALUE!</v>
      </c>
      <c r="EN46" t="e">
        <f>AND('Large Nonlinear Problem'!E3,"AAAAAD60pY8=")</f>
        <v>#VALUE!</v>
      </c>
      <c r="EO46" t="e">
        <f>AND('Large Nonlinear Problem'!F3,"AAAAAD60pZA=")</f>
        <v>#VALUE!</v>
      </c>
      <c r="EP46" t="e">
        <f>AND('Large Nonlinear Problem'!G3,"AAAAAD60pZE=")</f>
        <v>#VALUE!</v>
      </c>
      <c r="EQ46">
        <f>IF('Large Nonlinear Problem'!4:4,"AAAAAD60pZI=",0)</f>
        <v>0</v>
      </c>
      <c r="ER46" t="e">
        <f>AND('Large Nonlinear Problem'!A4,"AAAAAD60pZM=")</f>
        <v>#VALUE!</v>
      </c>
      <c r="ES46" t="e">
        <f>AND('Large Nonlinear Problem'!B4,"AAAAAD60pZQ=")</f>
        <v>#VALUE!</v>
      </c>
      <c r="ET46" t="e">
        <f>AND('Large Nonlinear Problem'!C4,"AAAAAD60pZU=")</f>
        <v>#VALUE!</v>
      </c>
      <c r="EU46" t="e">
        <f>AND('Large Nonlinear Problem'!D4,"AAAAAD60pZY=")</f>
        <v>#VALUE!</v>
      </c>
      <c r="EV46" t="e">
        <f>AND('Large Nonlinear Problem'!E4,"AAAAAD60pZc=")</f>
        <v>#VALUE!</v>
      </c>
      <c r="EW46" t="e">
        <f>AND('Large Nonlinear Problem'!F4,"AAAAAD60pZg=")</f>
        <v>#VALUE!</v>
      </c>
      <c r="EX46" t="e">
        <f>AND('Large Nonlinear Problem'!G4,"AAAAAD60pZk=")</f>
        <v>#VALUE!</v>
      </c>
      <c r="EY46">
        <f>IF('Large Nonlinear Problem'!5:5,"AAAAAD60pZo=",0)</f>
        <v>0</v>
      </c>
      <c r="EZ46" t="e">
        <f>AND('Large Nonlinear Problem'!A5,"AAAAAD60pZs=")</f>
        <v>#VALUE!</v>
      </c>
      <c r="FA46" t="e">
        <f>AND('Large Nonlinear Problem'!B5,"AAAAAD60pZw=")</f>
        <v>#VALUE!</v>
      </c>
      <c r="FB46" t="e">
        <f>AND('Large Nonlinear Problem'!C5,"AAAAAD60pZ0=")</f>
        <v>#VALUE!</v>
      </c>
      <c r="FC46" t="e">
        <f>AND('Large Nonlinear Problem'!D5,"AAAAAD60pZ4=")</f>
        <v>#VALUE!</v>
      </c>
      <c r="FD46" t="e">
        <f>AND('Large Nonlinear Problem'!E5,"AAAAAD60pZ8=")</f>
        <v>#VALUE!</v>
      </c>
      <c r="FE46" t="e">
        <f>AND('Large Nonlinear Problem'!F5,"AAAAAD60paA=")</f>
        <v>#VALUE!</v>
      </c>
      <c r="FF46" t="e">
        <f>AND('Large Nonlinear Problem'!G5,"AAAAAD60paE=")</f>
        <v>#VALUE!</v>
      </c>
      <c r="FG46">
        <f>IF('Large Nonlinear Problem'!6:6,"AAAAAD60paI=",0)</f>
        <v>0</v>
      </c>
      <c r="FH46" t="e">
        <f>AND('Large Nonlinear Problem'!A6,"AAAAAD60paM=")</f>
        <v>#VALUE!</v>
      </c>
      <c r="FI46" t="e">
        <f>AND('Large Nonlinear Problem'!B6,"AAAAAD60paQ=")</f>
        <v>#VALUE!</v>
      </c>
      <c r="FJ46" t="e">
        <f>AND('Large Nonlinear Problem'!C6,"AAAAAD60paU=")</f>
        <v>#VALUE!</v>
      </c>
      <c r="FK46" t="e">
        <f>AND('Large Nonlinear Problem'!D6,"AAAAAD60paY=")</f>
        <v>#VALUE!</v>
      </c>
      <c r="FL46" t="e">
        <f>AND('Large Nonlinear Problem'!E6,"AAAAAD60pac=")</f>
        <v>#VALUE!</v>
      </c>
      <c r="FM46" t="e">
        <f>AND('Large Nonlinear Problem'!F6,"AAAAAD60pag=")</f>
        <v>#VALUE!</v>
      </c>
      <c r="FN46" t="e">
        <f>AND('Large Nonlinear Problem'!G6,"AAAAAD60pak=")</f>
        <v>#VALUE!</v>
      </c>
      <c r="FO46">
        <f>IF('Large Nonlinear Problem'!7:7,"AAAAAD60pao=",0)</f>
        <v>0</v>
      </c>
      <c r="FP46" t="e">
        <f>AND('Large Nonlinear Problem'!A7,"AAAAAD60pas=")</f>
        <v>#VALUE!</v>
      </c>
      <c r="FQ46" t="e">
        <f>AND('Large Nonlinear Problem'!B7,"AAAAAD60paw=")</f>
        <v>#VALUE!</v>
      </c>
      <c r="FR46" t="e">
        <f>AND('Large Nonlinear Problem'!C7,"AAAAAD60pa0=")</f>
        <v>#VALUE!</v>
      </c>
      <c r="FS46" t="e">
        <f>AND('Large Nonlinear Problem'!D7,"AAAAAD60pa4=")</f>
        <v>#VALUE!</v>
      </c>
      <c r="FT46" t="e">
        <f>AND('Large Nonlinear Problem'!E7,"AAAAAD60pa8=")</f>
        <v>#VALUE!</v>
      </c>
      <c r="FU46" t="e">
        <f>AND('Large Nonlinear Problem'!F7,"AAAAAD60pbA=")</f>
        <v>#VALUE!</v>
      </c>
      <c r="FV46" t="e">
        <f>AND('Large Nonlinear Problem'!G7,"AAAAAD60pbE=")</f>
        <v>#VALUE!</v>
      </c>
      <c r="FW46">
        <f>IF('Large Nonlinear Problem'!8:8,"AAAAAD60pbI=",0)</f>
        <v>0</v>
      </c>
      <c r="FX46" t="e">
        <f>AND('Large Nonlinear Problem'!A8,"AAAAAD60pbM=")</f>
        <v>#VALUE!</v>
      </c>
      <c r="FY46" t="e">
        <f>AND('Large Nonlinear Problem'!B8,"AAAAAD60pbQ=")</f>
        <v>#VALUE!</v>
      </c>
      <c r="FZ46" t="e">
        <f>AND('Large Nonlinear Problem'!C8,"AAAAAD60pbU=")</f>
        <v>#VALUE!</v>
      </c>
      <c r="GA46" t="e">
        <f>AND('Large Nonlinear Problem'!D8,"AAAAAD60pbY=")</f>
        <v>#VALUE!</v>
      </c>
      <c r="GB46" t="e">
        <f>AND('Large Nonlinear Problem'!E8,"AAAAAD60pbc=")</f>
        <v>#VALUE!</v>
      </c>
      <c r="GC46" t="e">
        <f>AND('Large Nonlinear Problem'!F8,"AAAAAD60pbg=")</f>
        <v>#VALUE!</v>
      </c>
      <c r="GD46" t="e">
        <f>AND('Large Nonlinear Problem'!G8,"AAAAAD60pbk=")</f>
        <v>#VALUE!</v>
      </c>
      <c r="GE46">
        <f>IF('Large Nonlinear Problem'!9:9,"AAAAAD60pbo=",0)</f>
        <v>0</v>
      </c>
      <c r="GF46" t="e">
        <f>AND('Large Nonlinear Problem'!A9,"AAAAAD60pbs=")</f>
        <v>#VALUE!</v>
      </c>
      <c r="GG46" t="e">
        <f>AND('Large Nonlinear Problem'!B9,"AAAAAD60pbw=")</f>
        <v>#VALUE!</v>
      </c>
      <c r="GH46" t="e">
        <f>AND('Large Nonlinear Problem'!C9,"AAAAAD60pb0=")</f>
        <v>#VALUE!</v>
      </c>
      <c r="GI46" t="e">
        <f>AND('Large Nonlinear Problem'!D9,"AAAAAD60pb4=")</f>
        <v>#VALUE!</v>
      </c>
      <c r="GJ46" t="e">
        <f>AND('Large Nonlinear Problem'!E9,"AAAAAD60pb8=")</f>
        <v>#VALUE!</v>
      </c>
      <c r="GK46" t="e">
        <f>AND('Large Nonlinear Problem'!F9,"AAAAAD60pcA=")</f>
        <v>#VALUE!</v>
      </c>
      <c r="GL46" t="e">
        <f>AND('Large Nonlinear Problem'!G9,"AAAAAD60pcE=")</f>
        <v>#VALUE!</v>
      </c>
      <c r="GM46">
        <f>IF('Large Nonlinear Problem'!10:10,"AAAAAD60pcI=",0)</f>
        <v>0</v>
      </c>
      <c r="GN46" t="e">
        <f>AND('Large Nonlinear Problem'!A10,"AAAAAD60pcM=")</f>
        <v>#VALUE!</v>
      </c>
      <c r="GO46" t="e">
        <f>AND('Large Nonlinear Problem'!B10,"AAAAAD60pcQ=")</f>
        <v>#VALUE!</v>
      </c>
      <c r="GP46" t="e">
        <f>AND('Large Nonlinear Problem'!C10,"AAAAAD60pcU=")</f>
        <v>#VALUE!</v>
      </c>
      <c r="GQ46" t="e">
        <f>AND('Large Nonlinear Problem'!D10,"AAAAAD60pcY=")</f>
        <v>#VALUE!</v>
      </c>
      <c r="GR46" t="e">
        <f>AND('Large Nonlinear Problem'!E10,"AAAAAD60pcc=")</f>
        <v>#VALUE!</v>
      </c>
      <c r="GS46" t="e">
        <f>AND('Large Nonlinear Problem'!F10,"AAAAAD60pcg=")</f>
        <v>#VALUE!</v>
      </c>
      <c r="GT46" t="e">
        <f>AND('Large Nonlinear Problem'!G10,"AAAAAD60pck=")</f>
        <v>#VALUE!</v>
      </c>
      <c r="GU46">
        <f>IF('Large Nonlinear Problem'!11:11,"AAAAAD60pco=",0)</f>
        <v>0</v>
      </c>
      <c r="GV46" t="e">
        <f>AND('Large Nonlinear Problem'!A11,"AAAAAD60pcs=")</f>
        <v>#VALUE!</v>
      </c>
      <c r="GW46" t="e">
        <f>AND('Large Nonlinear Problem'!B11,"AAAAAD60pcw=")</f>
        <v>#VALUE!</v>
      </c>
      <c r="GX46" t="e">
        <f>AND('Large Nonlinear Problem'!C11,"AAAAAD60pc0=")</f>
        <v>#VALUE!</v>
      </c>
      <c r="GY46" t="e">
        <f>AND('Large Nonlinear Problem'!D11,"AAAAAD60pc4=")</f>
        <v>#VALUE!</v>
      </c>
      <c r="GZ46" t="e">
        <f>AND('Large Nonlinear Problem'!E11,"AAAAAD60pc8=")</f>
        <v>#VALUE!</v>
      </c>
      <c r="HA46" t="e">
        <f>AND('Large Nonlinear Problem'!F11,"AAAAAD60pdA=")</f>
        <v>#VALUE!</v>
      </c>
      <c r="HB46" t="e">
        <f>AND('Large Nonlinear Problem'!G11,"AAAAAD60pdE=")</f>
        <v>#VALUE!</v>
      </c>
      <c r="HC46">
        <f>IF('Large Nonlinear Problem'!12:12,"AAAAAD60pdI=",0)</f>
        <v>0</v>
      </c>
      <c r="HD46" t="e">
        <f>AND('Large Nonlinear Problem'!A12,"AAAAAD60pdM=")</f>
        <v>#VALUE!</v>
      </c>
      <c r="HE46" t="e">
        <f>AND('Large Nonlinear Problem'!B12,"AAAAAD60pdQ=")</f>
        <v>#VALUE!</v>
      </c>
      <c r="HF46" t="e">
        <f>AND('Large Nonlinear Problem'!C12,"AAAAAD60pdU=")</f>
        <v>#VALUE!</v>
      </c>
      <c r="HG46" t="e">
        <f>AND('Large Nonlinear Problem'!D12,"AAAAAD60pdY=")</f>
        <v>#VALUE!</v>
      </c>
      <c r="HH46" t="e">
        <f>AND('Large Nonlinear Problem'!E12,"AAAAAD60pdc=")</f>
        <v>#VALUE!</v>
      </c>
      <c r="HI46" t="e">
        <f>AND('Large Nonlinear Problem'!F12,"AAAAAD60pdg=")</f>
        <v>#VALUE!</v>
      </c>
      <c r="HJ46" t="e">
        <f>AND('Large Nonlinear Problem'!G12,"AAAAAD60pdk=")</f>
        <v>#VALUE!</v>
      </c>
      <c r="HK46">
        <f>IF('Large Nonlinear Problem'!13:13,"AAAAAD60pdo=",0)</f>
        <v>0</v>
      </c>
      <c r="HL46" t="e">
        <f>AND('Large Nonlinear Problem'!A13,"AAAAAD60pds=")</f>
        <v>#VALUE!</v>
      </c>
      <c r="HM46" t="e">
        <f>AND('Large Nonlinear Problem'!B13,"AAAAAD60pdw=")</f>
        <v>#VALUE!</v>
      </c>
      <c r="HN46" t="e">
        <f>AND('Large Nonlinear Problem'!C13,"AAAAAD60pd0=")</f>
        <v>#VALUE!</v>
      </c>
      <c r="HO46" t="e">
        <f>AND('Large Nonlinear Problem'!D13,"AAAAAD60pd4=")</f>
        <v>#VALUE!</v>
      </c>
      <c r="HP46" t="e">
        <f>AND('Large Nonlinear Problem'!E13,"AAAAAD60pd8=")</f>
        <v>#VALUE!</v>
      </c>
      <c r="HQ46" t="e">
        <f>AND('Large Nonlinear Problem'!F13,"AAAAAD60peA=")</f>
        <v>#VALUE!</v>
      </c>
      <c r="HR46" t="e">
        <f>AND('Large Nonlinear Problem'!G13,"AAAAAD60peE=")</f>
        <v>#VALUE!</v>
      </c>
      <c r="HS46">
        <f>IF('Large Nonlinear Problem'!14:14,"AAAAAD60peI=",0)</f>
        <v>0</v>
      </c>
      <c r="HT46" t="e">
        <f>AND('Large Nonlinear Problem'!A14,"AAAAAD60peM=")</f>
        <v>#VALUE!</v>
      </c>
      <c r="HU46" t="e">
        <f>AND('Large Nonlinear Problem'!B14,"AAAAAD60peQ=")</f>
        <v>#VALUE!</v>
      </c>
      <c r="HV46" t="e">
        <f>AND('Large Nonlinear Problem'!C14,"AAAAAD60peU=")</f>
        <v>#VALUE!</v>
      </c>
      <c r="HW46" t="e">
        <f>AND('Large Nonlinear Problem'!D14,"AAAAAD60peY=")</f>
        <v>#VALUE!</v>
      </c>
      <c r="HX46" t="e">
        <f>AND('Large Nonlinear Problem'!E14,"AAAAAD60pec=")</f>
        <v>#VALUE!</v>
      </c>
      <c r="HY46" t="e">
        <f>AND('Large Nonlinear Problem'!F14,"AAAAAD60peg=")</f>
        <v>#VALUE!</v>
      </c>
      <c r="HZ46" t="e">
        <f>AND('Large Nonlinear Problem'!G14,"AAAAAD60pek=")</f>
        <v>#VALUE!</v>
      </c>
      <c r="IA46">
        <f>IF('Large Nonlinear Problem'!15:15,"AAAAAD60peo=",0)</f>
        <v>0</v>
      </c>
      <c r="IB46" t="e">
        <f>AND('Large Nonlinear Problem'!A15,"AAAAAD60pes=")</f>
        <v>#VALUE!</v>
      </c>
      <c r="IC46" t="e">
        <f>AND('Large Nonlinear Problem'!B15,"AAAAAD60pew=")</f>
        <v>#VALUE!</v>
      </c>
      <c r="ID46" t="e">
        <f>AND('Large Nonlinear Problem'!C15,"AAAAAD60pe0=")</f>
        <v>#VALUE!</v>
      </c>
      <c r="IE46" t="e">
        <f>AND('Large Nonlinear Problem'!D15,"AAAAAD60pe4=")</f>
        <v>#VALUE!</v>
      </c>
      <c r="IF46" t="e">
        <f>AND('Large Nonlinear Problem'!E15,"AAAAAD60pe8=")</f>
        <v>#VALUE!</v>
      </c>
      <c r="IG46" t="e">
        <f>AND('Large Nonlinear Problem'!F15,"AAAAAD60pfA=")</f>
        <v>#VALUE!</v>
      </c>
      <c r="IH46" t="e">
        <f>AND('Large Nonlinear Problem'!G15,"AAAAAD60pfE=")</f>
        <v>#VALUE!</v>
      </c>
      <c r="II46">
        <f>IF('Large Nonlinear Problem'!16:16,"AAAAAD60pfI=",0)</f>
        <v>0</v>
      </c>
      <c r="IJ46" t="e">
        <f>AND('Large Nonlinear Problem'!A16,"AAAAAD60pfM=")</f>
        <v>#VALUE!</v>
      </c>
      <c r="IK46" t="e">
        <f>AND('Large Nonlinear Problem'!B16,"AAAAAD60pfQ=")</f>
        <v>#VALUE!</v>
      </c>
      <c r="IL46" t="e">
        <f>AND('Large Nonlinear Problem'!C16,"AAAAAD60pfU=")</f>
        <v>#VALUE!</v>
      </c>
      <c r="IM46" t="e">
        <f>AND('Large Nonlinear Problem'!D16,"AAAAAD60pfY=")</f>
        <v>#VALUE!</v>
      </c>
      <c r="IN46" t="e">
        <f>AND('Large Nonlinear Problem'!E16,"AAAAAD60pfc=")</f>
        <v>#VALUE!</v>
      </c>
      <c r="IO46" t="e">
        <f>AND('Large Nonlinear Problem'!F16,"AAAAAD60pfg=")</f>
        <v>#VALUE!</v>
      </c>
      <c r="IP46" t="e">
        <f>AND('Large Nonlinear Problem'!G16,"AAAAAD60pfk=")</f>
        <v>#VALUE!</v>
      </c>
      <c r="IQ46">
        <f>IF('Large Nonlinear Problem'!17:17,"AAAAAD60pfo=",0)</f>
        <v>0</v>
      </c>
      <c r="IR46" t="e">
        <f>AND('Large Nonlinear Problem'!A17,"AAAAAD60pfs=")</f>
        <v>#VALUE!</v>
      </c>
      <c r="IS46" t="e">
        <f>AND('Large Nonlinear Problem'!B17,"AAAAAD60pfw=")</f>
        <v>#VALUE!</v>
      </c>
      <c r="IT46" t="e">
        <f>AND('Large Nonlinear Problem'!C17,"AAAAAD60pf0=")</f>
        <v>#VALUE!</v>
      </c>
      <c r="IU46" t="e">
        <f>AND('Large Nonlinear Problem'!D17,"AAAAAD60pf4=")</f>
        <v>#VALUE!</v>
      </c>
      <c r="IV46" t="e">
        <f>AND('Large Nonlinear Problem'!E17,"AAAAAD60pf8=")</f>
        <v>#VALUE!</v>
      </c>
    </row>
    <row r="47" spans="1:256">
      <c r="A47" t="e">
        <f>AND('Large Nonlinear Problem'!F17,"AAAAAF7bTwA=")</f>
        <v>#VALUE!</v>
      </c>
      <c r="B47" t="e">
        <f>AND('Large Nonlinear Problem'!G17,"AAAAAF7bTwE=")</f>
        <v>#VALUE!</v>
      </c>
      <c r="C47" t="str">
        <f>IF('Large Nonlinear Problem'!18:18,"AAAAAF7bTwI=",0)</f>
        <v>AAAAAF7bTwI=</v>
      </c>
      <c r="D47" t="e">
        <f>AND('Large Nonlinear Problem'!A18,"AAAAAF7bTwM=")</f>
        <v>#VALUE!</v>
      </c>
      <c r="E47" t="e">
        <f>AND('Large Nonlinear Problem'!B18,"AAAAAF7bTwQ=")</f>
        <v>#VALUE!</v>
      </c>
      <c r="F47" t="e">
        <f>AND('Large Nonlinear Problem'!C18,"AAAAAF7bTwU=")</f>
        <v>#VALUE!</v>
      </c>
      <c r="G47" t="e">
        <f>AND('Large Nonlinear Problem'!D18,"AAAAAF7bTwY=")</f>
        <v>#VALUE!</v>
      </c>
      <c r="H47" t="e">
        <f>AND('Large Nonlinear Problem'!E18,"AAAAAF7bTwc=")</f>
        <v>#VALUE!</v>
      </c>
      <c r="I47" t="e">
        <f>AND('Large Nonlinear Problem'!F18,"AAAAAF7bTwg=")</f>
        <v>#VALUE!</v>
      </c>
      <c r="J47" t="e">
        <f>AND('Large Nonlinear Problem'!G18,"AAAAAF7bTwk=")</f>
        <v>#VALUE!</v>
      </c>
      <c r="K47">
        <f>IF('Large Nonlinear Problem'!19:19,"AAAAAF7bTwo=",0)</f>
        <v>0</v>
      </c>
      <c r="L47" t="e">
        <f>AND('Large Nonlinear Problem'!A19,"AAAAAF7bTws=")</f>
        <v>#VALUE!</v>
      </c>
      <c r="M47" t="e">
        <f>AND('Large Nonlinear Problem'!B19,"AAAAAF7bTww=")</f>
        <v>#VALUE!</v>
      </c>
      <c r="N47" t="e">
        <f>AND('Large Nonlinear Problem'!C19,"AAAAAF7bTw0=")</f>
        <v>#VALUE!</v>
      </c>
      <c r="O47" t="e">
        <f>AND('Large Nonlinear Problem'!D19,"AAAAAF7bTw4=")</f>
        <v>#VALUE!</v>
      </c>
      <c r="P47" t="e">
        <f>AND('Large Nonlinear Problem'!E19,"AAAAAF7bTw8=")</f>
        <v>#VALUE!</v>
      </c>
      <c r="Q47" t="e">
        <f>AND('Large Nonlinear Problem'!F19,"AAAAAF7bTxA=")</f>
        <v>#VALUE!</v>
      </c>
      <c r="R47" t="e">
        <f>AND('Large Nonlinear Problem'!G19,"AAAAAF7bTxE=")</f>
        <v>#VALUE!</v>
      </c>
      <c r="S47">
        <f>IF('Large Nonlinear Problem'!20:20,"AAAAAF7bTxI=",0)</f>
        <v>0</v>
      </c>
      <c r="T47" t="e">
        <f>AND('Large Nonlinear Problem'!A20,"AAAAAF7bTxM=")</f>
        <v>#VALUE!</v>
      </c>
      <c r="U47" t="e">
        <f>AND('Large Nonlinear Problem'!B20,"AAAAAF7bTxQ=")</f>
        <v>#VALUE!</v>
      </c>
      <c r="V47" t="e">
        <f>AND('Large Nonlinear Problem'!C20,"AAAAAF7bTxU=")</f>
        <v>#VALUE!</v>
      </c>
      <c r="W47" t="e">
        <f>AND('Large Nonlinear Problem'!D20,"AAAAAF7bTxY=")</f>
        <v>#VALUE!</v>
      </c>
      <c r="X47" t="e">
        <f>AND('Large Nonlinear Problem'!E20,"AAAAAF7bTxc=")</f>
        <v>#VALUE!</v>
      </c>
      <c r="Y47" t="e">
        <f>AND('Large Nonlinear Problem'!F20,"AAAAAF7bTxg=")</f>
        <v>#VALUE!</v>
      </c>
      <c r="Z47" t="e">
        <f>AND('Large Nonlinear Problem'!G20,"AAAAAF7bTxk=")</f>
        <v>#VALUE!</v>
      </c>
      <c r="AA47">
        <f>IF('Large Nonlinear Problem'!21:21,"AAAAAF7bTxo=",0)</f>
        <v>0</v>
      </c>
      <c r="AB47" t="e">
        <f>AND('Large Nonlinear Problem'!A21,"AAAAAF7bTxs=")</f>
        <v>#VALUE!</v>
      </c>
      <c r="AC47" t="e">
        <f>AND('Large Nonlinear Problem'!B21,"AAAAAF7bTxw=")</f>
        <v>#VALUE!</v>
      </c>
      <c r="AD47" t="e">
        <f>AND('Large Nonlinear Problem'!C21,"AAAAAF7bTx0=")</f>
        <v>#VALUE!</v>
      </c>
      <c r="AE47" t="e">
        <f>AND('Large Nonlinear Problem'!D21,"AAAAAF7bTx4=")</f>
        <v>#VALUE!</v>
      </c>
      <c r="AF47" t="e">
        <f>AND('Large Nonlinear Problem'!E21,"AAAAAF7bTx8=")</f>
        <v>#VALUE!</v>
      </c>
      <c r="AG47" t="e">
        <f>AND('Large Nonlinear Problem'!F21,"AAAAAF7bTyA=")</f>
        <v>#VALUE!</v>
      </c>
      <c r="AH47" t="e">
        <f>AND('Large Nonlinear Problem'!G21,"AAAAAF7bTyE=")</f>
        <v>#VALUE!</v>
      </c>
      <c r="AI47">
        <f>IF('Large Nonlinear Problem'!22:22,"AAAAAF7bTyI=",0)</f>
        <v>0</v>
      </c>
      <c r="AJ47" t="e">
        <f>AND('Large Nonlinear Problem'!A22,"AAAAAF7bTyM=")</f>
        <v>#VALUE!</v>
      </c>
      <c r="AK47" t="e">
        <f>AND('Large Nonlinear Problem'!B22,"AAAAAF7bTyQ=")</f>
        <v>#VALUE!</v>
      </c>
      <c r="AL47" t="e">
        <f>AND('Large Nonlinear Problem'!C22,"AAAAAF7bTyU=")</f>
        <v>#VALUE!</v>
      </c>
      <c r="AM47" t="e">
        <f>AND('Large Nonlinear Problem'!D22,"AAAAAF7bTyY=")</f>
        <v>#VALUE!</v>
      </c>
      <c r="AN47" t="e">
        <f>AND('Large Nonlinear Problem'!E22,"AAAAAF7bTyc=")</f>
        <v>#VALUE!</v>
      </c>
      <c r="AO47" t="e">
        <f>AND('Large Nonlinear Problem'!F22,"AAAAAF7bTyg=")</f>
        <v>#VALUE!</v>
      </c>
      <c r="AP47" t="e">
        <f>AND('Large Nonlinear Problem'!G22,"AAAAAF7bTyk=")</f>
        <v>#VALUE!</v>
      </c>
      <c r="AQ47">
        <f>IF('Large Nonlinear Problem'!23:23,"AAAAAF7bTyo=",0)</f>
        <v>0</v>
      </c>
      <c r="AR47" t="e">
        <f>AND('Large Nonlinear Problem'!A23,"AAAAAF7bTys=")</f>
        <v>#VALUE!</v>
      </c>
      <c r="AS47" t="e">
        <f>AND('Large Nonlinear Problem'!B23,"AAAAAF7bTyw=")</f>
        <v>#VALUE!</v>
      </c>
      <c r="AT47" t="e">
        <f>AND('Large Nonlinear Problem'!C23,"AAAAAF7bTy0=")</f>
        <v>#VALUE!</v>
      </c>
      <c r="AU47" t="e">
        <f>AND('Large Nonlinear Problem'!D23,"AAAAAF7bTy4=")</f>
        <v>#VALUE!</v>
      </c>
      <c r="AV47" t="e">
        <f>AND('Large Nonlinear Problem'!E23,"AAAAAF7bTy8=")</f>
        <v>#VALUE!</v>
      </c>
      <c r="AW47" t="e">
        <f>AND('Large Nonlinear Problem'!F23,"AAAAAF7bTzA=")</f>
        <v>#VALUE!</v>
      </c>
      <c r="AX47" t="e">
        <f>AND('Large Nonlinear Problem'!G23,"AAAAAF7bTzE=")</f>
        <v>#VALUE!</v>
      </c>
      <c r="AY47">
        <f>IF('Large Nonlinear Problem'!24:24,"AAAAAF7bTzI=",0)</f>
        <v>0</v>
      </c>
      <c r="AZ47" t="e">
        <f>AND('Large Nonlinear Problem'!A24,"AAAAAF7bTzM=")</f>
        <v>#VALUE!</v>
      </c>
      <c r="BA47" t="e">
        <f>AND('Large Nonlinear Problem'!B24,"AAAAAF7bTzQ=")</f>
        <v>#VALUE!</v>
      </c>
      <c r="BB47" t="e">
        <f>AND('Large Nonlinear Problem'!C24,"AAAAAF7bTzU=")</f>
        <v>#VALUE!</v>
      </c>
      <c r="BC47" t="e">
        <f>AND('Large Nonlinear Problem'!D24,"AAAAAF7bTzY=")</f>
        <v>#VALUE!</v>
      </c>
      <c r="BD47" t="e">
        <f>AND('Large Nonlinear Problem'!E24,"AAAAAF7bTzc=")</f>
        <v>#VALUE!</v>
      </c>
      <c r="BE47" t="e">
        <f>AND('Large Nonlinear Problem'!F24,"AAAAAF7bTzg=")</f>
        <v>#VALUE!</v>
      </c>
      <c r="BF47" t="e">
        <f>AND('Large Nonlinear Problem'!G24,"AAAAAF7bTzk=")</f>
        <v>#VALUE!</v>
      </c>
      <c r="BG47">
        <f>IF('Large Nonlinear Problem'!25:25,"AAAAAF7bTzo=",0)</f>
        <v>0</v>
      </c>
      <c r="BH47" t="e">
        <f>AND('Large Nonlinear Problem'!A25,"AAAAAF7bTzs=")</f>
        <v>#VALUE!</v>
      </c>
      <c r="BI47" t="e">
        <f>AND('Large Nonlinear Problem'!B25,"AAAAAF7bTzw=")</f>
        <v>#VALUE!</v>
      </c>
      <c r="BJ47" t="e">
        <f>AND('Large Nonlinear Problem'!C25,"AAAAAF7bTz0=")</f>
        <v>#VALUE!</v>
      </c>
      <c r="BK47" t="e">
        <f>AND('Large Nonlinear Problem'!D25,"AAAAAF7bTz4=")</f>
        <v>#VALUE!</v>
      </c>
      <c r="BL47" t="e">
        <f>AND('Large Nonlinear Problem'!E25,"AAAAAF7bTz8=")</f>
        <v>#VALUE!</v>
      </c>
      <c r="BM47" t="e">
        <f>AND('Large Nonlinear Problem'!F25,"AAAAAF7bT0A=")</f>
        <v>#VALUE!</v>
      </c>
      <c r="BN47" t="e">
        <f>AND('Large Nonlinear Problem'!G25,"AAAAAF7bT0E=")</f>
        <v>#VALUE!</v>
      </c>
      <c r="BO47">
        <f>IF('Large Nonlinear Problem'!26:26,"AAAAAF7bT0I=",0)</f>
        <v>0</v>
      </c>
      <c r="BP47" t="e">
        <f>AND('Large Nonlinear Problem'!A26,"AAAAAF7bT0M=")</f>
        <v>#VALUE!</v>
      </c>
      <c r="BQ47" t="e">
        <f>AND('Large Nonlinear Problem'!B26,"AAAAAF7bT0Q=")</f>
        <v>#VALUE!</v>
      </c>
      <c r="BR47" t="e">
        <f>AND('Large Nonlinear Problem'!C26,"AAAAAF7bT0U=")</f>
        <v>#VALUE!</v>
      </c>
      <c r="BS47" t="e">
        <f>AND('Large Nonlinear Problem'!D26,"AAAAAF7bT0Y=")</f>
        <v>#VALUE!</v>
      </c>
      <c r="BT47" t="e">
        <f>AND('Large Nonlinear Problem'!E26,"AAAAAF7bT0c=")</f>
        <v>#VALUE!</v>
      </c>
      <c r="BU47" t="e">
        <f>AND('Large Nonlinear Problem'!F26,"AAAAAF7bT0g=")</f>
        <v>#VALUE!</v>
      </c>
      <c r="BV47" t="e">
        <f>AND('Large Nonlinear Problem'!G26,"AAAAAF7bT0k=")</f>
        <v>#VALUE!</v>
      </c>
      <c r="BW47">
        <f>IF('Large Nonlinear Problem'!27:27,"AAAAAF7bT0o=",0)</f>
        <v>0</v>
      </c>
      <c r="BX47" t="e">
        <f>AND('Large Nonlinear Problem'!A27,"AAAAAF7bT0s=")</f>
        <v>#VALUE!</v>
      </c>
      <c r="BY47" t="e">
        <f>AND('Large Nonlinear Problem'!B27,"AAAAAF7bT0w=")</f>
        <v>#VALUE!</v>
      </c>
      <c r="BZ47" t="e">
        <f>AND('Large Nonlinear Problem'!C27,"AAAAAF7bT00=")</f>
        <v>#VALUE!</v>
      </c>
      <c r="CA47" t="e">
        <f>AND('Large Nonlinear Problem'!D27,"AAAAAF7bT04=")</f>
        <v>#VALUE!</v>
      </c>
      <c r="CB47" t="e">
        <f>AND('Large Nonlinear Problem'!E27,"AAAAAF7bT08=")</f>
        <v>#VALUE!</v>
      </c>
      <c r="CC47" t="e">
        <f>AND('Large Nonlinear Problem'!F27,"AAAAAF7bT1A=")</f>
        <v>#VALUE!</v>
      </c>
      <c r="CD47" t="e">
        <f>AND('Large Nonlinear Problem'!G27,"AAAAAF7bT1E=")</f>
        <v>#VALUE!</v>
      </c>
      <c r="CE47">
        <f>IF('Large Nonlinear Problem'!28:28,"AAAAAF7bT1I=",0)</f>
        <v>0</v>
      </c>
      <c r="CF47" t="e">
        <f>AND('Large Nonlinear Problem'!A28,"AAAAAF7bT1M=")</f>
        <v>#VALUE!</v>
      </c>
      <c r="CG47" t="e">
        <f>AND('Large Nonlinear Problem'!B28,"AAAAAF7bT1Q=")</f>
        <v>#VALUE!</v>
      </c>
      <c r="CH47" t="e">
        <f>AND('Large Nonlinear Problem'!C28,"AAAAAF7bT1U=")</f>
        <v>#VALUE!</v>
      </c>
      <c r="CI47" t="e">
        <f>AND('Large Nonlinear Problem'!D28,"AAAAAF7bT1Y=")</f>
        <v>#VALUE!</v>
      </c>
      <c r="CJ47" t="e">
        <f>AND('Large Nonlinear Problem'!E28,"AAAAAF7bT1c=")</f>
        <v>#VALUE!</v>
      </c>
      <c r="CK47" t="e">
        <f>AND('Large Nonlinear Problem'!F28,"AAAAAF7bT1g=")</f>
        <v>#VALUE!</v>
      </c>
      <c r="CL47" t="e">
        <f>AND('Large Nonlinear Problem'!G28,"AAAAAF7bT1k=")</f>
        <v>#VALUE!</v>
      </c>
      <c r="CM47">
        <f>IF('Large Nonlinear Problem'!29:29,"AAAAAF7bT1o=",0)</f>
        <v>0</v>
      </c>
      <c r="CN47" t="e">
        <f>AND('Large Nonlinear Problem'!A29,"AAAAAF7bT1s=")</f>
        <v>#VALUE!</v>
      </c>
      <c r="CO47" t="e">
        <f>AND('Large Nonlinear Problem'!B29,"AAAAAF7bT1w=")</f>
        <v>#VALUE!</v>
      </c>
      <c r="CP47" t="e">
        <f>AND('Large Nonlinear Problem'!C29,"AAAAAF7bT10=")</f>
        <v>#VALUE!</v>
      </c>
      <c r="CQ47" t="e">
        <f>AND('Large Nonlinear Problem'!D29,"AAAAAF7bT14=")</f>
        <v>#VALUE!</v>
      </c>
      <c r="CR47" t="e">
        <f>AND('Large Nonlinear Problem'!E29,"AAAAAF7bT18=")</f>
        <v>#VALUE!</v>
      </c>
      <c r="CS47" t="e">
        <f>AND('Large Nonlinear Problem'!F29,"AAAAAF7bT2A=")</f>
        <v>#VALUE!</v>
      </c>
      <c r="CT47" t="e">
        <f>AND('Large Nonlinear Problem'!G29,"AAAAAF7bT2E=")</f>
        <v>#VALUE!</v>
      </c>
      <c r="CU47">
        <f>IF('Large Nonlinear Problem'!30:30,"AAAAAF7bT2I=",0)</f>
        <v>0</v>
      </c>
      <c r="CV47" t="e">
        <f>AND('Large Nonlinear Problem'!A30,"AAAAAF7bT2M=")</f>
        <v>#VALUE!</v>
      </c>
      <c r="CW47" t="e">
        <f>AND('Large Nonlinear Problem'!B30,"AAAAAF7bT2Q=")</f>
        <v>#VALUE!</v>
      </c>
      <c r="CX47" t="e">
        <f>AND('Large Nonlinear Problem'!C30,"AAAAAF7bT2U=")</f>
        <v>#VALUE!</v>
      </c>
      <c r="CY47" t="e">
        <f>AND('Large Nonlinear Problem'!D30,"AAAAAF7bT2Y=")</f>
        <v>#VALUE!</v>
      </c>
      <c r="CZ47" t="e">
        <f>AND('Large Nonlinear Problem'!E30,"AAAAAF7bT2c=")</f>
        <v>#VALUE!</v>
      </c>
      <c r="DA47" t="e">
        <f>AND('Large Nonlinear Problem'!F30,"AAAAAF7bT2g=")</f>
        <v>#VALUE!</v>
      </c>
      <c r="DB47" t="e">
        <f>AND('Large Nonlinear Problem'!G30,"AAAAAF7bT2k=")</f>
        <v>#VALUE!</v>
      </c>
      <c r="DC47">
        <f>IF('Large Nonlinear Problem'!31:31,"AAAAAF7bT2o=",0)</f>
        <v>0</v>
      </c>
      <c r="DD47" t="e">
        <f>AND('Large Nonlinear Problem'!A31,"AAAAAF7bT2s=")</f>
        <v>#VALUE!</v>
      </c>
      <c r="DE47" t="e">
        <f>AND('Large Nonlinear Problem'!B31,"AAAAAF7bT2w=")</f>
        <v>#VALUE!</v>
      </c>
      <c r="DF47" t="e">
        <f>AND('Large Nonlinear Problem'!C31,"AAAAAF7bT20=")</f>
        <v>#VALUE!</v>
      </c>
      <c r="DG47" t="e">
        <f>AND('Large Nonlinear Problem'!D31,"AAAAAF7bT24=")</f>
        <v>#VALUE!</v>
      </c>
      <c r="DH47" t="e">
        <f>AND('Large Nonlinear Problem'!E31,"AAAAAF7bT28=")</f>
        <v>#VALUE!</v>
      </c>
      <c r="DI47" t="e">
        <f>AND('Large Nonlinear Problem'!F31,"AAAAAF7bT3A=")</f>
        <v>#VALUE!</v>
      </c>
      <c r="DJ47" t="e">
        <f>AND('Large Nonlinear Problem'!G31,"AAAAAF7bT3E=")</f>
        <v>#VALUE!</v>
      </c>
      <c r="DK47">
        <f>IF('Large Nonlinear Problem'!32:32,"AAAAAF7bT3I=",0)</f>
        <v>0</v>
      </c>
      <c r="DL47" t="e">
        <f>AND('Large Nonlinear Problem'!A32,"AAAAAF7bT3M=")</f>
        <v>#VALUE!</v>
      </c>
      <c r="DM47" t="e">
        <f>AND('Large Nonlinear Problem'!B32,"AAAAAF7bT3Q=")</f>
        <v>#VALUE!</v>
      </c>
      <c r="DN47" t="e">
        <f>AND('Large Nonlinear Problem'!C32,"AAAAAF7bT3U=")</f>
        <v>#VALUE!</v>
      </c>
      <c r="DO47" t="e">
        <f>AND('Large Nonlinear Problem'!D32,"AAAAAF7bT3Y=")</f>
        <v>#VALUE!</v>
      </c>
      <c r="DP47" t="e">
        <f>AND('Large Nonlinear Problem'!E32,"AAAAAF7bT3c=")</f>
        <v>#VALUE!</v>
      </c>
      <c r="DQ47" t="e">
        <f>AND('Large Nonlinear Problem'!F32,"AAAAAF7bT3g=")</f>
        <v>#VALUE!</v>
      </c>
      <c r="DR47" t="e">
        <f>AND('Large Nonlinear Problem'!G32,"AAAAAF7bT3k=")</f>
        <v>#VALUE!</v>
      </c>
      <c r="DS47">
        <f>IF('Large Nonlinear Problem'!33:33,"AAAAAF7bT3o=",0)</f>
        <v>0</v>
      </c>
      <c r="DT47" t="e">
        <f>AND('Large Nonlinear Problem'!A33,"AAAAAF7bT3s=")</f>
        <v>#VALUE!</v>
      </c>
      <c r="DU47" t="e">
        <f>AND('Large Nonlinear Problem'!B33,"AAAAAF7bT3w=")</f>
        <v>#VALUE!</v>
      </c>
      <c r="DV47" t="e">
        <f>AND('Large Nonlinear Problem'!C33,"AAAAAF7bT30=")</f>
        <v>#VALUE!</v>
      </c>
      <c r="DW47" t="e">
        <f>AND('Large Nonlinear Problem'!D33,"AAAAAF7bT34=")</f>
        <v>#VALUE!</v>
      </c>
      <c r="DX47" t="e">
        <f>AND('Large Nonlinear Problem'!E33,"AAAAAF7bT38=")</f>
        <v>#VALUE!</v>
      </c>
      <c r="DY47" t="e">
        <f>AND('Large Nonlinear Problem'!F33,"AAAAAF7bT4A=")</f>
        <v>#VALUE!</v>
      </c>
      <c r="DZ47" t="e">
        <f>AND('Large Nonlinear Problem'!G33,"AAAAAF7bT4E=")</f>
        <v>#VALUE!</v>
      </c>
      <c r="EA47">
        <f>IF('Large Nonlinear Problem'!34:34,"AAAAAF7bT4I=",0)</f>
        <v>0</v>
      </c>
      <c r="EB47" t="e">
        <f>AND('Large Nonlinear Problem'!A34,"AAAAAF7bT4M=")</f>
        <v>#VALUE!</v>
      </c>
      <c r="EC47" t="e">
        <f>AND('Large Nonlinear Problem'!B34,"AAAAAF7bT4Q=")</f>
        <v>#VALUE!</v>
      </c>
      <c r="ED47" t="e">
        <f>AND('Large Nonlinear Problem'!C34,"AAAAAF7bT4U=")</f>
        <v>#VALUE!</v>
      </c>
      <c r="EE47" t="e">
        <f>AND('Large Nonlinear Problem'!D34,"AAAAAF7bT4Y=")</f>
        <v>#VALUE!</v>
      </c>
      <c r="EF47" t="e">
        <f>AND('Large Nonlinear Problem'!E34,"AAAAAF7bT4c=")</f>
        <v>#VALUE!</v>
      </c>
      <c r="EG47" t="e">
        <f>AND('Large Nonlinear Problem'!F34,"AAAAAF7bT4g=")</f>
        <v>#VALUE!</v>
      </c>
      <c r="EH47" t="e">
        <f>AND('Large Nonlinear Problem'!G34,"AAAAAF7bT4k=")</f>
        <v>#VALUE!</v>
      </c>
      <c r="EI47">
        <f>IF('Large Nonlinear Problem'!35:35,"AAAAAF7bT4o=",0)</f>
        <v>0</v>
      </c>
      <c r="EJ47" t="e">
        <f>AND('Large Nonlinear Problem'!A35,"AAAAAF7bT4s=")</f>
        <v>#VALUE!</v>
      </c>
      <c r="EK47" t="e">
        <f>AND('Large Nonlinear Problem'!B35,"AAAAAF7bT4w=")</f>
        <v>#VALUE!</v>
      </c>
      <c r="EL47" t="e">
        <f>AND('Large Nonlinear Problem'!C35,"AAAAAF7bT40=")</f>
        <v>#VALUE!</v>
      </c>
      <c r="EM47" t="e">
        <f>AND('Large Nonlinear Problem'!D35,"AAAAAF7bT44=")</f>
        <v>#VALUE!</v>
      </c>
      <c r="EN47" t="e">
        <f>AND('Large Nonlinear Problem'!E35,"AAAAAF7bT48=")</f>
        <v>#VALUE!</v>
      </c>
      <c r="EO47" t="e">
        <f>AND('Large Nonlinear Problem'!F35,"AAAAAF7bT5A=")</f>
        <v>#VALUE!</v>
      </c>
      <c r="EP47" t="e">
        <f>AND('Large Nonlinear Problem'!G35,"AAAAAF7bT5E=")</f>
        <v>#VALUE!</v>
      </c>
      <c r="EQ47">
        <f>IF('Large Nonlinear Problem'!36:36,"AAAAAF7bT5I=",0)</f>
        <v>0</v>
      </c>
      <c r="ER47" t="e">
        <f>AND('Large Nonlinear Problem'!A36,"AAAAAF7bT5M=")</f>
        <v>#VALUE!</v>
      </c>
      <c r="ES47" t="e">
        <f>AND('Large Nonlinear Problem'!B36,"AAAAAF7bT5Q=")</f>
        <v>#VALUE!</v>
      </c>
      <c r="ET47" t="e">
        <f>AND('Large Nonlinear Problem'!C36,"AAAAAF7bT5U=")</f>
        <v>#VALUE!</v>
      </c>
      <c r="EU47" t="e">
        <f>AND('Large Nonlinear Problem'!D36,"AAAAAF7bT5Y=")</f>
        <v>#VALUE!</v>
      </c>
      <c r="EV47" t="e">
        <f>AND('Large Nonlinear Problem'!E36,"AAAAAF7bT5c=")</f>
        <v>#VALUE!</v>
      </c>
      <c r="EW47" t="e">
        <f>AND('Large Nonlinear Problem'!F36,"AAAAAF7bT5g=")</f>
        <v>#VALUE!</v>
      </c>
      <c r="EX47" t="e">
        <f>AND('Large Nonlinear Problem'!G36,"AAAAAF7bT5k=")</f>
        <v>#VALUE!</v>
      </c>
      <c r="EY47">
        <f>IF('Large Nonlinear Problem'!37:37,"AAAAAF7bT5o=",0)</f>
        <v>0</v>
      </c>
      <c r="EZ47" t="e">
        <f>AND('Large Nonlinear Problem'!A37,"AAAAAF7bT5s=")</f>
        <v>#VALUE!</v>
      </c>
      <c r="FA47" t="e">
        <f>AND('Large Nonlinear Problem'!B37,"AAAAAF7bT5w=")</f>
        <v>#VALUE!</v>
      </c>
      <c r="FB47" t="e">
        <f>AND('Large Nonlinear Problem'!C37,"AAAAAF7bT50=")</f>
        <v>#VALUE!</v>
      </c>
      <c r="FC47" t="e">
        <f>AND('Large Nonlinear Problem'!D37,"AAAAAF7bT54=")</f>
        <v>#VALUE!</v>
      </c>
      <c r="FD47" t="e">
        <f>AND('Large Nonlinear Problem'!E37,"AAAAAF7bT58=")</f>
        <v>#VALUE!</v>
      </c>
      <c r="FE47" t="e">
        <f>AND('Large Nonlinear Problem'!F37,"AAAAAF7bT6A=")</f>
        <v>#VALUE!</v>
      </c>
      <c r="FF47" t="e">
        <f>AND('Large Nonlinear Problem'!G37,"AAAAAF7bT6E=")</f>
        <v>#VALUE!</v>
      </c>
      <c r="FG47">
        <f>IF('Large Nonlinear Problem'!38:38,"AAAAAF7bT6I=",0)</f>
        <v>0</v>
      </c>
      <c r="FH47" t="e">
        <f>AND('Large Nonlinear Problem'!A38,"AAAAAF7bT6M=")</f>
        <v>#VALUE!</v>
      </c>
      <c r="FI47" t="e">
        <f>AND('Large Nonlinear Problem'!B38,"AAAAAF7bT6Q=")</f>
        <v>#VALUE!</v>
      </c>
      <c r="FJ47" t="e">
        <f>AND('Large Nonlinear Problem'!C38,"AAAAAF7bT6U=")</f>
        <v>#VALUE!</v>
      </c>
      <c r="FK47" t="e">
        <f>AND('Large Nonlinear Problem'!D38,"AAAAAF7bT6Y=")</f>
        <v>#VALUE!</v>
      </c>
      <c r="FL47" t="e">
        <f>AND('Large Nonlinear Problem'!E38,"AAAAAF7bT6c=")</f>
        <v>#VALUE!</v>
      </c>
      <c r="FM47" t="e">
        <f>AND('Large Nonlinear Problem'!F38,"AAAAAF7bT6g=")</f>
        <v>#VALUE!</v>
      </c>
      <c r="FN47" t="e">
        <f>AND('Large Nonlinear Problem'!G38,"AAAAAF7bT6k=")</f>
        <v>#VALUE!</v>
      </c>
      <c r="FO47">
        <f>IF('Large Nonlinear Problem'!39:39,"AAAAAF7bT6o=",0)</f>
        <v>0</v>
      </c>
      <c r="FP47" t="e">
        <f>AND('Large Nonlinear Problem'!A39,"AAAAAF7bT6s=")</f>
        <v>#VALUE!</v>
      </c>
      <c r="FQ47" t="e">
        <f>AND('Large Nonlinear Problem'!B39,"AAAAAF7bT6w=")</f>
        <v>#VALUE!</v>
      </c>
      <c r="FR47" t="e">
        <f>AND('Large Nonlinear Problem'!C39,"AAAAAF7bT60=")</f>
        <v>#VALUE!</v>
      </c>
      <c r="FS47" t="e">
        <f>AND('Large Nonlinear Problem'!D39,"AAAAAF7bT64=")</f>
        <v>#VALUE!</v>
      </c>
      <c r="FT47" t="e">
        <f>AND('Large Nonlinear Problem'!E39,"AAAAAF7bT68=")</f>
        <v>#VALUE!</v>
      </c>
      <c r="FU47" t="e">
        <f>AND('Large Nonlinear Problem'!F39,"AAAAAF7bT7A=")</f>
        <v>#VALUE!</v>
      </c>
      <c r="FV47" t="e">
        <f>AND('Large Nonlinear Problem'!G39,"AAAAAF7bT7E=")</f>
        <v>#VALUE!</v>
      </c>
      <c r="FW47">
        <f>IF('Large Nonlinear Problem'!40:40,"AAAAAF7bT7I=",0)</f>
        <v>0</v>
      </c>
      <c r="FX47" t="e">
        <f>AND('Large Nonlinear Problem'!A40,"AAAAAF7bT7M=")</f>
        <v>#VALUE!</v>
      </c>
      <c r="FY47" t="e">
        <f>AND('Large Nonlinear Problem'!B40,"AAAAAF7bT7Q=")</f>
        <v>#VALUE!</v>
      </c>
      <c r="FZ47" t="e">
        <f>AND('Large Nonlinear Problem'!C40,"AAAAAF7bT7U=")</f>
        <v>#VALUE!</v>
      </c>
      <c r="GA47" t="e">
        <f>AND('Large Nonlinear Problem'!D40,"AAAAAF7bT7Y=")</f>
        <v>#VALUE!</v>
      </c>
      <c r="GB47" t="e">
        <f>AND('Large Nonlinear Problem'!E40,"AAAAAF7bT7c=")</f>
        <v>#VALUE!</v>
      </c>
      <c r="GC47" t="e">
        <f>AND('Large Nonlinear Problem'!F40,"AAAAAF7bT7g=")</f>
        <v>#VALUE!</v>
      </c>
      <c r="GD47" t="e">
        <f>AND('Large Nonlinear Problem'!G40,"AAAAAF7bT7k=")</f>
        <v>#VALUE!</v>
      </c>
      <c r="GE47">
        <f>IF('Large Nonlinear Problem'!41:41,"AAAAAF7bT7o=",0)</f>
        <v>0</v>
      </c>
      <c r="GF47" t="e">
        <f>AND('Large Nonlinear Problem'!A41,"AAAAAF7bT7s=")</f>
        <v>#VALUE!</v>
      </c>
      <c r="GG47" t="e">
        <f>AND('Large Nonlinear Problem'!B41,"AAAAAF7bT7w=")</f>
        <v>#VALUE!</v>
      </c>
      <c r="GH47" t="e">
        <f>AND('Large Nonlinear Problem'!C41,"AAAAAF7bT70=")</f>
        <v>#VALUE!</v>
      </c>
      <c r="GI47" t="e">
        <f>AND('Large Nonlinear Problem'!D41,"AAAAAF7bT74=")</f>
        <v>#VALUE!</v>
      </c>
      <c r="GJ47" t="e">
        <f>AND('Large Nonlinear Problem'!E41,"AAAAAF7bT78=")</f>
        <v>#VALUE!</v>
      </c>
      <c r="GK47" t="e">
        <f>AND('Large Nonlinear Problem'!F41,"AAAAAF7bT8A=")</f>
        <v>#VALUE!</v>
      </c>
      <c r="GL47" t="e">
        <f>AND('Large Nonlinear Problem'!G41,"AAAAAF7bT8E=")</f>
        <v>#VALUE!</v>
      </c>
      <c r="GM47">
        <f>IF('Large Nonlinear Problem'!42:42,"AAAAAF7bT8I=",0)</f>
        <v>0</v>
      </c>
      <c r="GN47" t="e">
        <f>AND('Large Nonlinear Problem'!A42,"AAAAAF7bT8M=")</f>
        <v>#VALUE!</v>
      </c>
      <c r="GO47" t="e">
        <f>AND('Large Nonlinear Problem'!B42,"AAAAAF7bT8Q=")</f>
        <v>#VALUE!</v>
      </c>
      <c r="GP47" t="e">
        <f>AND('Large Nonlinear Problem'!C42,"AAAAAF7bT8U=")</f>
        <v>#VALUE!</v>
      </c>
      <c r="GQ47" t="e">
        <f>AND('Large Nonlinear Problem'!D42,"AAAAAF7bT8Y=")</f>
        <v>#VALUE!</v>
      </c>
      <c r="GR47" t="e">
        <f>AND('Large Nonlinear Problem'!E42,"AAAAAF7bT8c=")</f>
        <v>#VALUE!</v>
      </c>
      <c r="GS47" t="e">
        <f>AND('Large Nonlinear Problem'!F42,"AAAAAF7bT8g=")</f>
        <v>#VALUE!</v>
      </c>
      <c r="GT47" t="e">
        <f>AND('Large Nonlinear Problem'!G42,"AAAAAF7bT8k=")</f>
        <v>#VALUE!</v>
      </c>
      <c r="GU47">
        <f>IF('Large Nonlinear Problem'!43:43,"AAAAAF7bT8o=",0)</f>
        <v>0</v>
      </c>
      <c r="GV47" t="e">
        <f>AND('Large Nonlinear Problem'!A43,"AAAAAF7bT8s=")</f>
        <v>#VALUE!</v>
      </c>
      <c r="GW47" t="e">
        <f>AND('Large Nonlinear Problem'!B43,"AAAAAF7bT8w=")</f>
        <v>#VALUE!</v>
      </c>
      <c r="GX47" t="e">
        <f>AND('Large Nonlinear Problem'!C43,"AAAAAF7bT80=")</f>
        <v>#VALUE!</v>
      </c>
      <c r="GY47" t="e">
        <f>AND('Large Nonlinear Problem'!D43,"AAAAAF7bT84=")</f>
        <v>#VALUE!</v>
      </c>
      <c r="GZ47" t="e">
        <f>AND('Large Nonlinear Problem'!E43,"AAAAAF7bT88=")</f>
        <v>#VALUE!</v>
      </c>
      <c r="HA47" t="e">
        <f>AND('Large Nonlinear Problem'!F43,"AAAAAF7bT9A=")</f>
        <v>#VALUE!</v>
      </c>
      <c r="HB47" t="e">
        <f>AND('Large Nonlinear Problem'!G43,"AAAAAF7bT9E=")</f>
        <v>#VALUE!</v>
      </c>
      <c r="HC47">
        <f>IF('Large Nonlinear Problem'!44:44,"AAAAAF7bT9I=",0)</f>
        <v>0</v>
      </c>
      <c r="HD47" t="e">
        <f>AND('Large Nonlinear Problem'!A44,"AAAAAF7bT9M=")</f>
        <v>#VALUE!</v>
      </c>
      <c r="HE47" t="e">
        <f>AND('Large Nonlinear Problem'!B44,"AAAAAF7bT9Q=")</f>
        <v>#VALUE!</v>
      </c>
      <c r="HF47" t="e">
        <f>AND('Large Nonlinear Problem'!C44,"AAAAAF7bT9U=")</f>
        <v>#VALUE!</v>
      </c>
      <c r="HG47" t="e">
        <f>AND('Large Nonlinear Problem'!D44,"AAAAAF7bT9Y=")</f>
        <v>#VALUE!</v>
      </c>
      <c r="HH47" t="e">
        <f>AND('Large Nonlinear Problem'!E44,"AAAAAF7bT9c=")</f>
        <v>#VALUE!</v>
      </c>
      <c r="HI47" t="e">
        <f>AND('Large Nonlinear Problem'!F44,"AAAAAF7bT9g=")</f>
        <v>#VALUE!</v>
      </c>
      <c r="HJ47" t="e">
        <f>AND('Large Nonlinear Problem'!G44,"AAAAAF7bT9k=")</f>
        <v>#VALUE!</v>
      </c>
      <c r="HK47">
        <f>IF('Large Nonlinear Problem'!45:45,"AAAAAF7bT9o=",0)</f>
        <v>0</v>
      </c>
      <c r="HL47" t="e">
        <f>AND('Large Nonlinear Problem'!A45,"AAAAAF7bT9s=")</f>
        <v>#VALUE!</v>
      </c>
      <c r="HM47" t="e">
        <f>AND('Large Nonlinear Problem'!B45,"AAAAAF7bT9w=")</f>
        <v>#VALUE!</v>
      </c>
      <c r="HN47" t="e">
        <f>AND('Large Nonlinear Problem'!C45,"AAAAAF7bT90=")</f>
        <v>#VALUE!</v>
      </c>
      <c r="HO47" t="e">
        <f>AND('Large Nonlinear Problem'!D45,"AAAAAF7bT94=")</f>
        <v>#VALUE!</v>
      </c>
      <c r="HP47" t="e">
        <f>AND('Large Nonlinear Problem'!E45,"AAAAAF7bT98=")</f>
        <v>#VALUE!</v>
      </c>
      <c r="HQ47" t="e">
        <f>AND('Large Nonlinear Problem'!F45,"AAAAAF7bT+A=")</f>
        <v>#VALUE!</v>
      </c>
      <c r="HR47" t="e">
        <f>AND('Large Nonlinear Problem'!G45,"AAAAAF7bT+E=")</f>
        <v>#VALUE!</v>
      </c>
      <c r="HS47">
        <f>IF('Large Nonlinear Problem'!46:46,"AAAAAF7bT+I=",0)</f>
        <v>0</v>
      </c>
      <c r="HT47" t="e">
        <f>AND('Large Nonlinear Problem'!A46,"AAAAAF7bT+M=")</f>
        <v>#VALUE!</v>
      </c>
      <c r="HU47" t="e">
        <f>AND('Large Nonlinear Problem'!B46,"AAAAAF7bT+Q=")</f>
        <v>#VALUE!</v>
      </c>
      <c r="HV47" t="e">
        <f>AND('Large Nonlinear Problem'!C46,"AAAAAF7bT+U=")</f>
        <v>#VALUE!</v>
      </c>
      <c r="HW47" t="e">
        <f>AND('Large Nonlinear Problem'!D46,"AAAAAF7bT+Y=")</f>
        <v>#VALUE!</v>
      </c>
      <c r="HX47" t="e">
        <f>AND('Large Nonlinear Problem'!E46,"AAAAAF7bT+c=")</f>
        <v>#VALUE!</v>
      </c>
      <c r="HY47" t="e">
        <f>AND('Large Nonlinear Problem'!F46,"AAAAAF7bT+g=")</f>
        <v>#VALUE!</v>
      </c>
      <c r="HZ47" t="e">
        <f>AND('Large Nonlinear Problem'!G46,"AAAAAF7bT+k=")</f>
        <v>#VALUE!</v>
      </c>
      <c r="IA47">
        <f>IF('Large Nonlinear Problem'!47:47,"AAAAAF7bT+o=",0)</f>
        <v>0</v>
      </c>
      <c r="IB47" t="e">
        <f>AND('Large Nonlinear Problem'!A47,"AAAAAF7bT+s=")</f>
        <v>#VALUE!</v>
      </c>
      <c r="IC47" t="e">
        <f>AND('Large Nonlinear Problem'!B47,"AAAAAF7bT+w=")</f>
        <v>#VALUE!</v>
      </c>
      <c r="ID47" t="e">
        <f>AND('Large Nonlinear Problem'!C47,"AAAAAF7bT+0=")</f>
        <v>#VALUE!</v>
      </c>
      <c r="IE47" t="e">
        <f>AND('Large Nonlinear Problem'!D47,"AAAAAF7bT+4=")</f>
        <v>#VALUE!</v>
      </c>
      <c r="IF47" t="e">
        <f>AND('Large Nonlinear Problem'!E47,"AAAAAF7bT+8=")</f>
        <v>#VALUE!</v>
      </c>
      <c r="IG47" t="e">
        <f>AND('Large Nonlinear Problem'!F47,"AAAAAF7bT/A=")</f>
        <v>#VALUE!</v>
      </c>
      <c r="IH47" t="e">
        <f>AND('Large Nonlinear Problem'!G47,"AAAAAF7bT/E=")</f>
        <v>#VALUE!</v>
      </c>
      <c r="II47">
        <f>IF('Large Nonlinear Problem'!48:48,"AAAAAF7bT/I=",0)</f>
        <v>0</v>
      </c>
      <c r="IJ47" t="e">
        <f>AND('Large Nonlinear Problem'!A48,"AAAAAF7bT/M=")</f>
        <v>#VALUE!</v>
      </c>
      <c r="IK47" t="e">
        <f>AND('Large Nonlinear Problem'!B48,"AAAAAF7bT/Q=")</f>
        <v>#VALUE!</v>
      </c>
      <c r="IL47" t="e">
        <f>AND('Large Nonlinear Problem'!C48,"AAAAAF7bT/U=")</f>
        <v>#VALUE!</v>
      </c>
      <c r="IM47" t="e">
        <f>AND('Large Nonlinear Problem'!D48,"AAAAAF7bT/Y=")</f>
        <v>#VALUE!</v>
      </c>
      <c r="IN47" t="e">
        <f>AND('Large Nonlinear Problem'!E48,"AAAAAF7bT/c=")</f>
        <v>#VALUE!</v>
      </c>
      <c r="IO47" t="e">
        <f>AND('Large Nonlinear Problem'!F48,"AAAAAF7bT/g=")</f>
        <v>#VALUE!</v>
      </c>
      <c r="IP47" t="e">
        <f>AND('Large Nonlinear Problem'!G48,"AAAAAF7bT/k=")</f>
        <v>#VALUE!</v>
      </c>
      <c r="IQ47">
        <f>IF('Large Nonlinear Problem'!49:49,"AAAAAF7bT/o=",0)</f>
        <v>0</v>
      </c>
      <c r="IR47" t="e">
        <f>AND('Large Nonlinear Problem'!A49,"AAAAAF7bT/s=")</f>
        <v>#VALUE!</v>
      </c>
      <c r="IS47" t="e">
        <f>AND('Large Nonlinear Problem'!B49,"AAAAAF7bT/w=")</f>
        <v>#VALUE!</v>
      </c>
      <c r="IT47" t="e">
        <f>AND('Large Nonlinear Problem'!C49,"AAAAAF7bT/0=")</f>
        <v>#VALUE!</v>
      </c>
      <c r="IU47" t="e">
        <f>AND('Large Nonlinear Problem'!D49,"AAAAAF7bT/4=")</f>
        <v>#VALUE!</v>
      </c>
      <c r="IV47" t="e">
        <f>AND('Large Nonlinear Problem'!E49,"AAAAAF7bT/8=")</f>
        <v>#VALUE!</v>
      </c>
    </row>
    <row r="48" spans="1:256">
      <c r="A48" t="e">
        <f>AND('Large Nonlinear Problem'!F49,"AAAAAH/WOwA=")</f>
        <v>#VALUE!</v>
      </c>
      <c r="B48" t="e">
        <f>AND('Large Nonlinear Problem'!G49,"AAAAAH/WOwE=")</f>
        <v>#VALUE!</v>
      </c>
      <c r="C48">
        <f>IF('Large Nonlinear Problem'!50:50,"AAAAAH/WOwI=",0)</f>
        <v>0</v>
      </c>
      <c r="D48" t="e">
        <f>AND('Large Nonlinear Problem'!A50,"AAAAAH/WOwM=")</f>
        <v>#VALUE!</v>
      </c>
      <c r="E48" t="e">
        <f>AND('Large Nonlinear Problem'!B50,"AAAAAH/WOwQ=")</f>
        <v>#VALUE!</v>
      </c>
      <c r="F48" t="e">
        <f>AND('Large Nonlinear Problem'!C50,"AAAAAH/WOwU=")</f>
        <v>#VALUE!</v>
      </c>
      <c r="G48" t="e">
        <f>AND('Large Nonlinear Problem'!D50,"AAAAAH/WOwY=")</f>
        <v>#VALUE!</v>
      </c>
      <c r="H48" t="e">
        <f>AND('Large Nonlinear Problem'!E50,"AAAAAH/WOwc=")</f>
        <v>#VALUE!</v>
      </c>
      <c r="I48" t="e">
        <f>AND('Large Nonlinear Problem'!F50,"AAAAAH/WOwg=")</f>
        <v>#VALUE!</v>
      </c>
      <c r="J48" t="e">
        <f>AND('Large Nonlinear Problem'!G50,"AAAAAH/WOwk=")</f>
        <v>#VALUE!</v>
      </c>
      <c r="K48">
        <f>IF('Large Nonlinear Problem'!51:51,"AAAAAH/WOwo=",0)</f>
        <v>0</v>
      </c>
      <c r="L48" t="e">
        <f>AND('Large Nonlinear Problem'!A51,"AAAAAH/WOws=")</f>
        <v>#VALUE!</v>
      </c>
      <c r="M48" t="e">
        <f>AND('Large Nonlinear Problem'!B51,"AAAAAH/WOww=")</f>
        <v>#VALUE!</v>
      </c>
      <c r="N48" t="e">
        <f>AND('Large Nonlinear Problem'!C51,"AAAAAH/WOw0=")</f>
        <v>#VALUE!</v>
      </c>
      <c r="O48" t="e">
        <f>AND('Large Nonlinear Problem'!D51,"AAAAAH/WOw4=")</f>
        <v>#VALUE!</v>
      </c>
      <c r="P48" t="e">
        <f>AND('Large Nonlinear Problem'!E51,"AAAAAH/WOw8=")</f>
        <v>#VALUE!</v>
      </c>
      <c r="Q48" t="e">
        <f>AND('Large Nonlinear Problem'!F51,"AAAAAH/WOxA=")</f>
        <v>#VALUE!</v>
      </c>
      <c r="R48" t="e">
        <f>AND('Large Nonlinear Problem'!G51,"AAAAAH/WOxE=")</f>
        <v>#VALUE!</v>
      </c>
      <c r="S48">
        <f>IF('Large Nonlinear Problem'!52:52,"AAAAAH/WOxI=",0)</f>
        <v>0</v>
      </c>
      <c r="T48" t="e">
        <f>AND('Large Nonlinear Problem'!A52,"AAAAAH/WOxM=")</f>
        <v>#VALUE!</v>
      </c>
      <c r="U48" t="e">
        <f>AND('Large Nonlinear Problem'!B52,"AAAAAH/WOxQ=")</f>
        <v>#VALUE!</v>
      </c>
      <c r="V48" t="e">
        <f>AND('Large Nonlinear Problem'!C52,"AAAAAH/WOxU=")</f>
        <v>#VALUE!</v>
      </c>
      <c r="W48" t="e">
        <f>AND('Large Nonlinear Problem'!D52,"AAAAAH/WOxY=")</f>
        <v>#VALUE!</v>
      </c>
      <c r="X48" t="e">
        <f>AND('Large Nonlinear Problem'!E52,"AAAAAH/WOxc=")</f>
        <v>#VALUE!</v>
      </c>
      <c r="Y48" t="e">
        <f>AND('Large Nonlinear Problem'!F52,"AAAAAH/WOxg=")</f>
        <v>#VALUE!</v>
      </c>
      <c r="Z48" t="e">
        <f>AND('Large Nonlinear Problem'!G52,"AAAAAH/WOxk=")</f>
        <v>#VALUE!</v>
      </c>
      <c r="AA48">
        <f>IF('Large Nonlinear Problem'!53:53,"AAAAAH/WOxo=",0)</f>
        <v>0</v>
      </c>
      <c r="AB48" t="e">
        <f>AND('Large Nonlinear Problem'!A53,"AAAAAH/WOxs=")</f>
        <v>#VALUE!</v>
      </c>
      <c r="AC48" t="e">
        <f>AND('Large Nonlinear Problem'!B53,"AAAAAH/WOxw=")</f>
        <v>#VALUE!</v>
      </c>
      <c r="AD48" t="e">
        <f>AND('Large Nonlinear Problem'!C53,"AAAAAH/WOx0=")</f>
        <v>#VALUE!</v>
      </c>
      <c r="AE48" t="e">
        <f>AND('Large Nonlinear Problem'!D53,"AAAAAH/WOx4=")</f>
        <v>#VALUE!</v>
      </c>
      <c r="AF48" t="e">
        <f>AND('Large Nonlinear Problem'!E53,"AAAAAH/WOx8=")</f>
        <v>#VALUE!</v>
      </c>
      <c r="AG48" t="e">
        <f>AND('Large Nonlinear Problem'!F53,"AAAAAH/WOyA=")</f>
        <v>#VALUE!</v>
      </c>
      <c r="AH48" t="e">
        <f>AND('Large Nonlinear Problem'!G53,"AAAAAH/WOyE=")</f>
        <v>#VALUE!</v>
      </c>
      <c r="AI48">
        <f>IF('Large Nonlinear Problem'!54:54,"AAAAAH/WOyI=",0)</f>
        <v>0</v>
      </c>
      <c r="AJ48" t="e">
        <f>AND('Large Nonlinear Problem'!A54,"AAAAAH/WOyM=")</f>
        <v>#VALUE!</v>
      </c>
      <c r="AK48" t="e">
        <f>AND('Large Nonlinear Problem'!B54,"AAAAAH/WOyQ=")</f>
        <v>#VALUE!</v>
      </c>
      <c r="AL48" t="e">
        <f>AND('Large Nonlinear Problem'!C54,"AAAAAH/WOyU=")</f>
        <v>#VALUE!</v>
      </c>
      <c r="AM48" t="e">
        <f>AND('Large Nonlinear Problem'!D54,"AAAAAH/WOyY=")</f>
        <v>#VALUE!</v>
      </c>
      <c r="AN48" t="e">
        <f>AND('Large Nonlinear Problem'!E54,"AAAAAH/WOyc=")</f>
        <v>#VALUE!</v>
      </c>
      <c r="AO48" t="e">
        <f>AND('Large Nonlinear Problem'!F54,"AAAAAH/WOyg=")</f>
        <v>#VALUE!</v>
      </c>
      <c r="AP48" t="e">
        <f>AND('Large Nonlinear Problem'!G54,"AAAAAH/WOyk=")</f>
        <v>#VALUE!</v>
      </c>
      <c r="AQ48">
        <f>IF('Large Nonlinear Problem'!55:55,"AAAAAH/WOyo=",0)</f>
        <v>0</v>
      </c>
      <c r="AR48" t="e">
        <f>AND('Large Nonlinear Problem'!A55,"AAAAAH/WOys=")</f>
        <v>#VALUE!</v>
      </c>
      <c r="AS48" t="e">
        <f>AND('Large Nonlinear Problem'!B55,"AAAAAH/WOyw=")</f>
        <v>#VALUE!</v>
      </c>
      <c r="AT48" t="e">
        <f>AND('Large Nonlinear Problem'!C55,"AAAAAH/WOy0=")</f>
        <v>#VALUE!</v>
      </c>
      <c r="AU48" t="e">
        <f>AND('Large Nonlinear Problem'!D55,"AAAAAH/WOy4=")</f>
        <v>#VALUE!</v>
      </c>
      <c r="AV48" t="e">
        <f>AND('Large Nonlinear Problem'!E55,"AAAAAH/WOy8=")</f>
        <v>#VALUE!</v>
      </c>
      <c r="AW48" t="e">
        <f>AND('Large Nonlinear Problem'!F55,"AAAAAH/WOzA=")</f>
        <v>#VALUE!</v>
      </c>
      <c r="AX48" t="e">
        <f>AND('Large Nonlinear Problem'!G55,"AAAAAH/WOzE=")</f>
        <v>#VALUE!</v>
      </c>
      <c r="AY48">
        <f>IF('Large Nonlinear Problem'!56:56,"AAAAAH/WOzI=",0)</f>
        <v>0</v>
      </c>
      <c r="AZ48" t="e">
        <f>AND('Large Nonlinear Problem'!A56,"AAAAAH/WOzM=")</f>
        <v>#VALUE!</v>
      </c>
      <c r="BA48" t="e">
        <f>AND('Large Nonlinear Problem'!B56,"AAAAAH/WOzQ=")</f>
        <v>#VALUE!</v>
      </c>
      <c r="BB48" t="e">
        <f>AND('Large Nonlinear Problem'!C56,"AAAAAH/WOzU=")</f>
        <v>#VALUE!</v>
      </c>
      <c r="BC48" t="e">
        <f>AND('Large Nonlinear Problem'!D56,"AAAAAH/WOzY=")</f>
        <v>#VALUE!</v>
      </c>
      <c r="BD48" t="e">
        <f>AND('Large Nonlinear Problem'!E56,"AAAAAH/WOzc=")</f>
        <v>#VALUE!</v>
      </c>
      <c r="BE48" t="e">
        <f>AND('Large Nonlinear Problem'!F56,"AAAAAH/WOzg=")</f>
        <v>#VALUE!</v>
      </c>
      <c r="BF48" t="e">
        <f>AND('Large Nonlinear Problem'!G56,"AAAAAH/WOzk=")</f>
        <v>#VALUE!</v>
      </c>
      <c r="BG48">
        <f>IF('Large Nonlinear Problem'!57:57,"AAAAAH/WOzo=",0)</f>
        <v>0</v>
      </c>
      <c r="BH48" t="e">
        <f>AND('Large Nonlinear Problem'!A57,"AAAAAH/WOzs=")</f>
        <v>#VALUE!</v>
      </c>
      <c r="BI48" t="e">
        <f>AND('Large Nonlinear Problem'!B57,"AAAAAH/WOzw=")</f>
        <v>#VALUE!</v>
      </c>
      <c r="BJ48" t="e">
        <f>AND('Large Nonlinear Problem'!C57,"AAAAAH/WOz0=")</f>
        <v>#VALUE!</v>
      </c>
      <c r="BK48" t="e">
        <f>AND('Large Nonlinear Problem'!D57,"AAAAAH/WOz4=")</f>
        <v>#VALUE!</v>
      </c>
      <c r="BL48" t="e">
        <f>AND('Large Nonlinear Problem'!E57,"AAAAAH/WOz8=")</f>
        <v>#VALUE!</v>
      </c>
      <c r="BM48" t="e">
        <f>AND('Large Nonlinear Problem'!F57,"AAAAAH/WO0A=")</f>
        <v>#VALUE!</v>
      </c>
      <c r="BN48" t="e">
        <f>AND('Large Nonlinear Problem'!G57,"AAAAAH/WO0E=")</f>
        <v>#VALUE!</v>
      </c>
      <c r="BO48">
        <f>IF('Large Nonlinear Problem'!58:58,"AAAAAH/WO0I=",0)</f>
        <v>0</v>
      </c>
      <c r="BP48" t="e">
        <f>AND('Large Nonlinear Problem'!A58,"AAAAAH/WO0M=")</f>
        <v>#VALUE!</v>
      </c>
      <c r="BQ48" t="e">
        <f>AND('Large Nonlinear Problem'!B58,"AAAAAH/WO0Q=")</f>
        <v>#VALUE!</v>
      </c>
      <c r="BR48" t="e">
        <f>AND('Large Nonlinear Problem'!C58,"AAAAAH/WO0U=")</f>
        <v>#VALUE!</v>
      </c>
      <c r="BS48" t="e">
        <f>AND('Large Nonlinear Problem'!D58,"AAAAAH/WO0Y=")</f>
        <v>#VALUE!</v>
      </c>
      <c r="BT48" t="e">
        <f>AND('Large Nonlinear Problem'!E58,"AAAAAH/WO0c=")</f>
        <v>#VALUE!</v>
      </c>
      <c r="BU48" t="e">
        <f>AND('Large Nonlinear Problem'!F58,"AAAAAH/WO0g=")</f>
        <v>#VALUE!</v>
      </c>
      <c r="BV48" t="e">
        <f>AND('Large Nonlinear Problem'!G58,"AAAAAH/WO0k=")</f>
        <v>#VALUE!</v>
      </c>
      <c r="BW48">
        <f>IF('Large Nonlinear Problem'!59:59,"AAAAAH/WO0o=",0)</f>
        <v>0</v>
      </c>
      <c r="BX48" t="e">
        <f>AND('Large Nonlinear Problem'!A59,"AAAAAH/WO0s=")</f>
        <v>#VALUE!</v>
      </c>
      <c r="BY48" t="e">
        <f>AND('Large Nonlinear Problem'!B59,"AAAAAH/WO0w=")</f>
        <v>#VALUE!</v>
      </c>
      <c r="BZ48" t="e">
        <f>AND('Large Nonlinear Problem'!C59,"AAAAAH/WO00=")</f>
        <v>#VALUE!</v>
      </c>
      <c r="CA48" t="e">
        <f>AND('Large Nonlinear Problem'!D59,"AAAAAH/WO04=")</f>
        <v>#VALUE!</v>
      </c>
      <c r="CB48" t="e">
        <f>AND('Large Nonlinear Problem'!E59,"AAAAAH/WO08=")</f>
        <v>#VALUE!</v>
      </c>
      <c r="CC48" t="e">
        <f>AND('Large Nonlinear Problem'!F59,"AAAAAH/WO1A=")</f>
        <v>#VALUE!</v>
      </c>
      <c r="CD48" t="e">
        <f>AND('Large Nonlinear Problem'!G59,"AAAAAH/WO1E=")</f>
        <v>#VALUE!</v>
      </c>
      <c r="CE48">
        <f>IF('Large Nonlinear Problem'!60:60,"AAAAAH/WO1I=",0)</f>
        <v>0</v>
      </c>
      <c r="CF48" t="e">
        <f>AND('Large Nonlinear Problem'!A60,"AAAAAH/WO1M=")</f>
        <v>#VALUE!</v>
      </c>
      <c r="CG48" t="e">
        <f>AND('Large Nonlinear Problem'!B60,"AAAAAH/WO1Q=")</f>
        <v>#VALUE!</v>
      </c>
      <c r="CH48" t="e">
        <f>AND('Large Nonlinear Problem'!C60,"AAAAAH/WO1U=")</f>
        <v>#VALUE!</v>
      </c>
      <c r="CI48" t="e">
        <f>AND('Large Nonlinear Problem'!D60,"AAAAAH/WO1Y=")</f>
        <v>#VALUE!</v>
      </c>
      <c r="CJ48" t="e">
        <f>AND('Large Nonlinear Problem'!E60,"AAAAAH/WO1c=")</f>
        <v>#VALUE!</v>
      </c>
      <c r="CK48" t="e">
        <f>AND('Large Nonlinear Problem'!F60,"AAAAAH/WO1g=")</f>
        <v>#VALUE!</v>
      </c>
      <c r="CL48" t="e">
        <f>AND('Large Nonlinear Problem'!G60,"AAAAAH/WO1k=")</f>
        <v>#VALUE!</v>
      </c>
      <c r="CM48">
        <f>IF('Large Nonlinear Problem'!61:61,"AAAAAH/WO1o=",0)</f>
        <v>0</v>
      </c>
      <c r="CN48" t="e">
        <f>AND('Large Nonlinear Problem'!A61,"AAAAAH/WO1s=")</f>
        <v>#VALUE!</v>
      </c>
      <c r="CO48" t="e">
        <f>AND('Large Nonlinear Problem'!B61,"AAAAAH/WO1w=")</f>
        <v>#VALUE!</v>
      </c>
      <c r="CP48" t="e">
        <f>AND('Large Nonlinear Problem'!C61,"AAAAAH/WO10=")</f>
        <v>#VALUE!</v>
      </c>
      <c r="CQ48" t="e">
        <f>AND('Large Nonlinear Problem'!D61,"AAAAAH/WO14=")</f>
        <v>#VALUE!</v>
      </c>
      <c r="CR48" t="e">
        <f>AND('Large Nonlinear Problem'!E61,"AAAAAH/WO18=")</f>
        <v>#VALUE!</v>
      </c>
      <c r="CS48" t="e">
        <f>AND('Large Nonlinear Problem'!F61,"AAAAAH/WO2A=")</f>
        <v>#VALUE!</v>
      </c>
      <c r="CT48" t="e">
        <f>AND('Large Nonlinear Problem'!G61,"AAAAAH/WO2E=")</f>
        <v>#VALUE!</v>
      </c>
      <c r="CU48">
        <f>IF('Large Nonlinear Problem'!62:62,"AAAAAH/WO2I=",0)</f>
        <v>0</v>
      </c>
      <c r="CV48" t="e">
        <f>AND('Large Nonlinear Problem'!A62,"AAAAAH/WO2M=")</f>
        <v>#VALUE!</v>
      </c>
      <c r="CW48" t="e">
        <f>AND('Large Nonlinear Problem'!B62,"AAAAAH/WO2Q=")</f>
        <v>#VALUE!</v>
      </c>
      <c r="CX48" t="e">
        <f>AND('Large Nonlinear Problem'!C62,"AAAAAH/WO2U=")</f>
        <v>#VALUE!</v>
      </c>
      <c r="CY48" t="e">
        <f>AND('Large Nonlinear Problem'!D62,"AAAAAH/WO2Y=")</f>
        <v>#VALUE!</v>
      </c>
      <c r="CZ48" t="e">
        <f>AND('Large Nonlinear Problem'!E62,"AAAAAH/WO2c=")</f>
        <v>#VALUE!</v>
      </c>
      <c r="DA48" t="e">
        <f>AND('Large Nonlinear Problem'!F62,"AAAAAH/WO2g=")</f>
        <v>#VALUE!</v>
      </c>
      <c r="DB48" t="e">
        <f>AND('Large Nonlinear Problem'!G62,"AAAAAH/WO2k=")</f>
        <v>#VALUE!</v>
      </c>
      <c r="DC48">
        <f>IF('Large Nonlinear Problem'!63:63,"AAAAAH/WO2o=",0)</f>
        <v>0</v>
      </c>
      <c r="DD48" t="e">
        <f>AND('Large Nonlinear Problem'!A63,"AAAAAH/WO2s=")</f>
        <v>#VALUE!</v>
      </c>
      <c r="DE48" t="e">
        <f>AND('Large Nonlinear Problem'!B63,"AAAAAH/WO2w=")</f>
        <v>#VALUE!</v>
      </c>
      <c r="DF48" t="e">
        <f>AND('Large Nonlinear Problem'!C63,"AAAAAH/WO20=")</f>
        <v>#VALUE!</v>
      </c>
      <c r="DG48" t="e">
        <f>AND('Large Nonlinear Problem'!D63,"AAAAAH/WO24=")</f>
        <v>#VALUE!</v>
      </c>
      <c r="DH48" t="e">
        <f>AND('Large Nonlinear Problem'!E63,"AAAAAH/WO28=")</f>
        <v>#VALUE!</v>
      </c>
      <c r="DI48" t="e">
        <f>AND('Large Nonlinear Problem'!F63,"AAAAAH/WO3A=")</f>
        <v>#VALUE!</v>
      </c>
      <c r="DJ48" t="e">
        <f>AND('Large Nonlinear Problem'!G63,"AAAAAH/WO3E=")</f>
        <v>#VALUE!</v>
      </c>
      <c r="DK48">
        <f>IF('Large Nonlinear Problem'!64:64,"AAAAAH/WO3I=",0)</f>
        <v>0</v>
      </c>
      <c r="DL48" t="e">
        <f>AND('Large Nonlinear Problem'!A64,"AAAAAH/WO3M=")</f>
        <v>#VALUE!</v>
      </c>
      <c r="DM48" t="e">
        <f>AND('Large Nonlinear Problem'!B64,"AAAAAH/WO3Q=")</f>
        <v>#VALUE!</v>
      </c>
      <c r="DN48" t="e">
        <f>AND('Large Nonlinear Problem'!C64,"AAAAAH/WO3U=")</f>
        <v>#VALUE!</v>
      </c>
      <c r="DO48" t="e">
        <f>AND('Large Nonlinear Problem'!D64,"AAAAAH/WO3Y=")</f>
        <v>#VALUE!</v>
      </c>
      <c r="DP48" t="e">
        <f>AND('Large Nonlinear Problem'!E64,"AAAAAH/WO3c=")</f>
        <v>#VALUE!</v>
      </c>
      <c r="DQ48" t="e">
        <f>AND('Large Nonlinear Problem'!F64,"AAAAAH/WO3g=")</f>
        <v>#VALUE!</v>
      </c>
      <c r="DR48" t="e">
        <f>AND('Large Nonlinear Problem'!G64,"AAAAAH/WO3k=")</f>
        <v>#VALUE!</v>
      </c>
      <c r="DS48">
        <f>IF('Large Nonlinear Problem'!65:65,"AAAAAH/WO3o=",0)</f>
        <v>0</v>
      </c>
      <c r="DT48" t="e">
        <f>AND('Large Nonlinear Problem'!A65,"AAAAAH/WO3s=")</f>
        <v>#VALUE!</v>
      </c>
      <c r="DU48" t="e">
        <f>AND('Large Nonlinear Problem'!B65,"AAAAAH/WO3w=")</f>
        <v>#VALUE!</v>
      </c>
      <c r="DV48" t="e">
        <f>AND('Large Nonlinear Problem'!C65,"AAAAAH/WO30=")</f>
        <v>#VALUE!</v>
      </c>
      <c r="DW48" t="e">
        <f>AND('Large Nonlinear Problem'!D65,"AAAAAH/WO34=")</f>
        <v>#VALUE!</v>
      </c>
      <c r="DX48" t="e">
        <f>AND('Large Nonlinear Problem'!E65,"AAAAAH/WO38=")</f>
        <v>#VALUE!</v>
      </c>
      <c r="DY48" t="e">
        <f>AND('Large Nonlinear Problem'!F65,"AAAAAH/WO4A=")</f>
        <v>#VALUE!</v>
      </c>
      <c r="DZ48" t="e">
        <f>AND('Large Nonlinear Problem'!G65,"AAAAAH/WO4E=")</f>
        <v>#VALUE!</v>
      </c>
      <c r="EA48">
        <f>IF('Large Nonlinear Problem'!66:66,"AAAAAH/WO4I=",0)</f>
        <v>0</v>
      </c>
      <c r="EB48" t="e">
        <f>AND('Large Nonlinear Problem'!A66,"AAAAAH/WO4M=")</f>
        <v>#VALUE!</v>
      </c>
      <c r="EC48" t="e">
        <f>AND('Large Nonlinear Problem'!B66,"AAAAAH/WO4Q=")</f>
        <v>#VALUE!</v>
      </c>
      <c r="ED48" t="e">
        <f>AND('Large Nonlinear Problem'!C66,"AAAAAH/WO4U=")</f>
        <v>#VALUE!</v>
      </c>
      <c r="EE48" t="e">
        <f>AND('Large Nonlinear Problem'!D66,"AAAAAH/WO4Y=")</f>
        <v>#VALUE!</v>
      </c>
      <c r="EF48" t="e">
        <f>AND('Large Nonlinear Problem'!E66,"AAAAAH/WO4c=")</f>
        <v>#VALUE!</v>
      </c>
      <c r="EG48" t="e">
        <f>AND('Large Nonlinear Problem'!F66,"AAAAAH/WO4g=")</f>
        <v>#VALUE!</v>
      </c>
      <c r="EH48" t="e">
        <f>AND('Large Nonlinear Problem'!G66,"AAAAAH/WO4k=")</f>
        <v>#VALUE!</v>
      </c>
      <c r="EI48">
        <f>IF('Large Nonlinear Problem'!67:67,"AAAAAH/WO4o=",0)</f>
        <v>0</v>
      </c>
      <c r="EJ48" t="e">
        <f>AND('Large Nonlinear Problem'!A67,"AAAAAH/WO4s=")</f>
        <v>#VALUE!</v>
      </c>
      <c r="EK48" t="e">
        <f>AND('Large Nonlinear Problem'!B67,"AAAAAH/WO4w=")</f>
        <v>#VALUE!</v>
      </c>
      <c r="EL48" t="e">
        <f>AND('Large Nonlinear Problem'!C67,"AAAAAH/WO40=")</f>
        <v>#VALUE!</v>
      </c>
      <c r="EM48" t="e">
        <f>AND('Large Nonlinear Problem'!D67,"AAAAAH/WO44=")</f>
        <v>#VALUE!</v>
      </c>
      <c r="EN48" t="e">
        <f>AND('Large Nonlinear Problem'!E67,"AAAAAH/WO48=")</f>
        <v>#VALUE!</v>
      </c>
      <c r="EO48" t="e">
        <f>AND('Large Nonlinear Problem'!F67,"AAAAAH/WO5A=")</f>
        <v>#VALUE!</v>
      </c>
      <c r="EP48" t="e">
        <f>AND('Large Nonlinear Problem'!G67,"AAAAAH/WO5E=")</f>
        <v>#VALUE!</v>
      </c>
      <c r="EQ48">
        <f>IF('Large Nonlinear Problem'!68:68,"AAAAAH/WO5I=",0)</f>
        <v>0</v>
      </c>
      <c r="ER48" t="e">
        <f>AND('Large Nonlinear Problem'!A68,"AAAAAH/WO5M=")</f>
        <v>#VALUE!</v>
      </c>
      <c r="ES48" t="e">
        <f>AND('Large Nonlinear Problem'!B68,"AAAAAH/WO5Q=")</f>
        <v>#VALUE!</v>
      </c>
      <c r="ET48" t="e">
        <f>AND('Large Nonlinear Problem'!C68,"AAAAAH/WO5U=")</f>
        <v>#VALUE!</v>
      </c>
      <c r="EU48" t="e">
        <f>AND('Large Nonlinear Problem'!D68,"AAAAAH/WO5Y=")</f>
        <v>#VALUE!</v>
      </c>
      <c r="EV48" t="e">
        <f>AND('Large Nonlinear Problem'!E68,"AAAAAH/WO5c=")</f>
        <v>#VALUE!</v>
      </c>
      <c r="EW48" t="e">
        <f>AND('Large Nonlinear Problem'!F68,"AAAAAH/WO5g=")</f>
        <v>#VALUE!</v>
      </c>
      <c r="EX48" t="e">
        <f>AND('Large Nonlinear Problem'!G68,"AAAAAH/WO5k=")</f>
        <v>#VALUE!</v>
      </c>
      <c r="EY48">
        <f>IF('Large Nonlinear Problem'!69:69,"AAAAAH/WO5o=",0)</f>
        <v>0</v>
      </c>
      <c r="EZ48" t="e">
        <f>AND('Large Nonlinear Problem'!A69,"AAAAAH/WO5s=")</f>
        <v>#VALUE!</v>
      </c>
      <c r="FA48" t="e">
        <f>AND('Large Nonlinear Problem'!B69,"AAAAAH/WO5w=")</f>
        <v>#VALUE!</v>
      </c>
      <c r="FB48" t="e">
        <f>AND('Large Nonlinear Problem'!C69,"AAAAAH/WO50=")</f>
        <v>#VALUE!</v>
      </c>
      <c r="FC48" t="e">
        <f>AND('Large Nonlinear Problem'!D69,"AAAAAH/WO54=")</f>
        <v>#VALUE!</v>
      </c>
      <c r="FD48" t="e">
        <f>AND('Large Nonlinear Problem'!E69,"AAAAAH/WO58=")</f>
        <v>#VALUE!</v>
      </c>
      <c r="FE48" t="e">
        <f>AND('Large Nonlinear Problem'!F69,"AAAAAH/WO6A=")</f>
        <v>#VALUE!</v>
      </c>
      <c r="FF48" t="e">
        <f>AND('Large Nonlinear Problem'!G69,"AAAAAH/WO6E=")</f>
        <v>#VALUE!</v>
      </c>
      <c r="FG48">
        <f>IF('Large Nonlinear Problem'!70:70,"AAAAAH/WO6I=",0)</f>
        <v>0</v>
      </c>
      <c r="FH48" t="e">
        <f>AND('Large Nonlinear Problem'!A70,"AAAAAH/WO6M=")</f>
        <v>#VALUE!</v>
      </c>
      <c r="FI48" t="e">
        <f>AND('Large Nonlinear Problem'!B70,"AAAAAH/WO6Q=")</f>
        <v>#VALUE!</v>
      </c>
      <c r="FJ48" t="e">
        <f>AND('Large Nonlinear Problem'!C70,"AAAAAH/WO6U=")</f>
        <v>#VALUE!</v>
      </c>
      <c r="FK48" t="e">
        <f>AND('Large Nonlinear Problem'!D70,"AAAAAH/WO6Y=")</f>
        <v>#VALUE!</v>
      </c>
      <c r="FL48" t="e">
        <f>AND('Large Nonlinear Problem'!E70,"AAAAAH/WO6c=")</f>
        <v>#VALUE!</v>
      </c>
      <c r="FM48" t="e">
        <f>AND('Large Nonlinear Problem'!F70,"AAAAAH/WO6g=")</f>
        <v>#VALUE!</v>
      </c>
      <c r="FN48" t="e">
        <f>AND('Large Nonlinear Problem'!G70,"AAAAAH/WO6k=")</f>
        <v>#VALUE!</v>
      </c>
      <c r="FO48">
        <f>IF('Large Nonlinear Problem'!71:71,"AAAAAH/WO6o=",0)</f>
        <v>0</v>
      </c>
      <c r="FP48" t="e">
        <f>AND('Large Nonlinear Problem'!A71,"AAAAAH/WO6s=")</f>
        <v>#VALUE!</v>
      </c>
      <c r="FQ48" t="e">
        <f>AND('Large Nonlinear Problem'!B71,"AAAAAH/WO6w=")</f>
        <v>#VALUE!</v>
      </c>
      <c r="FR48" t="e">
        <f>AND('Large Nonlinear Problem'!C71,"AAAAAH/WO60=")</f>
        <v>#VALUE!</v>
      </c>
      <c r="FS48" t="e">
        <f>AND('Large Nonlinear Problem'!D71,"AAAAAH/WO64=")</f>
        <v>#VALUE!</v>
      </c>
      <c r="FT48" t="e">
        <f>AND('Large Nonlinear Problem'!E71,"AAAAAH/WO68=")</f>
        <v>#VALUE!</v>
      </c>
      <c r="FU48" t="e">
        <f>AND('Large Nonlinear Problem'!F71,"AAAAAH/WO7A=")</f>
        <v>#VALUE!</v>
      </c>
      <c r="FV48" t="e">
        <f>AND('Large Nonlinear Problem'!G71,"AAAAAH/WO7E=")</f>
        <v>#VALUE!</v>
      </c>
      <c r="FW48">
        <f>IF('Large Nonlinear Problem'!72:72,"AAAAAH/WO7I=",0)</f>
        <v>0</v>
      </c>
      <c r="FX48" t="e">
        <f>AND('Large Nonlinear Problem'!A72,"AAAAAH/WO7M=")</f>
        <v>#VALUE!</v>
      </c>
      <c r="FY48" t="e">
        <f>AND('Large Nonlinear Problem'!B72,"AAAAAH/WO7Q=")</f>
        <v>#VALUE!</v>
      </c>
      <c r="FZ48" t="e">
        <f>AND('Large Nonlinear Problem'!C72,"AAAAAH/WO7U=")</f>
        <v>#VALUE!</v>
      </c>
      <c r="GA48" t="e">
        <f>AND('Large Nonlinear Problem'!D72,"AAAAAH/WO7Y=")</f>
        <v>#VALUE!</v>
      </c>
      <c r="GB48" t="e">
        <f>AND('Large Nonlinear Problem'!E72,"AAAAAH/WO7c=")</f>
        <v>#VALUE!</v>
      </c>
      <c r="GC48" t="e">
        <f>AND('Large Nonlinear Problem'!F72,"AAAAAH/WO7g=")</f>
        <v>#VALUE!</v>
      </c>
      <c r="GD48" t="e">
        <f>AND('Large Nonlinear Problem'!G72,"AAAAAH/WO7k=")</f>
        <v>#VALUE!</v>
      </c>
      <c r="GE48">
        <f>IF('Large Nonlinear Problem'!73:73,"AAAAAH/WO7o=",0)</f>
        <v>0</v>
      </c>
      <c r="GF48" t="e">
        <f>AND('Large Nonlinear Problem'!A73,"AAAAAH/WO7s=")</f>
        <v>#VALUE!</v>
      </c>
      <c r="GG48" t="e">
        <f>AND('Large Nonlinear Problem'!B73,"AAAAAH/WO7w=")</f>
        <v>#VALUE!</v>
      </c>
      <c r="GH48" t="e">
        <f>AND('Large Nonlinear Problem'!C73,"AAAAAH/WO70=")</f>
        <v>#VALUE!</v>
      </c>
      <c r="GI48" t="e">
        <f>AND('Large Nonlinear Problem'!D73,"AAAAAH/WO74=")</f>
        <v>#VALUE!</v>
      </c>
      <c r="GJ48" t="e">
        <f>AND('Large Nonlinear Problem'!E73,"AAAAAH/WO78=")</f>
        <v>#VALUE!</v>
      </c>
      <c r="GK48" t="e">
        <f>AND('Large Nonlinear Problem'!F73,"AAAAAH/WO8A=")</f>
        <v>#VALUE!</v>
      </c>
      <c r="GL48" t="e">
        <f>AND('Large Nonlinear Problem'!G73,"AAAAAH/WO8E=")</f>
        <v>#VALUE!</v>
      </c>
      <c r="GM48">
        <f>IF('Large Nonlinear Problem'!74:74,"AAAAAH/WO8I=",0)</f>
        <v>0</v>
      </c>
      <c r="GN48" t="e">
        <f>AND('Large Nonlinear Problem'!A74,"AAAAAH/WO8M=")</f>
        <v>#VALUE!</v>
      </c>
      <c r="GO48" t="e">
        <f>AND('Large Nonlinear Problem'!B74,"AAAAAH/WO8Q=")</f>
        <v>#VALUE!</v>
      </c>
      <c r="GP48" t="e">
        <f>AND('Large Nonlinear Problem'!C74,"AAAAAH/WO8U=")</f>
        <v>#VALUE!</v>
      </c>
      <c r="GQ48" t="e">
        <f>AND('Large Nonlinear Problem'!D74,"AAAAAH/WO8Y=")</f>
        <v>#VALUE!</v>
      </c>
      <c r="GR48" t="e">
        <f>AND('Large Nonlinear Problem'!E74,"AAAAAH/WO8c=")</f>
        <v>#VALUE!</v>
      </c>
      <c r="GS48" t="e">
        <f>AND('Large Nonlinear Problem'!F74,"AAAAAH/WO8g=")</f>
        <v>#VALUE!</v>
      </c>
      <c r="GT48" t="e">
        <f>AND('Large Nonlinear Problem'!G74,"AAAAAH/WO8k=")</f>
        <v>#VALUE!</v>
      </c>
      <c r="GU48">
        <f>IF('Large Nonlinear Problem'!75:75,"AAAAAH/WO8o=",0)</f>
        <v>0</v>
      </c>
      <c r="GV48" t="e">
        <f>AND('Large Nonlinear Problem'!A75,"AAAAAH/WO8s=")</f>
        <v>#VALUE!</v>
      </c>
      <c r="GW48" t="e">
        <f>AND('Large Nonlinear Problem'!B75,"AAAAAH/WO8w=")</f>
        <v>#VALUE!</v>
      </c>
      <c r="GX48" t="e">
        <f>AND('Large Nonlinear Problem'!C75,"AAAAAH/WO80=")</f>
        <v>#VALUE!</v>
      </c>
      <c r="GY48" t="e">
        <f>AND('Large Nonlinear Problem'!D75,"AAAAAH/WO84=")</f>
        <v>#VALUE!</v>
      </c>
      <c r="GZ48" t="e">
        <f>AND('Large Nonlinear Problem'!E75,"AAAAAH/WO88=")</f>
        <v>#VALUE!</v>
      </c>
      <c r="HA48" t="e">
        <f>AND('Large Nonlinear Problem'!F75,"AAAAAH/WO9A=")</f>
        <v>#VALUE!</v>
      </c>
      <c r="HB48" t="e">
        <f>AND('Large Nonlinear Problem'!G75,"AAAAAH/WO9E=")</f>
        <v>#VALUE!</v>
      </c>
      <c r="HC48">
        <f>IF('Large Nonlinear Problem'!76:76,"AAAAAH/WO9I=",0)</f>
        <v>0</v>
      </c>
      <c r="HD48" t="e">
        <f>AND('Large Nonlinear Problem'!A76,"AAAAAH/WO9M=")</f>
        <v>#VALUE!</v>
      </c>
      <c r="HE48" t="e">
        <f>AND('Large Nonlinear Problem'!B76,"AAAAAH/WO9Q=")</f>
        <v>#VALUE!</v>
      </c>
      <c r="HF48" t="e">
        <f>AND('Large Nonlinear Problem'!C76,"AAAAAH/WO9U=")</f>
        <v>#VALUE!</v>
      </c>
      <c r="HG48" t="e">
        <f>AND('Large Nonlinear Problem'!D76,"AAAAAH/WO9Y=")</f>
        <v>#VALUE!</v>
      </c>
      <c r="HH48" t="e">
        <f>AND('Large Nonlinear Problem'!E76,"AAAAAH/WO9c=")</f>
        <v>#VALUE!</v>
      </c>
      <c r="HI48" t="e">
        <f>AND('Large Nonlinear Problem'!F76,"AAAAAH/WO9g=")</f>
        <v>#VALUE!</v>
      </c>
      <c r="HJ48" t="e">
        <f>AND('Large Nonlinear Problem'!G76,"AAAAAH/WO9k=")</f>
        <v>#VALUE!</v>
      </c>
      <c r="HK48">
        <f>IF('Large Nonlinear Problem'!77:77,"AAAAAH/WO9o=",0)</f>
        <v>0</v>
      </c>
      <c r="HL48" t="e">
        <f>AND('Large Nonlinear Problem'!A77,"AAAAAH/WO9s=")</f>
        <v>#VALUE!</v>
      </c>
      <c r="HM48" t="e">
        <f>AND('Large Nonlinear Problem'!B77,"AAAAAH/WO9w=")</f>
        <v>#VALUE!</v>
      </c>
      <c r="HN48" t="e">
        <f>AND('Large Nonlinear Problem'!C77,"AAAAAH/WO90=")</f>
        <v>#VALUE!</v>
      </c>
      <c r="HO48" t="e">
        <f>AND('Large Nonlinear Problem'!D77,"AAAAAH/WO94=")</f>
        <v>#VALUE!</v>
      </c>
      <c r="HP48" t="e">
        <f>AND('Large Nonlinear Problem'!E77,"AAAAAH/WO98=")</f>
        <v>#VALUE!</v>
      </c>
      <c r="HQ48" t="e">
        <f>AND('Large Nonlinear Problem'!F77,"AAAAAH/WO+A=")</f>
        <v>#VALUE!</v>
      </c>
      <c r="HR48" t="e">
        <f>AND('Large Nonlinear Problem'!G77,"AAAAAH/WO+E=")</f>
        <v>#VALUE!</v>
      </c>
      <c r="HS48">
        <f>IF('Large Nonlinear Problem'!78:78,"AAAAAH/WO+I=",0)</f>
        <v>0</v>
      </c>
      <c r="HT48" t="e">
        <f>AND('Large Nonlinear Problem'!A78,"AAAAAH/WO+M=")</f>
        <v>#VALUE!</v>
      </c>
      <c r="HU48" t="e">
        <f>AND('Large Nonlinear Problem'!B78,"AAAAAH/WO+Q=")</f>
        <v>#VALUE!</v>
      </c>
      <c r="HV48" t="e">
        <f>AND('Large Nonlinear Problem'!C78,"AAAAAH/WO+U=")</f>
        <v>#VALUE!</v>
      </c>
      <c r="HW48" t="e">
        <f>AND('Large Nonlinear Problem'!D78,"AAAAAH/WO+Y=")</f>
        <v>#VALUE!</v>
      </c>
      <c r="HX48" t="e">
        <f>AND('Large Nonlinear Problem'!E78,"AAAAAH/WO+c=")</f>
        <v>#VALUE!</v>
      </c>
      <c r="HY48" t="e">
        <f>AND('Large Nonlinear Problem'!F78,"AAAAAH/WO+g=")</f>
        <v>#VALUE!</v>
      </c>
      <c r="HZ48" t="e">
        <f>AND('Large Nonlinear Problem'!G78,"AAAAAH/WO+k=")</f>
        <v>#VALUE!</v>
      </c>
      <c r="IA48">
        <f>IF('Large Nonlinear Problem'!79:79,"AAAAAH/WO+o=",0)</f>
        <v>0</v>
      </c>
      <c r="IB48" t="e">
        <f>AND('Large Nonlinear Problem'!A79,"AAAAAH/WO+s=")</f>
        <v>#VALUE!</v>
      </c>
      <c r="IC48" t="e">
        <f>AND('Large Nonlinear Problem'!B79,"AAAAAH/WO+w=")</f>
        <v>#VALUE!</v>
      </c>
      <c r="ID48" t="e">
        <f>AND('Large Nonlinear Problem'!C79,"AAAAAH/WO+0=")</f>
        <v>#VALUE!</v>
      </c>
      <c r="IE48" t="e">
        <f>AND('Large Nonlinear Problem'!D79,"AAAAAH/WO+4=")</f>
        <v>#VALUE!</v>
      </c>
      <c r="IF48" t="e">
        <f>AND('Large Nonlinear Problem'!E79,"AAAAAH/WO+8=")</f>
        <v>#VALUE!</v>
      </c>
      <c r="IG48" t="e">
        <f>AND('Large Nonlinear Problem'!F79,"AAAAAH/WO/A=")</f>
        <v>#VALUE!</v>
      </c>
      <c r="IH48" t="e">
        <f>AND('Large Nonlinear Problem'!G79,"AAAAAH/WO/E=")</f>
        <v>#VALUE!</v>
      </c>
      <c r="II48">
        <f>IF('Large Nonlinear Problem'!80:80,"AAAAAH/WO/I=",0)</f>
        <v>0</v>
      </c>
      <c r="IJ48" t="e">
        <f>AND('Large Nonlinear Problem'!A80,"AAAAAH/WO/M=")</f>
        <v>#VALUE!</v>
      </c>
      <c r="IK48" t="e">
        <f>AND('Large Nonlinear Problem'!B80,"AAAAAH/WO/Q=")</f>
        <v>#VALUE!</v>
      </c>
      <c r="IL48" t="e">
        <f>AND('Large Nonlinear Problem'!C80,"AAAAAH/WO/U=")</f>
        <v>#VALUE!</v>
      </c>
      <c r="IM48" t="e">
        <f>AND('Large Nonlinear Problem'!D80,"AAAAAH/WO/Y=")</f>
        <v>#VALUE!</v>
      </c>
      <c r="IN48" t="e">
        <f>AND('Large Nonlinear Problem'!E80,"AAAAAH/WO/c=")</f>
        <v>#VALUE!</v>
      </c>
      <c r="IO48" t="e">
        <f>AND('Large Nonlinear Problem'!F80,"AAAAAH/WO/g=")</f>
        <v>#VALUE!</v>
      </c>
      <c r="IP48" t="e">
        <f>AND('Large Nonlinear Problem'!G80,"AAAAAH/WO/k=")</f>
        <v>#VALUE!</v>
      </c>
      <c r="IQ48">
        <f>IF('Large Nonlinear Problem'!81:81,"AAAAAH/WO/o=",0)</f>
        <v>0</v>
      </c>
      <c r="IR48" t="e">
        <f>AND('Large Nonlinear Problem'!A81,"AAAAAH/WO/s=")</f>
        <v>#VALUE!</v>
      </c>
      <c r="IS48" t="e">
        <f>AND('Large Nonlinear Problem'!B81,"AAAAAH/WO/w=")</f>
        <v>#VALUE!</v>
      </c>
      <c r="IT48" t="e">
        <f>AND('Large Nonlinear Problem'!C81,"AAAAAH/WO/0=")</f>
        <v>#VALUE!</v>
      </c>
      <c r="IU48" t="e">
        <f>AND('Large Nonlinear Problem'!D81,"AAAAAH/WO/4=")</f>
        <v>#VALUE!</v>
      </c>
      <c r="IV48" t="e">
        <f>AND('Large Nonlinear Problem'!E81,"AAAAAH/WO/8=")</f>
        <v>#VALUE!</v>
      </c>
    </row>
    <row r="49" spans="1:256">
      <c r="A49" t="e">
        <f>AND('Large Nonlinear Problem'!F81,"AAAAAD391wA=")</f>
        <v>#VALUE!</v>
      </c>
      <c r="B49" t="e">
        <f>AND('Large Nonlinear Problem'!G81,"AAAAAD391wE=")</f>
        <v>#VALUE!</v>
      </c>
      <c r="C49">
        <f>IF('Large Nonlinear Problem'!82:82,"AAAAAD391wI=",0)</f>
        <v>0</v>
      </c>
      <c r="D49" t="e">
        <f>AND('Large Nonlinear Problem'!A82,"AAAAAD391wM=")</f>
        <v>#VALUE!</v>
      </c>
      <c r="E49" t="e">
        <f>AND('Large Nonlinear Problem'!B82,"AAAAAD391wQ=")</f>
        <v>#VALUE!</v>
      </c>
      <c r="F49" t="e">
        <f>AND('Large Nonlinear Problem'!C82,"AAAAAD391wU=")</f>
        <v>#VALUE!</v>
      </c>
      <c r="G49" t="e">
        <f>AND('Large Nonlinear Problem'!D82,"AAAAAD391wY=")</f>
        <v>#VALUE!</v>
      </c>
      <c r="H49" t="e">
        <f>AND('Large Nonlinear Problem'!E82,"AAAAAD391wc=")</f>
        <v>#VALUE!</v>
      </c>
      <c r="I49" t="e">
        <f>AND('Large Nonlinear Problem'!F82,"AAAAAD391wg=")</f>
        <v>#VALUE!</v>
      </c>
      <c r="J49" t="e">
        <f>AND('Large Nonlinear Problem'!G82,"AAAAAD391wk=")</f>
        <v>#VALUE!</v>
      </c>
      <c r="K49">
        <f>IF('Large Nonlinear Problem'!83:83,"AAAAAD391wo=",0)</f>
        <v>0</v>
      </c>
      <c r="L49" t="e">
        <f>AND('Large Nonlinear Problem'!A83,"AAAAAD391ws=")</f>
        <v>#VALUE!</v>
      </c>
      <c r="M49" t="e">
        <f>AND('Large Nonlinear Problem'!B83,"AAAAAD391ww=")</f>
        <v>#VALUE!</v>
      </c>
      <c r="N49" t="e">
        <f>AND('Large Nonlinear Problem'!C83,"AAAAAD391w0=")</f>
        <v>#VALUE!</v>
      </c>
      <c r="O49" t="e">
        <f>AND('Large Nonlinear Problem'!D83,"AAAAAD391w4=")</f>
        <v>#VALUE!</v>
      </c>
      <c r="P49" t="e">
        <f>AND('Large Nonlinear Problem'!E83,"AAAAAD391w8=")</f>
        <v>#VALUE!</v>
      </c>
      <c r="Q49" t="e">
        <f>AND('Large Nonlinear Problem'!F83,"AAAAAD391xA=")</f>
        <v>#VALUE!</v>
      </c>
      <c r="R49" t="e">
        <f>AND('Large Nonlinear Problem'!G83,"AAAAAD391xE=")</f>
        <v>#VALUE!</v>
      </c>
      <c r="S49">
        <f>IF('Large Nonlinear Problem'!84:84,"AAAAAD391xI=",0)</f>
        <v>0</v>
      </c>
      <c r="T49" t="e">
        <f>AND('Large Nonlinear Problem'!A84,"AAAAAD391xM=")</f>
        <v>#VALUE!</v>
      </c>
      <c r="U49" t="e">
        <f>AND('Large Nonlinear Problem'!B84,"AAAAAD391xQ=")</f>
        <v>#VALUE!</v>
      </c>
      <c r="V49" t="e">
        <f>AND('Large Nonlinear Problem'!C84,"AAAAAD391xU=")</f>
        <v>#VALUE!</v>
      </c>
      <c r="W49" t="e">
        <f>AND('Large Nonlinear Problem'!D84,"AAAAAD391xY=")</f>
        <v>#VALUE!</v>
      </c>
      <c r="X49" t="e">
        <f>AND('Large Nonlinear Problem'!E84,"AAAAAD391xc=")</f>
        <v>#VALUE!</v>
      </c>
      <c r="Y49" t="e">
        <f>AND('Large Nonlinear Problem'!F84,"AAAAAD391xg=")</f>
        <v>#VALUE!</v>
      </c>
      <c r="Z49" t="e">
        <f>AND('Large Nonlinear Problem'!G84,"AAAAAD391xk=")</f>
        <v>#VALUE!</v>
      </c>
      <c r="AA49">
        <f>IF('Large Nonlinear Problem'!85:85,"AAAAAD391xo=",0)</f>
        <v>0</v>
      </c>
      <c r="AB49" t="e">
        <f>AND('Large Nonlinear Problem'!A85,"AAAAAD391xs=")</f>
        <v>#VALUE!</v>
      </c>
      <c r="AC49" t="e">
        <f>AND('Large Nonlinear Problem'!B85,"AAAAAD391xw=")</f>
        <v>#VALUE!</v>
      </c>
      <c r="AD49" t="e">
        <f>AND('Large Nonlinear Problem'!C85,"AAAAAD391x0=")</f>
        <v>#VALUE!</v>
      </c>
      <c r="AE49" t="e">
        <f>AND('Large Nonlinear Problem'!D85,"AAAAAD391x4=")</f>
        <v>#VALUE!</v>
      </c>
      <c r="AF49" t="e">
        <f>AND('Large Nonlinear Problem'!E85,"AAAAAD391x8=")</f>
        <v>#VALUE!</v>
      </c>
      <c r="AG49" t="e">
        <f>AND('Large Nonlinear Problem'!F85,"AAAAAD391yA=")</f>
        <v>#VALUE!</v>
      </c>
      <c r="AH49" t="e">
        <f>AND('Large Nonlinear Problem'!G85,"AAAAAD391yE=")</f>
        <v>#VALUE!</v>
      </c>
      <c r="AI49">
        <f>IF('Large Nonlinear Problem'!86:86,"AAAAAD391yI=",0)</f>
        <v>0</v>
      </c>
      <c r="AJ49" t="e">
        <f>AND('Large Nonlinear Problem'!A86,"AAAAAD391yM=")</f>
        <v>#VALUE!</v>
      </c>
      <c r="AK49" t="e">
        <f>AND('Large Nonlinear Problem'!B86,"AAAAAD391yQ=")</f>
        <v>#VALUE!</v>
      </c>
      <c r="AL49" t="e">
        <f>AND('Large Nonlinear Problem'!C86,"AAAAAD391yU=")</f>
        <v>#VALUE!</v>
      </c>
      <c r="AM49" t="e">
        <f>AND('Large Nonlinear Problem'!D86,"AAAAAD391yY=")</f>
        <v>#VALUE!</v>
      </c>
      <c r="AN49" t="e">
        <f>AND('Large Nonlinear Problem'!E86,"AAAAAD391yc=")</f>
        <v>#VALUE!</v>
      </c>
      <c r="AO49" t="e">
        <f>AND('Large Nonlinear Problem'!F86,"AAAAAD391yg=")</f>
        <v>#VALUE!</v>
      </c>
      <c r="AP49" t="e">
        <f>AND('Large Nonlinear Problem'!G86,"AAAAAD391yk=")</f>
        <v>#VALUE!</v>
      </c>
      <c r="AQ49">
        <f>IF('Large Nonlinear Problem'!87:87,"AAAAAD391yo=",0)</f>
        <v>0</v>
      </c>
      <c r="AR49" t="e">
        <f>AND('Large Nonlinear Problem'!A87,"AAAAAD391ys=")</f>
        <v>#VALUE!</v>
      </c>
      <c r="AS49" t="e">
        <f>AND('Large Nonlinear Problem'!B87,"AAAAAD391yw=")</f>
        <v>#VALUE!</v>
      </c>
      <c r="AT49" t="e">
        <f>AND('Large Nonlinear Problem'!C87,"AAAAAD391y0=")</f>
        <v>#VALUE!</v>
      </c>
      <c r="AU49" t="e">
        <f>AND('Large Nonlinear Problem'!D87,"AAAAAD391y4=")</f>
        <v>#VALUE!</v>
      </c>
      <c r="AV49" t="e">
        <f>AND('Large Nonlinear Problem'!E87,"AAAAAD391y8=")</f>
        <v>#VALUE!</v>
      </c>
      <c r="AW49" t="e">
        <f>AND('Large Nonlinear Problem'!F87,"AAAAAD391zA=")</f>
        <v>#VALUE!</v>
      </c>
      <c r="AX49" t="e">
        <f>AND('Large Nonlinear Problem'!G87,"AAAAAD391zE=")</f>
        <v>#VALUE!</v>
      </c>
      <c r="AY49">
        <f>IF('Large Nonlinear Problem'!88:88,"AAAAAD391zI=",0)</f>
        <v>0</v>
      </c>
      <c r="AZ49" t="e">
        <f>AND('Large Nonlinear Problem'!A88,"AAAAAD391zM=")</f>
        <v>#VALUE!</v>
      </c>
      <c r="BA49" t="e">
        <f>AND('Large Nonlinear Problem'!B88,"AAAAAD391zQ=")</f>
        <v>#VALUE!</v>
      </c>
      <c r="BB49" t="e">
        <f>AND('Large Nonlinear Problem'!C88,"AAAAAD391zU=")</f>
        <v>#VALUE!</v>
      </c>
      <c r="BC49" t="e">
        <f>AND('Large Nonlinear Problem'!D88,"AAAAAD391zY=")</f>
        <v>#VALUE!</v>
      </c>
      <c r="BD49" t="e">
        <f>AND('Large Nonlinear Problem'!E88,"AAAAAD391zc=")</f>
        <v>#VALUE!</v>
      </c>
      <c r="BE49" t="e">
        <f>AND('Large Nonlinear Problem'!F88,"AAAAAD391zg=")</f>
        <v>#VALUE!</v>
      </c>
      <c r="BF49" t="e">
        <f>AND('Large Nonlinear Problem'!G88,"AAAAAD391zk=")</f>
        <v>#VALUE!</v>
      </c>
      <c r="BG49">
        <f>IF('Large Nonlinear Problem'!89:89,"AAAAAD391zo=",0)</f>
        <v>0</v>
      </c>
      <c r="BH49" t="e">
        <f>AND('Large Nonlinear Problem'!A89,"AAAAAD391zs=")</f>
        <v>#VALUE!</v>
      </c>
      <c r="BI49" t="e">
        <f>AND('Large Nonlinear Problem'!B89,"AAAAAD391zw=")</f>
        <v>#VALUE!</v>
      </c>
      <c r="BJ49" t="e">
        <f>AND('Large Nonlinear Problem'!C89,"AAAAAD391z0=")</f>
        <v>#VALUE!</v>
      </c>
      <c r="BK49" t="e">
        <f>AND('Large Nonlinear Problem'!D89,"AAAAAD391z4=")</f>
        <v>#VALUE!</v>
      </c>
      <c r="BL49" t="e">
        <f>AND('Large Nonlinear Problem'!E89,"AAAAAD391z8=")</f>
        <v>#VALUE!</v>
      </c>
      <c r="BM49" t="e">
        <f>AND('Large Nonlinear Problem'!F89,"AAAAAD3910A=")</f>
        <v>#VALUE!</v>
      </c>
      <c r="BN49" t="e">
        <f>AND('Large Nonlinear Problem'!G89,"AAAAAD3910E=")</f>
        <v>#VALUE!</v>
      </c>
      <c r="BO49">
        <f>IF('Large Nonlinear Problem'!90:90,"AAAAAD3910I=",0)</f>
        <v>0</v>
      </c>
      <c r="BP49" t="e">
        <f>AND('Large Nonlinear Problem'!A90,"AAAAAD3910M=")</f>
        <v>#VALUE!</v>
      </c>
      <c r="BQ49" t="e">
        <f>AND('Large Nonlinear Problem'!B90,"AAAAAD3910Q=")</f>
        <v>#VALUE!</v>
      </c>
      <c r="BR49" t="e">
        <f>AND('Large Nonlinear Problem'!C90,"AAAAAD3910U=")</f>
        <v>#VALUE!</v>
      </c>
      <c r="BS49" t="e">
        <f>AND('Large Nonlinear Problem'!D90,"AAAAAD3910Y=")</f>
        <v>#VALUE!</v>
      </c>
      <c r="BT49" t="e">
        <f>AND('Large Nonlinear Problem'!E90,"AAAAAD3910c=")</f>
        <v>#VALUE!</v>
      </c>
      <c r="BU49" t="e">
        <f>AND('Large Nonlinear Problem'!F90,"AAAAAD3910g=")</f>
        <v>#VALUE!</v>
      </c>
      <c r="BV49" t="e">
        <f>AND('Large Nonlinear Problem'!G90,"AAAAAD3910k=")</f>
        <v>#VALUE!</v>
      </c>
      <c r="BW49">
        <f>IF('Large Nonlinear Problem'!91:91,"AAAAAD3910o=",0)</f>
        <v>0</v>
      </c>
      <c r="BX49" t="e">
        <f>AND('Large Nonlinear Problem'!A91,"AAAAAD3910s=")</f>
        <v>#VALUE!</v>
      </c>
      <c r="BY49" t="e">
        <f>AND('Large Nonlinear Problem'!B91,"AAAAAD3910w=")</f>
        <v>#VALUE!</v>
      </c>
      <c r="BZ49" t="e">
        <f>AND('Large Nonlinear Problem'!C91,"AAAAAD39100=")</f>
        <v>#VALUE!</v>
      </c>
      <c r="CA49" t="e">
        <f>AND('Large Nonlinear Problem'!D91,"AAAAAD39104=")</f>
        <v>#VALUE!</v>
      </c>
      <c r="CB49" t="e">
        <f>AND('Large Nonlinear Problem'!E91,"AAAAAD39108=")</f>
        <v>#VALUE!</v>
      </c>
      <c r="CC49" t="e">
        <f>AND('Large Nonlinear Problem'!F91,"AAAAAD3911A=")</f>
        <v>#VALUE!</v>
      </c>
      <c r="CD49" t="e">
        <f>AND('Large Nonlinear Problem'!G91,"AAAAAD3911E=")</f>
        <v>#VALUE!</v>
      </c>
      <c r="CE49">
        <f>IF('Large Nonlinear Problem'!92:92,"AAAAAD3911I=",0)</f>
        <v>0</v>
      </c>
      <c r="CF49" t="e">
        <f>AND('Large Nonlinear Problem'!A92,"AAAAAD3911M=")</f>
        <v>#VALUE!</v>
      </c>
      <c r="CG49" t="e">
        <f>AND('Large Nonlinear Problem'!B92,"AAAAAD3911Q=")</f>
        <v>#VALUE!</v>
      </c>
      <c r="CH49" t="e">
        <f>AND('Large Nonlinear Problem'!C92,"AAAAAD3911U=")</f>
        <v>#VALUE!</v>
      </c>
      <c r="CI49" t="e">
        <f>AND('Large Nonlinear Problem'!D92,"AAAAAD3911Y=")</f>
        <v>#VALUE!</v>
      </c>
      <c r="CJ49" t="e">
        <f>AND('Large Nonlinear Problem'!E92,"AAAAAD3911c=")</f>
        <v>#VALUE!</v>
      </c>
      <c r="CK49" t="e">
        <f>AND('Large Nonlinear Problem'!F92,"AAAAAD3911g=")</f>
        <v>#VALUE!</v>
      </c>
      <c r="CL49" t="e">
        <f>AND('Large Nonlinear Problem'!G92,"AAAAAD3911k=")</f>
        <v>#VALUE!</v>
      </c>
      <c r="CM49">
        <f>IF('Large Nonlinear Problem'!93:93,"AAAAAD3911o=",0)</f>
        <v>0</v>
      </c>
      <c r="CN49" t="e">
        <f>AND('Large Nonlinear Problem'!A93,"AAAAAD3911s=")</f>
        <v>#VALUE!</v>
      </c>
      <c r="CO49" t="e">
        <f>AND('Large Nonlinear Problem'!B93,"AAAAAD3911w=")</f>
        <v>#VALUE!</v>
      </c>
      <c r="CP49" t="e">
        <f>AND('Large Nonlinear Problem'!C93,"AAAAAD39110=")</f>
        <v>#VALUE!</v>
      </c>
      <c r="CQ49" t="e">
        <f>AND('Large Nonlinear Problem'!D93,"AAAAAD39114=")</f>
        <v>#VALUE!</v>
      </c>
      <c r="CR49" t="e">
        <f>AND('Large Nonlinear Problem'!E93,"AAAAAD39118=")</f>
        <v>#VALUE!</v>
      </c>
      <c r="CS49" t="e">
        <f>AND('Large Nonlinear Problem'!F93,"AAAAAD3912A=")</f>
        <v>#VALUE!</v>
      </c>
      <c r="CT49" t="e">
        <f>AND('Large Nonlinear Problem'!G93,"AAAAAD3912E=")</f>
        <v>#VALUE!</v>
      </c>
      <c r="CU49">
        <f>IF('Large Nonlinear Problem'!94:94,"AAAAAD3912I=",0)</f>
        <v>0</v>
      </c>
      <c r="CV49" t="e">
        <f>AND('Large Nonlinear Problem'!A94,"AAAAAD3912M=")</f>
        <v>#VALUE!</v>
      </c>
      <c r="CW49" t="e">
        <f>AND('Large Nonlinear Problem'!B94,"AAAAAD3912Q=")</f>
        <v>#VALUE!</v>
      </c>
      <c r="CX49" t="e">
        <f>AND('Large Nonlinear Problem'!C94,"AAAAAD3912U=")</f>
        <v>#VALUE!</v>
      </c>
      <c r="CY49" t="e">
        <f>AND('Large Nonlinear Problem'!D94,"AAAAAD3912Y=")</f>
        <v>#VALUE!</v>
      </c>
      <c r="CZ49" t="e">
        <f>AND('Large Nonlinear Problem'!E94,"AAAAAD3912c=")</f>
        <v>#VALUE!</v>
      </c>
      <c r="DA49" t="e">
        <f>AND('Large Nonlinear Problem'!F94,"AAAAAD3912g=")</f>
        <v>#VALUE!</v>
      </c>
      <c r="DB49" t="e">
        <f>AND('Large Nonlinear Problem'!G94,"AAAAAD3912k=")</f>
        <v>#VALUE!</v>
      </c>
      <c r="DC49">
        <f>IF('Large Nonlinear Problem'!95:95,"AAAAAD3912o=",0)</f>
        <v>0</v>
      </c>
      <c r="DD49" t="e">
        <f>AND('Large Nonlinear Problem'!A95,"AAAAAD3912s=")</f>
        <v>#VALUE!</v>
      </c>
      <c r="DE49" t="e">
        <f>AND('Large Nonlinear Problem'!B95,"AAAAAD3912w=")</f>
        <v>#VALUE!</v>
      </c>
      <c r="DF49" t="e">
        <f>AND('Large Nonlinear Problem'!C95,"AAAAAD39120=")</f>
        <v>#VALUE!</v>
      </c>
      <c r="DG49" t="e">
        <f>AND('Large Nonlinear Problem'!D95,"AAAAAD39124=")</f>
        <v>#VALUE!</v>
      </c>
      <c r="DH49" t="e">
        <f>AND('Large Nonlinear Problem'!E95,"AAAAAD39128=")</f>
        <v>#VALUE!</v>
      </c>
      <c r="DI49" t="e">
        <f>AND('Large Nonlinear Problem'!F95,"AAAAAD3913A=")</f>
        <v>#VALUE!</v>
      </c>
      <c r="DJ49" t="e">
        <f>AND('Large Nonlinear Problem'!G95,"AAAAAD3913E=")</f>
        <v>#VALUE!</v>
      </c>
      <c r="DK49">
        <f>IF('Large Nonlinear Problem'!96:96,"AAAAAD3913I=",0)</f>
        <v>0</v>
      </c>
      <c r="DL49" t="e">
        <f>AND('Large Nonlinear Problem'!A96,"AAAAAD3913M=")</f>
        <v>#VALUE!</v>
      </c>
      <c r="DM49" t="e">
        <f>AND('Large Nonlinear Problem'!B96,"AAAAAD3913Q=")</f>
        <v>#VALUE!</v>
      </c>
      <c r="DN49" t="e">
        <f>AND('Large Nonlinear Problem'!C96,"AAAAAD3913U=")</f>
        <v>#VALUE!</v>
      </c>
      <c r="DO49" t="e">
        <f>AND('Large Nonlinear Problem'!D96,"AAAAAD3913Y=")</f>
        <v>#VALUE!</v>
      </c>
      <c r="DP49" t="e">
        <f>AND('Large Nonlinear Problem'!E96,"AAAAAD3913c=")</f>
        <v>#VALUE!</v>
      </c>
      <c r="DQ49" t="e">
        <f>AND('Large Nonlinear Problem'!F96,"AAAAAD3913g=")</f>
        <v>#VALUE!</v>
      </c>
      <c r="DR49" t="e">
        <f>AND('Large Nonlinear Problem'!G96,"AAAAAD3913k=")</f>
        <v>#VALUE!</v>
      </c>
      <c r="DS49">
        <f>IF('Large Nonlinear Problem'!97:97,"AAAAAD3913o=",0)</f>
        <v>0</v>
      </c>
      <c r="DT49" t="e">
        <f>AND('Large Nonlinear Problem'!A97,"AAAAAD3913s=")</f>
        <v>#VALUE!</v>
      </c>
      <c r="DU49" t="e">
        <f>AND('Large Nonlinear Problem'!B97,"AAAAAD3913w=")</f>
        <v>#VALUE!</v>
      </c>
      <c r="DV49" t="e">
        <f>AND('Large Nonlinear Problem'!C97,"AAAAAD39130=")</f>
        <v>#VALUE!</v>
      </c>
      <c r="DW49" t="e">
        <f>AND('Large Nonlinear Problem'!D97,"AAAAAD39134=")</f>
        <v>#VALUE!</v>
      </c>
      <c r="DX49" t="e">
        <f>AND('Large Nonlinear Problem'!E97,"AAAAAD39138=")</f>
        <v>#VALUE!</v>
      </c>
      <c r="DY49" t="e">
        <f>AND('Large Nonlinear Problem'!F97,"AAAAAD3914A=")</f>
        <v>#VALUE!</v>
      </c>
      <c r="DZ49" t="e">
        <f>AND('Large Nonlinear Problem'!G97,"AAAAAD3914E=")</f>
        <v>#VALUE!</v>
      </c>
      <c r="EA49">
        <f>IF('Large Nonlinear Problem'!98:98,"AAAAAD3914I=",0)</f>
        <v>0</v>
      </c>
      <c r="EB49" t="e">
        <f>AND('Large Nonlinear Problem'!A98,"AAAAAD3914M=")</f>
        <v>#VALUE!</v>
      </c>
      <c r="EC49" t="e">
        <f>AND('Large Nonlinear Problem'!B98,"AAAAAD3914Q=")</f>
        <v>#VALUE!</v>
      </c>
      <c r="ED49" t="e">
        <f>AND('Large Nonlinear Problem'!C98,"AAAAAD3914U=")</f>
        <v>#VALUE!</v>
      </c>
      <c r="EE49" t="e">
        <f>AND('Large Nonlinear Problem'!D98,"AAAAAD3914Y=")</f>
        <v>#VALUE!</v>
      </c>
      <c r="EF49" t="e">
        <f>AND('Large Nonlinear Problem'!E98,"AAAAAD3914c=")</f>
        <v>#VALUE!</v>
      </c>
      <c r="EG49" t="e">
        <f>AND('Large Nonlinear Problem'!F98,"AAAAAD3914g=")</f>
        <v>#VALUE!</v>
      </c>
      <c r="EH49" t="e">
        <f>AND('Large Nonlinear Problem'!G98,"AAAAAD3914k=")</f>
        <v>#VALUE!</v>
      </c>
      <c r="EI49">
        <f>IF('Large Nonlinear Problem'!99:99,"AAAAAD3914o=",0)</f>
        <v>0</v>
      </c>
      <c r="EJ49" t="e">
        <f>AND('Large Nonlinear Problem'!A99,"AAAAAD3914s=")</f>
        <v>#VALUE!</v>
      </c>
      <c r="EK49" t="e">
        <f>AND('Large Nonlinear Problem'!B99,"AAAAAD3914w=")</f>
        <v>#VALUE!</v>
      </c>
      <c r="EL49" t="e">
        <f>AND('Large Nonlinear Problem'!C99,"AAAAAD39140=")</f>
        <v>#VALUE!</v>
      </c>
      <c r="EM49" t="e">
        <f>AND('Large Nonlinear Problem'!D99,"AAAAAD39144=")</f>
        <v>#VALUE!</v>
      </c>
      <c r="EN49" t="e">
        <f>AND('Large Nonlinear Problem'!E99,"AAAAAD39148=")</f>
        <v>#VALUE!</v>
      </c>
      <c r="EO49" t="e">
        <f>AND('Large Nonlinear Problem'!F99,"AAAAAD3915A=")</f>
        <v>#VALUE!</v>
      </c>
      <c r="EP49" t="e">
        <f>AND('Large Nonlinear Problem'!G99,"AAAAAD3915E=")</f>
        <v>#VALUE!</v>
      </c>
      <c r="EQ49">
        <f>IF('Large Nonlinear Problem'!100:100,"AAAAAD3915I=",0)</f>
        <v>0</v>
      </c>
      <c r="ER49" t="e">
        <f>AND('Large Nonlinear Problem'!A100,"AAAAAD3915M=")</f>
        <v>#VALUE!</v>
      </c>
      <c r="ES49" t="e">
        <f>AND('Large Nonlinear Problem'!B100,"AAAAAD3915Q=")</f>
        <v>#VALUE!</v>
      </c>
      <c r="ET49" t="e">
        <f>AND('Large Nonlinear Problem'!C100,"AAAAAD3915U=")</f>
        <v>#VALUE!</v>
      </c>
      <c r="EU49" t="e">
        <f>AND('Large Nonlinear Problem'!D100,"AAAAAD3915Y=")</f>
        <v>#VALUE!</v>
      </c>
      <c r="EV49" t="e">
        <f>AND('Large Nonlinear Problem'!E100,"AAAAAD3915c=")</f>
        <v>#VALUE!</v>
      </c>
      <c r="EW49" t="e">
        <f>AND('Large Nonlinear Problem'!F100,"AAAAAD3915g=")</f>
        <v>#VALUE!</v>
      </c>
      <c r="EX49" t="e">
        <f>AND('Large Nonlinear Problem'!G100,"AAAAAD3915k=")</f>
        <v>#VALUE!</v>
      </c>
      <c r="EY49">
        <f>IF('Large Nonlinear Problem'!101:101,"AAAAAD3915o=",0)</f>
        <v>0</v>
      </c>
      <c r="EZ49" t="e">
        <f>AND('Large Nonlinear Problem'!A101,"AAAAAD3915s=")</f>
        <v>#VALUE!</v>
      </c>
      <c r="FA49" t="e">
        <f>AND('Large Nonlinear Problem'!B101,"AAAAAD3915w=")</f>
        <v>#VALUE!</v>
      </c>
      <c r="FB49" t="e">
        <f>AND('Large Nonlinear Problem'!C101,"AAAAAD39150=")</f>
        <v>#VALUE!</v>
      </c>
      <c r="FC49" t="e">
        <f>AND('Large Nonlinear Problem'!D101,"AAAAAD39154=")</f>
        <v>#VALUE!</v>
      </c>
      <c r="FD49" t="e">
        <f>AND('Large Nonlinear Problem'!E101,"AAAAAD39158=")</f>
        <v>#VALUE!</v>
      </c>
      <c r="FE49" t="e">
        <f>AND('Large Nonlinear Problem'!F101,"AAAAAD3916A=")</f>
        <v>#VALUE!</v>
      </c>
      <c r="FF49" t="e">
        <f>AND('Large Nonlinear Problem'!G101,"AAAAAD3916E=")</f>
        <v>#VALUE!</v>
      </c>
      <c r="FG49">
        <f>IF('Large Nonlinear Problem'!102:102,"AAAAAD3916I=",0)</f>
        <v>0</v>
      </c>
      <c r="FH49" t="e">
        <f>AND('Large Nonlinear Problem'!A102,"AAAAAD3916M=")</f>
        <v>#VALUE!</v>
      </c>
      <c r="FI49" t="e">
        <f>AND('Large Nonlinear Problem'!B102,"AAAAAD3916Q=")</f>
        <v>#VALUE!</v>
      </c>
      <c r="FJ49" t="e">
        <f>AND('Large Nonlinear Problem'!C102,"AAAAAD3916U=")</f>
        <v>#VALUE!</v>
      </c>
      <c r="FK49" t="e">
        <f>AND('Large Nonlinear Problem'!D102,"AAAAAD3916Y=")</f>
        <v>#VALUE!</v>
      </c>
      <c r="FL49" t="e">
        <f>AND('Large Nonlinear Problem'!E102,"AAAAAD3916c=")</f>
        <v>#VALUE!</v>
      </c>
      <c r="FM49" t="e">
        <f>AND('Large Nonlinear Problem'!F102,"AAAAAD3916g=")</f>
        <v>#VALUE!</v>
      </c>
      <c r="FN49" t="e">
        <f>AND('Large Nonlinear Problem'!G102,"AAAAAD3916k=")</f>
        <v>#VALUE!</v>
      </c>
      <c r="FO49">
        <f>IF('Large Nonlinear Problem'!103:103,"AAAAAD3916o=",0)</f>
        <v>0</v>
      </c>
      <c r="FP49" t="e">
        <f>AND('Large Nonlinear Problem'!A103,"AAAAAD3916s=")</f>
        <v>#VALUE!</v>
      </c>
      <c r="FQ49" t="e">
        <f>AND('Large Nonlinear Problem'!B103,"AAAAAD3916w=")</f>
        <v>#VALUE!</v>
      </c>
      <c r="FR49" t="e">
        <f>AND('Large Nonlinear Problem'!C103,"AAAAAD39160=")</f>
        <v>#VALUE!</v>
      </c>
      <c r="FS49" t="e">
        <f>AND('Large Nonlinear Problem'!D103,"AAAAAD39164=")</f>
        <v>#VALUE!</v>
      </c>
      <c r="FT49" t="e">
        <f>AND('Large Nonlinear Problem'!E103,"AAAAAD39168=")</f>
        <v>#VALUE!</v>
      </c>
      <c r="FU49" t="e">
        <f>AND('Large Nonlinear Problem'!F103,"AAAAAD3917A=")</f>
        <v>#VALUE!</v>
      </c>
      <c r="FV49" t="e">
        <f>AND('Large Nonlinear Problem'!G103,"AAAAAD3917E=")</f>
        <v>#VALUE!</v>
      </c>
      <c r="FW49">
        <f>IF('Large Nonlinear Problem'!104:104,"AAAAAD3917I=",0)</f>
        <v>0</v>
      </c>
      <c r="FX49" t="e">
        <f>AND('Large Nonlinear Problem'!A104,"AAAAAD3917M=")</f>
        <v>#VALUE!</v>
      </c>
      <c r="FY49" t="e">
        <f>AND('Large Nonlinear Problem'!B104,"AAAAAD3917Q=")</f>
        <v>#VALUE!</v>
      </c>
      <c r="FZ49" t="e">
        <f>AND('Large Nonlinear Problem'!C104,"AAAAAD3917U=")</f>
        <v>#VALUE!</v>
      </c>
      <c r="GA49" t="e">
        <f>AND('Large Nonlinear Problem'!D104,"AAAAAD3917Y=")</f>
        <v>#VALUE!</v>
      </c>
      <c r="GB49" t="e">
        <f>AND('Large Nonlinear Problem'!E104,"AAAAAD3917c=")</f>
        <v>#VALUE!</v>
      </c>
      <c r="GC49" t="e">
        <f>AND('Large Nonlinear Problem'!F104,"AAAAAD3917g=")</f>
        <v>#VALUE!</v>
      </c>
      <c r="GD49" t="e">
        <f>AND('Large Nonlinear Problem'!G104,"AAAAAD3917k=")</f>
        <v>#VALUE!</v>
      </c>
      <c r="GE49">
        <f>IF('Large Nonlinear Problem'!105:105,"AAAAAD3917o=",0)</f>
        <v>0</v>
      </c>
      <c r="GF49" t="e">
        <f>AND('Large Nonlinear Problem'!A105,"AAAAAD3917s=")</f>
        <v>#VALUE!</v>
      </c>
      <c r="GG49" t="e">
        <f>AND('Large Nonlinear Problem'!B105,"AAAAAD3917w=")</f>
        <v>#VALUE!</v>
      </c>
      <c r="GH49" t="e">
        <f>AND('Large Nonlinear Problem'!C105,"AAAAAD39170=")</f>
        <v>#VALUE!</v>
      </c>
      <c r="GI49" t="e">
        <f>AND('Large Nonlinear Problem'!D105,"AAAAAD39174=")</f>
        <v>#VALUE!</v>
      </c>
      <c r="GJ49" t="e">
        <f>AND('Large Nonlinear Problem'!E105,"AAAAAD39178=")</f>
        <v>#VALUE!</v>
      </c>
      <c r="GK49" t="e">
        <f>AND('Large Nonlinear Problem'!F105,"AAAAAD3918A=")</f>
        <v>#VALUE!</v>
      </c>
      <c r="GL49" t="e">
        <f>AND('Large Nonlinear Problem'!G105,"AAAAAD3918E=")</f>
        <v>#VALUE!</v>
      </c>
      <c r="GM49">
        <f>IF('Large Nonlinear Problem'!106:106,"AAAAAD3918I=",0)</f>
        <v>0</v>
      </c>
      <c r="GN49" t="e">
        <f>AND('Large Nonlinear Problem'!A106,"AAAAAD3918M=")</f>
        <v>#VALUE!</v>
      </c>
      <c r="GO49" t="e">
        <f>AND('Large Nonlinear Problem'!B106,"AAAAAD3918Q=")</f>
        <v>#VALUE!</v>
      </c>
      <c r="GP49" t="e">
        <f>AND('Large Nonlinear Problem'!C106,"AAAAAD3918U=")</f>
        <v>#VALUE!</v>
      </c>
      <c r="GQ49" t="e">
        <f>AND('Large Nonlinear Problem'!D106,"AAAAAD3918Y=")</f>
        <v>#VALUE!</v>
      </c>
      <c r="GR49" t="e">
        <f>AND('Large Nonlinear Problem'!E106,"AAAAAD3918c=")</f>
        <v>#VALUE!</v>
      </c>
      <c r="GS49" t="e">
        <f>AND('Large Nonlinear Problem'!F106,"AAAAAD3918g=")</f>
        <v>#VALUE!</v>
      </c>
      <c r="GT49" t="e">
        <f>AND('Large Nonlinear Problem'!G106,"AAAAAD3918k=")</f>
        <v>#VALUE!</v>
      </c>
      <c r="GU49">
        <f>IF('Large Nonlinear Problem'!107:107,"AAAAAD3918o=",0)</f>
        <v>0</v>
      </c>
      <c r="GV49" t="e">
        <f>AND('Large Nonlinear Problem'!A107,"AAAAAD3918s=")</f>
        <v>#VALUE!</v>
      </c>
      <c r="GW49" t="e">
        <f>AND('Large Nonlinear Problem'!B107,"AAAAAD3918w=")</f>
        <v>#VALUE!</v>
      </c>
      <c r="GX49" t="e">
        <f>AND('Large Nonlinear Problem'!C107,"AAAAAD39180=")</f>
        <v>#VALUE!</v>
      </c>
      <c r="GY49" t="e">
        <f>AND('Large Nonlinear Problem'!D107,"AAAAAD39184=")</f>
        <v>#VALUE!</v>
      </c>
      <c r="GZ49" t="e">
        <f>AND('Large Nonlinear Problem'!E107,"AAAAAD39188=")</f>
        <v>#VALUE!</v>
      </c>
      <c r="HA49" t="e">
        <f>AND('Large Nonlinear Problem'!F107,"AAAAAD3919A=")</f>
        <v>#VALUE!</v>
      </c>
      <c r="HB49" t="e">
        <f>AND('Large Nonlinear Problem'!G107,"AAAAAD3919E=")</f>
        <v>#VALUE!</v>
      </c>
      <c r="HC49">
        <f>IF('Large Nonlinear Problem'!108:108,"AAAAAD3919I=",0)</f>
        <v>0</v>
      </c>
      <c r="HD49" t="e">
        <f>AND('Large Nonlinear Problem'!A108,"AAAAAD3919M=")</f>
        <v>#VALUE!</v>
      </c>
      <c r="HE49" t="e">
        <f>AND('Large Nonlinear Problem'!B108,"AAAAAD3919Q=")</f>
        <v>#VALUE!</v>
      </c>
      <c r="HF49" t="e">
        <f>AND('Large Nonlinear Problem'!C108,"AAAAAD3919U=")</f>
        <v>#VALUE!</v>
      </c>
      <c r="HG49" t="e">
        <f>AND('Large Nonlinear Problem'!D108,"AAAAAD3919Y=")</f>
        <v>#VALUE!</v>
      </c>
      <c r="HH49" t="e">
        <f>AND('Large Nonlinear Problem'!E108,"AAAAAD3919c=")</f>
        <v>#VALUE!</v>
      </c>
      <c r="HI49" t="e">
        <f>AND('Large Nonlinear Problem'!F108,"AAAAAD3919g=")</f>
        <v>#VALUE!</v>
      </c>
      <c r="HJ49" t="e">
        <f>AND('Large Nonlinear Problem'!G108,"AAAAAD3919k=")</f>
        <v>#VALUE!</v>
      </c>
      <c r="HK49">
        <f>IF('Large Nonlinear Problem'!109:109,"AAAAAD3919o=",0)</f>
        <v>0</v>
      </c>
      <c r="HL49" t="e">
        <f>AND('Large Nonlinear Problem'!A109,"AAAAAD3919s=")</f>
        <v>#VALUE!</v>
      </c>
      <c r="HM49" t="e">
        <f>AND('Large Nonlinear Problem'!B109,"AAAAAD3919w=")</f>
        <v>#VALUE!</v>
      </c>
      <c r="HN49" t="e">
        <f>AND('Large Nonlinear Problem'!C109,"AAAAAD39190=")</f>
        <v>#VALUE!</v>
      </c>
      <c r="HO49" t="e">
        <f>AND('Large Nonlinear Problem'!D109,"AAAAAD39194=")</f>
        <v>#VALUE!</v>
      </c>
      <c r="HP49" t="e">
        <f>AND('Large Nonlinear Problem'!E109,"AAAAAD39198=")</f>
        <v>#VALUE!</v>
      </c>
      <c r="HQ49" t="e">
        <f>AND('Large Nonlinear Problem'!F109,"AAAAAD391+A=")</f>
        <v>#VALUE!</v>
      </c>
      <c r="HR49" t="e">
        <f>AND('Large Nonlinear Problem'!G109,"AAAAAD391+E=")</f>
        <v>#VALUE!</v>
      </c>
      <c r="HS49">
        <f>IF('Large Nonlinear Problem'!110:110,"AAAAAD391+I=",0)</f>
        <v>0</v>
      </c>
      <c r="HT49" t="e">
        <f>AND('Large Nonlinear Problem'!A110,"AAAAAD391+M=")</f>
        <v>#VALUE!</v>
      </c>
      <c r="HU49" t="e">
        <f>AND('Large Nonlinear Problem'!B110,"AAAAAD391+Q=")</f>
        <v>#VALUE!</v>
      </c>
      <c r="HV49" t="e">
        <f>AND('Large Nonlinear Problem'!C110,"AAAAAD391+U=")</f>
        <v>#VALUE!</v>
      </c>
      <c r="HW49" t="e">
        <f>AND('Large Nonlinear Problem'!D110,"AAAAAD391+Y=")</f>
        <v>#VALUE!</v>
      </c>
      <c r="HX49" t="e">
        <f>AND('Large Nonlinear Problem'!E110,"AAAAAD391+c=")</f>
        <v>#VALUE!</v>
      </c>
      <c r="HY49" t="e">
        <f>AND('Large Nonlinear Problem'!F110,"AAAAAD391+g=")</f>
        <v>#VALUE!</v>
      </c>
      <c r="HZ49" t="e">
        <f>AND('Large Nonlinear Problem'!G110,"AAAAAD391+k=")</f>
        <v>#VALUE!</v>
      </c>
      <c r="IA49">
        <f>IF('Large Nonlinear Problem'!111:111,"AAAAAD391+o=",0)</f>
        <v>0</v>
      </c>
      <c r="IB49" t="e">
        <f>AND('Large Nonlinear Problem'!A111,"AAAAAD391+s=")</f>
        <v>#VALUE!</v>
      </c>
      <c r="IC49" t="e">
        <f>AND('Large Nonlinear Problem'!B111,"AAAAAD391+w=")</f>
        <v>#VALUE!</v>
      </c>
      <c r="ID49" t="e">
        <f>AND('Large Nonlinear Problem'!C111,"AAAAAD391+0=")</f>
        <v>#VALUE!</v>
      </c>
      <c r="IE49" t="e">
        <f>AND('Large Nonlinear Problem'!D111,"AAAAAD391+4=")</f>
        <v>#VALUE!</v>
      </c>
      <c r="IF49" t="e">
        <f>AND('Large Nonlinear Problem'!E111,"AAAAAD391+8=")</f>
        <v>#VALUE!</v>
      </c>
      <c r="IG49" t="e">
        <f>AND('Large Nonlinear Problem'!F111,"AAAAAD391/A=")</f>
        <v>#VALUE!</v>
      </c>
      <c r="IH49" t="e">
        <f>AND('Large Nonlinear Problem'!G111,"AAAAAD391/E=")</f>
        <v>#VALUE!</v>
      </c>
      <c r="II49">
        <f>IF('Large Nonlinear Problem'!112:112,"AAAAAD391/I=",0)</f>
        <v>0</v>
      </c>
      <c r="IJ49" t="e">
        <f>AND('Large Nonlinear Problem'!A112,"AAAAAD391/M=")</f>
        <v>#VALUE!</v>
      </c>
      <c r="IK49" t="e">
        <f>AND('Large Nonlinear Problem'!B112,"AAAAAD391/Q=")</f>
        <v>#VALUE!</v>
      </c>
      <c r="IL49" t="e">
        <f>AND('Large Nonlinear Problem'!C112,"AAAAAD391/U=")</f>
        <v>#VALUE!</v>
      </c>
      <c r="IM49" t="e">
        <f>AND('Large Nonlinear Problem'!D112,"AAAAAD391/Y=")</f>
        <v>#VALUE!</v>
      </c>
      <c r="IN49" t="e">
        <f>AND('Large Nonlinear Problem'!E112,"AAAAAD391/c=")</f>
        <v>#VALUE!</v>
      </c>
      <c r="IO49" t="e">
        <f>AND('Large Nonlinear Problem'!F112,"AAAAAD391/g=")</f>
        <v>#VALUE!</v>
      </c>
      <c r="IP49" t="e">
        <f>AND('Large Nonlinear Problem'!G112,"AAAAAD391/k=")</f>
        <v>#VALUE!</v>
      </c>
      <c r="IQ49">
        <f>IF('Large Nonlinear Problem'!113:113,"AAAAAD391/o=",0)</f>
        <v>0</v>
      </c>
      <c r="IR49" t="e">
        <f>AND('Large Nonlinear Problem'!A113,"AAAAAD391/s=")</f>
        <v>#VALUE!</v>
      </c>
      <c r="IS49" t="e">
        <f>AND('Large Nonlinear Problem'!B113,"AAAAAD391/w=")</f>
        <v>#VALUE!</v>
      </c>
      <c r="IT49" t="e">
        <f>AND('Large Nonlinear Problem'!C113,"AAAAAD391/0=")</f>
        <v>#VALUE!</v>
      </c>
      <c r="IU49" t="e">
        <f>AND('Large Nonlinear Problem'!D113,"AAAAAD391/4=")</f>
        <v>#VALUE!</v>
      </c>
      <c r="IV49" t="e">
        <f>AND('Large Nonlinear Problem'!E113,"AAAAAD391/8=")</f>
        <v>#VALUE!</v>
      </c>
    </row>
    <row r="50" spans="1:256">
      <c r="A50" t="e">
        <f>AND('Large Nonlinear Problem'!F113,"AAAAAH/3ewA=")</f>
        <v>#VALUE!</v>
      </c>
      <c r="B50" t="e">
        <f>AND('Large Nonlinear Problem'!G113,"AAAAAH/3ewE=")</f>
        <v>#VALUE!</v>
      </c>
      <c r="C50">
        <f>IF('Large Nonlinear Problem'!114:114,"AAAAAH/3ewI=",0)</f>
        <v>0</v>
      </c>
      <c r="D50" t="e">
        <f>AND('Large Nonlinear Problem'!A114,"AAAAAH/3ewM=")</f>
        <v>#VALUE!</v>
      </c>
      <c r="E50" t="e">
        <f>AND('Large Nonlinear Problem'!B114,"AAAAAH/3ewQ=")</f>
        <v>#VALUE!</v>
      </c>
      <c r="F50" t="e">
        <f>AND('Large Nonlinear Problem'!C114,"AAAAAH/3ewU=")</f>
        <v>#VALUE!</v>
      </c>
      <c r="G50" t="e">
        <f>AND('Large Nonlinear Problem'!D114,"AAAAAH/3ewY=")</f>
        <v>#VALUE!</v>
      </c>
      <c r="H50" t="e">
        <f>AND('Large Nonlinear Problem'!E114,"AAAAAH/3ewc=")</f>
        <v>#VALUE!</v>
      </c>
      <c r="I50" t="e">
        <f>AND('Large Nonlinear Problem'!F114,"AAAAAH/3ewg=")</f>
        <v>#VALUE!</v>
      </c>
      <c r="J50" t="e">
        <f>AND('Large Nonlinear Problem'!G114,"AAAAAH/3ewk=")</f>
        <v>#VALUE!</v>
      </c>
      <c r="K50">
        <f>IF('Large Nonlinear Problem'!115:115,"AAAAAH/3ewo=",0)</f>
        <v>0</v>
      </c>
      <c r="L50" t="e">
        <f>AND('Large Nonlinear Problem'!A115,"AAAAAH/3ews=")</f>
        <v>#VALUE!</v>
      </c>
      <c r="M50" t="e">
        <f>AND('Large Nonlinear Problem'!B115,"AAAAAH/3eww=")</f>
        <v>#VALUE!</v>
      </c>
      <c r="N50" t="e">
        <f>AND('Large Nonlinear Problem'!C115,"AAAAAH/3ew0=")</f>
        <v>#VALUE!</v>
      </c>
      <c r="O50" t="e">
        <f>AND('Large Nonlinear Problem'!D115,"AAAAAH/3ew4=")</f>
        <v>#VALUE!</v>
      </c>
      <c r="P50" t="e">
        <f>AND('Large Nonlinear Problem'!E115,"AAAAAH/3ew8=")</f>
        <v>#VALUE!</v>
      </c>
      <c r="Q50" t="e">
        <f>AND('Large Nonlinear Problem'!F115,"AAAAAH/3exA=")</f>
        <v>#VALUE!</v>
      </c>
      <c r="R50" t="e">
        <f>AND('Large Nonlinear Problem'!G115,"AAAAAH/3exE=")</f>
        <v>#VALUE!</v>
      </c>
      <c r="S50">
        <f>IF('Large Nonlinear Problem'!116:116,"AAAAAH/3exI=",0)</f>
        <v>0</v>
      </c>
      <c r="T50" t="e">
        <f>AND('Large Nonlinear Problem'!A116,"AAAAAH/3exM=")</f>
        <v>#VALUE!</v>
      </c>
      <c r="U50" t="e">
        <f>AND('Large Nonlinear Problem'!B116,"AAAAAH/3exQ=")</f>
        <v>#VALUE!</v>
      </c>
      <c r="V50" t="e">
        <f>AND('Large Nonlinear Problem'!C116,"AAAAAH/3exU=")</f>
        <v>#VALUE!</v>
      </c>
      <c r="W50" t="e">
        <f>AND('Large Nonlinear Problem'!D116,"AAAAAH/3exY=")</f>
        <v>#VALUE!</v>
      </c>
      <c r="X50" t="e">
        <f>AND('Large Nonlinear Problem'!E116,"AAAAAH/3exc=")</f>
        <v>#VALUE!</v>
      </c>
      <c r="Y50" t="e">
        <f>AND('Large Nonlinear Problem'!F116,"AAAAAH/3exg=")</f>
        <v>#VALUE!</v>
      </c>
      <c r="Z50" t="e">
        <f>AND('Large Nonlinear Problem'!G116,"AAAAAH/3exk=")</f>
        <v>#VALUE!</v>
      </c>
      <c r="AA50">
        <f>IF('Large Nonlinear Problem'!117:117,"AAAAAH/3exo=",0)</f>
        <v>0</v>
      </c>
      <c r="AB50" t="e">
        <f>AND('Large Nonlinear Problem'!A117,"AAAAAH/3exs=")</f>
        <v>#VALUE!</v>
      </c>
      <c r="AC50" t="e">
        <f>AND('Large Nonlinear Problem'!B117,"AAAAAH/3exw=")</f>
        <v>#VALUE!</v>
      </c>
      <c r="AD50" t="e">
        <f>AND('Large Nonlinear Problem'!C117,"AAAAAH/3ex0=")</f>
        <v>#VALUE!</v>
      </c>
      <c r="AE50" t="e">
        <f>AND('Large Nonlinear Problem'!D117,"AAAAAH/3ex4=")</f>
        <v>#VALUE!</v>
      </c>
      <c r="AF50" t="e">
        <f>AND('Large Nonlinear Problem'!E117,"AAAAAH/3ex8=")</f>
        <v>#VALUE!</v>
      </c>
      <c r="AG50" t="e">
        <f>AND('Large Nonlinear Problem'!F117,"AAAAAH/3eyA=")</f>
        <v>#VALUE!</v>
      </c>
      <c r="AH50" t="e">
        <f>AND('Large Nonlinear Problem'!G117,"AAAAAH/3eyE=")</f>
        <v>#VALUE!</v>
      </c>
      <c r="AI50">
        <f>IF('Large Nonlinear Problem'!118:118,"AAAAAH/3eyI=",0)</f>
        <v>0</v>
      </c>
      <c r="AJ50" t="e">
        <f>AND('Large Nonlinear Problem'!A118,"AAAAAH/3eyM=")</f>
        <v>#VALUE!</v>
      </c>
      <c r="AK50" t="e">
        <f>AND('Large Nonlinear Problem'!B118,"AAAAAH/3eyQ=")</f>
        <v>#VALUE!</v>
      </c>
      <c r="AL50" t="e">
        <f>AND('Large Nonlinear Problem'!C118,"AAAAAH/3eyU=")</f>
        <v>#VALUE!</v>
      </c>
      <c r="AM50" t="e">
        <f>AND('Large Nonlinear Problem'!D118,"AAAAAH/3eyY=")</f>
        <v>#VALUE!</v>
      </c>
      <c r="AN50" t="e">
        <f>AND('Large Nonlinear Problem'!E118,"AAAAAH/3eyc=")</f>
        <v>#VALUE!</v>
      </c>
      <c r="AO50" t="e">
        <f>AND('Large Nonlinear Problem'!F118,"AAAAAH/3eyg=")</f>
        <v>#VALUE!</v>
      </c>
      <c r="AP50" t="e">
        <f>AND('Large Nonlinear Problem'!G118,"AAAAAH/3eyk=")</f>
        <v>#VALUE!</v>
      </c>
      <c r="AQ50">
        <f>IF('Large Nonlinear Problem'!119:119,"AAAAAH/3eyo=",0)</f>
        <v>0</v>
      </c>
      <c r="AR50" t="e">
        <f>AND('Large Nonlinear Problem'!A119,"AAAAAH/3eys=")</f>
        <v>#VALUE!</v>
      </c>
      <c r="AS50" t="e">
        <f>AND('Large Nonlinear Problem'!B119,"AAAAAH/3eyw=")</f>
        <v>#VALUE!</v>
      </c>
      <c r="AT50" t="e">
        <f>AND('Large Nonlinear Problem'!C119,"AAAAAH/3ey0=")</f>
        <v>#VALUE!</v>
      </c>
      <c r="AU50" t="e">
        <f>AND('Large Nonlinear Problem'!D119,"AAAAAH/3ey4=")</f>
        <v>#VALUE!</v>
      </c>
      <c r="AV50" t="e">
        <f>AND('Large Nonlinear Problem'!E119,"AAAAAH/3ey8=")</f>
        <v>#VALUE!</v>
      </c>
      <c r="AW50" t="e">
        <f>AND('Large Nonlinear Problem'!F119,"AAAAAH/3ezA=")</f>
        <v>#VALUE!</v>
      </c>
      <c r="AX50" t="e">
        <f>AND('Large Nonlinear Problem'!G119,"AAAAAH/3ezE=")</f>
        <v>#VALUE!</v>
      </c>
      <c r="AY50">
        <f>IF('Large Nonlinear Problem'!120:120,"AAAAAH/3ezI=",0)</f>
        <v>0</v>
      </c>
      <c r="AZ50" t="e">
        <f>AND('Large Nonlinear Problem'!A120,"AAAAAH/3ezM=")</f>
        <v>#VALUE!</v>
      </c>
      <c r="BA50" t="e">
        <f>AND('Large Nonlinear Problem'!B120,"AAAAAH/3ezQ=")</f>
        <v>#VALUE!</v>
      </c>
      <c r="BB50" t="e">
        <f>AND('Large Nonlinear Problem'!C120,"AAAAAH/3ezU=")</f>
        <v>#VALUE!</v>
      </c>
      <c r="BC50" t="e">
        <f>AND('Large Nonlinear Problem'!D120,"AAAAAH/3ezY=")</f>
        <v>#VALUE!</v>
      </c>
      <c r="BD50" t="e">
        <f>AND('Large Nonlinear Problem'!E120,"AAAAAH/3ezc=")</f>
        <v>#VALUE!</v>
      </c>
      <c r="BE50" t="e">
        <f>AND('Large Nonlinear Problem'!F120,"AAAAAH/3ezg=")</f>
        <v>#VALUE!</v>
      </c>
      <c r="BF50" t="e">
        <f>AND('Large Nonlinear Problem'!G120,"AAAAAH/3ezk=")</f>
        <v>#VALUE!</v>
      </c>
      <c r="BG50">
        <f>IF('Large Nonlinear Problem'!121:121,"AAAAAH/3ezo=",0)</f>
        <v>0</v>
      </c>
      <c r="BH50" t="e">
        <f>AND('Large Nonlinear Problem'!A121,"AAAAAH/3ezs=")</f>
        <v>#VALUE!</v>
      </c>
      <c r="BI50" t="e">
        <f>AND('Large Nonlinear Problem'!B121,"AAAAAH/3ezw=")</f>
        <v>#VALUE!</v>
      </c>
      <c r="BJ50" t="e">
        <f>AND('Large Nonlinear Problem'!C121,"AAAAAH/3ez0=")</f>
        <v>#VALUE!</v>
      </c>
      <c r="BK50" t="e">
        <f>AND('Large Nonlinear Problem'!D121,"AAAAAH/3ez4=")</f>
        <v>#VALUE!</v>
      </c>
      <c r="BL50" t="e">
        <f>AND('Large Nonlinear Problem'!E121,"AAAAAH/3ez8=")</f>
        <v>#VALUE!</v>
      </c>
      <c r="BM50" t="e">
        <f>AND('Large Nonlinear Problem'!F121,"AAAAAH/3e0A=")</f>
        <v>#VALUE!</v>
      </c>
      <c r="BN50" t="e">
        <f>AND('Large Nonlinear Problem'!G121,"AAAAAH/3e0E=")</f>
        <v>#VALUE!</v>
      </c>
      <c r="BO50">
        <f>IF('Large Nonlinear Problem'!122:122,"AAAAAH/3e0I=",0)</f>
        <v>0</v>
      </c>
      <c r="BP50" t="e">
        <f>AND('Large Nonlinear Problem'!A122,"AAAAAH/3e0M=")</f>
        <v>#VALUE!</v>
      </c>
      <c r="BQ50" t="e">
        <f>AND('Large Nonlinear Problem'!B122,"AAAAAH/3e0Q=")</f>
        <v>#VALUE!</v>
      </c>
      <c r="BR50" t="e">
        <f>AND('Large Nonlinear Problem'!C122,"AAAAAH/3e0U=")</f>
        <v>#VALUE!</v>
      </c>
      <c r="BS50" t="e">
        <f>AND('Large Nonlinear Problem'!D122,"AAAAAH/3e0Y=")</f>
        <v>#VALUE!</v>
      </c>
      <c r="BT50" t="e">
        <f>AND('Large Nonlinear Problem'!E122,"AAAAAH/3e0c=")</f>
        <v>#VALUE!</v>
      </c>
      <c r="BU50" t="e">
        <f>AND('Large Nonlinear Problem'!F122,"AAAAAH/3e0g=")</f>
        <v>#VALUE!</v>
      </c>
      <c r="BV50" t="e">
        <f>AND('Large Nonlinear Problem'!G122,"AAAAAH/3e0k=")</f>
        <v>#VALUE!</v>
      </c>
      <c r="BW50">
        <f>IF('Large Nonlinear Problem'!123:123,"AAAAAH/3e0o=",0)</f>
        <v>0</v>
      </c>
      <c r="BX50" t="e">
        <f>AND('Large Nonlinear Problem'!A123,"AAAAAH/3e0s=")</f>
        <v>#VALUE!</v>
      </c>
      <c r="BY50" t="e">
        <f>AND('Large Nonlinear Problem'!B123,"AAAAAH/3e0w=")</f>
        <v>#VALUE!</v>
      </c>
      <c r="BZ50" t="e">
        <f>AND('Large Nonlinear Problem'!C123,"AAAAAH/3e00=")</f>
        <v>#VALUE!</v>
      </c>
      <c r="CA50" t="e">
        <f>AND('Large Nonlinear Problem'!D123,"AAAAAH/3e04=")</f>
        <v>#VALUE!</v>
      </c>
      <c r="CB50" t="e">
        <f>AND('Large Nonlinear Problem'!E123,"AAAAAH/3e08=")</f>
        <v>#VALUE!</v>
      </c>
      <c r="CC50" t="e">
        <f>AND('Large Nonlinear Problem'!F123,"AAAAAH/3e1A=")</f>
        <v>#VALUE!</v>
      </c>
      <c r="CD50" t="e">
        <f>AND('Large Nonlinear Problem'!G123,"AAAAAH/3e1E=")</f>
        <v>#VALUE!</v>
      </c>
      <c r="CE50">
        <f>IF('Large Nonlinear Problem'!124:124,"AAAAAH/3e1I=",0)</f>
        <v>0</v>
      </c>
      <c r="CF50" t="e">
        <f>AND('Large Nonlinear Problem'!A124,"AAAAAH/3e1M=")</f>
        <v>#VALUE!</v>
      </c>
      <c r="CG50" t="e">
        <f>AND('Large Nonlinear Problem'!B124,"AAAAAH/3e1Q=")</f>
        <v>#VALUE!</v>
      </c>
      <c r="CH50" t="e">
        <f>AND('Large Nonlinear Problem'!C124,"AAAAAH/3e1U=")</f>
        <v>#VALUE!</v>
      </c>
      <c r="CI50" t="e">
        <f>AND('Large Nonlinear Problem'!D124,"AAAAAH/3e1Y=")</f>
        <v>#VALUE!</v>
      </c>
      <c r="CJ50" t="e">
        <f>AND('Large Nonlinear Problem'!E124,"AAAAAH/3e1c=")</f>
        <v>#VALUE!</v>
      </c>
      <c r="CK50" t="e">
        <f>AND('Large Nonlinear Problem'!F124,"AAAAAH/3e1g=")</f>
        <v>#VALUE!</v>
      </c>
      <c r="CL50" t="e">
        <f>AND('Large Nonlinear Problem'!G124,"AAAAAH/3e1k=")</f>
        <v>#VALUE!</v>
      </c>
      <c r="CM50">
        <f>IF('Large Nonlinear Problem'!125:125,"AAAAAH/3e1o=",0)</f>
        <v>0</v>
      </c>
      <c r="CN50" t="e">
        <f>AND('Large Nonlinear Problem'!A125,"AAAAAH/3e1s=")</f>
        <v>#VALUE!</v>
      </c>
      <c r="CO50" t="e">
        <f>AND('Large Nonlinear Problem'!B125,"AAAAAH/3e1w=")</f>
        <v>#VALUE!</v>
      </c>
      <c r="CP50" t="e">
        <f>AND('Large Nonlinear Problem'!C125,"AAAAAH/3e10=")</f>
        <v>#VALUE!</v>
      </c>
      <c r="CQ50" t="e">
        <f>AND('Large Nonlinear Problem'!D125,"AAAAAH/3e14=")</f>
        <v>#VALUE!</v>
      </c>
      <c r="CR50" t="e">
        <f>AND('Large Nonlinear Problem'!E125,"AAAAAH/3e18=")</f>
        <v>#VALUE!</v>
      </c>
      <c r="CS50" t="e">
        <f>AND('Large Nonlinear Problem'!F125,"AAAAAH/3e2A=")</f>
        <v>#VALUE!</v>
      </c>
      <c r="CT50" t="e">
        <f>AND('Large Nonlinear Problem'!G125,"AAAAAH/3e2E=")</f>
        <v>#VALUE!</v>
      </c>
      <c r="CU50">
        <f>IF('Large Nonlinear Problem'!126:126,"AAAAAH/3e2I=",0)</f>
        <v>0</v>
      </c>
      <c r="CV50" t="e">
        <f>AND('Large Nonlinear Problem'!A126,"AAAAAH/3e2M=")</f>
        <v>#VALUE!</v>
      </c>
      <c r="CW50" t="e">
        <f>AND('Large Nonlinear Problem'!B126,"AAAAAH/3e2Q=")</f>
        <v>#VALUE!</v>
      </c>
      <c r="CX50" t="e">
        <f>AND('Large Nonlinear Problem'!C126,"AAAAAH/3e2U=")</f>
        <v>#VALUE!</v>
      </c>
      <c r="CY50" t="e">
        <f>AND('Large Nonlinear Problem'!D126,"AAAAAH/3e2Y=")</f>
        <v>#VALUE!</v>
      </c>
      <c r="CZ50" t="e">
        <f>AND('Large Nonlinear Problem'!E126,"AAAAAH/3e2c=")</f>
        <v>#VALUE!</v>
      </c>
      <c r="DA50" t="e">
        <f>AND('Large Nonlinear Problem'!F126,"AAAAAH/3e2g=")</f>
        <v>#VALUE!</v>
      </c>
      <c r="DB50" t="e">
        <f>AND('Large Nonlinear Problem'!G126,"AAAAAH/3e2k=")</f>
        <v>#VALUE!</v>
      </c>
      <c r="DC50">
        <f>IF('Large Nonlinear Problem'!127:127,"AAAAAH/3e2o=",0)</f>
        <v>0</v>
      </c>
      <c r="DD50" t="e">
        <f>AND('Large Nonlinear Problem'!A127,"AAAAAH/3e2s=")</f>
        <v>#VALUE!</v>
      </c>
      <c r="DE50" t="e">
        <f>AND('Large Nonlinear Problem'!B127,"AAAAAH/3e2w=")</f>
        <v>#VALUE!</v>
      </c>
      <c r="DF50" t="e">
        <f>AND('Large Nonlinear Problem'!C127,"AAAAAH/3e20=")</f>
        <v>#VALUE!</v>
      </c>
      <c r="DG50" t="e">
        <f>AND('Large Nonlinear Problem'!D127,"AAAAAH/3e24=")</f>
        <v>#VALUE!</v>
      </c>
      <c r="DH50" t="e">
        <f>AND('Large Nonlinear Problem'!E127,"AAAAAH/3e28=")</f>
        <v>#VALUE!</v>
      </c>
      <c r="DI50" t="e">
        <f>AND('Large Nonlinear Problem'!F127,"AAAAAH/3e3A=")</f>
        <v>#VALUE!</v>
      </c>
      <c r="DJ50" t="e">
        <f>AND('Large Nonlinear Problem'!G127,"AAAAAH/3e3E=")</f>
        <v>#VALUE!</v>
      </c>
      <c r="DK50">
        <f>IF('Large Nonlinear Problem'!128:128,"AAAAAH/3e3I=",0)</f>
        <v>0</v>
      </c>
      <c r="DL50" t="e">
        <f>AND('Large Nonlinear Problem'!A128,"AAAAAH/3e3M=")</f>
        <v>#VALUE!</v>
      </c>
      <c r="DM50" t="e">
        <f>AND('Large Nonlinear Problem'!B128,"AAAAAH/3e3Q=")</f>
        <v>#VALUE!</v>
      </c>
      <c r="DN50" t="e">
        <f>AND('Large Nonlinear Problem'!C128,"AAAAAH/3e3U=")</f>
        <v>#VALUE!</v>
      </c>
      <c r="DO50" t="e">
        <f>AND('Large Nonlinear Problem'!D128,"AAAAAH/3e3Y=")</f>
        <v>#VALUE!</v>
      </c>
      <c r="DP50" t="e">
        <f>AND('Large Nonlinear Problem'!E128,"AAAAAH/3e3c=")</f>
        <v>#VALUE!</v>
      </c>
      <c r="DQ50" t="e">
        <f>AND('Large Nonlinear Problem'!F128,"AAAAAH/3e3g=")</f>
        <v>#VALUE!</v>
      </c>
      <c r="DR50" t="e">
        <f>AND('Large Nonlinear Problem'!G128,"AAAAAH/3e3k=")</f>
        <v>#VALUE!</v>
      </c>
      <c r="DS50">
        <f>IF('Large Nonlinear Problem'!129:129,"AAAAAH/3e3o=",0)</f>
        <v>0</v>
      </c>
      <c r="DT50" t="e">
        <f>AND('Large Nonlinear Problem'!A129,"AAAAAH/3e3s=")</f>
        <v>#VALUE!</v>
      </c>
      <c r="DU50" t="e">
        <f>AND('Large Nonlinear Problem'!B129,"AAAAAH/3e3w=")</f>
        <v>#VALUE!</v>
      </c>
      <c r="DV50" t="e">
        <f>AND('Large Nonlinear Problem'!C129,"AAAAAH/3e30=")</f>
        <v>#VALUE!</v>
      </c>
      <c r="DW50" t="e">
        <f>AND('Large Nonlinear Problem'!D129,"AAAAAH/3e34=")</f>
        <v>#VALUE!</v>
      </c>
      <c r="DX50" t="e">
        <f>AND('Large Nonlinear Problem'!E129,"AAAAAH/3e38=")</f>
        <v>#VALUE!</v>
      </c>
      <c r="DY50" t="e">
        <f>AND('Large Nonlinear Problem'!F129,"AAAAAH/3e4A=")</f>
        <v>#VALUE!</v>
      </c>
      <c r="DZ50" t="e">
        <f>AND('Large Nonlinear Problem'!G129,"AAAAAH/3e4E=")</f>
        <v>#VALUE!</v>
      </c>
      <c r="EA50">
        <f>IF('Large Nonlinear Problem'!130:130,"AAAAAH/3e4I=",0)</f>
        <v>0</v>
      </c>
      <c r="EB50" t="e">
        <f>AND('Large Nonlinear Problem'!A130,"AAAAAH/3e4M=")</f>
        <v>#VALUE!</v>
      </c>
      <c r="EC50" t="e">
        <f>AND('Large Nonlinear Problem'!B130,"AAAAAH/3e4Q=")</f>
        <v>#VALUE!</v>
      </c>
      <c r="ED50" t="e">
        <f>AND('Large Nonlinear Problem'!C130,"AAAAAH/3e4U=")</f>
        <v>#VALUE!</v>
      </c>
      <c r="EE50" t="e">
        <f>AND('Large Nonlinear Problem'!D130,"AAAAAH/3e4Y=")</f>
        <v>#VALUE!</v>
      </c>
      <c r="EF50" t="e">
        <f>AND('Large Nonlinear Problem'!E130,"AAAAAH/3e4c=")</f>
        <v>#VALUE!</v>
      </c>
      <c r="EG50" t="e">
        <f>AND('Large Nonlinear Problem'!F130,"AAAAAH/3e4g=")</f>
        <v>#VALUE!</v>
      </c>
      <c r="EH50" t="e">
        <f>AND('Large Nonlinear Problem'!G130,"AAAAAH/3e4k=")</f>
        <v>#VALUE!</v>
      </c>
      <c r="EI50">
        <f>IF('Large Nonlinear Problem'!131:131,"AAAAAH/3e4o=",0)</f>
        <v>0</v>
      </c>
      <c r="EJ50" t="e">
        <f>AND('Large Nonlinear Problem'!A131,"AAAAAH/3e4s=")</f>
        <v>#VALUE!</v>
      </c>
      <c r="EK50" t="e">
        <f>AND('Large Nonlinear Problem'!B131,"AAAAAH/3e4w=")</f>
        <v>#VALUE!</v>
      </c>
      <c r="EL50" t="e">
        <f>AND('Large Nonlinear Problem'!C131,"AAAAAH/3e40=")</f>
        <v>#VALUE!</v>
      </c>
      <c r="EM50" t="e">
        <f>AND('Large Nonlinear Problem'!D131,"AAAAAH/3e44=")</f>
        <v>#VALUE!</v>
      </c>
      <c r="EN50" t="e">
        <f>AND('Large Nonlinear Problem'!E131,"AAAAAH/3e48=")</f>
        <v>#VALUE!</v>
      </c>
      <c r="EO50" t="e">
        <f>AND('Large Nonlinear Problem'!F131,"AAAAAH/3e5A=")</f>
        <v>#VALUE!</v>
      </c>
      <c r="EP50" t="e">
        <f>AND('Large Nonlinear Problem'!G131,"AAAAAH/3e5E=")</f>
        <v>#VALUE!</v>
      </c>
      <c r="EQ50">
        <f>IF('Large Nonlinear Problem'!132:132,"AAAAAH/3e5I=",0)</f>
        <v>0</v>
      </c>
      <c r="ER50" t="e">
        <f>AND('Large Nonlinear Problem'!A132,"AAAAAH/3e5M=")</f>
        <v>#VALUE!</v>
      </c>
      <c r="ES50" t="e">
        <f>AND('Large Nonlinear Problem'!B132,"AAAAAH/3e5Q=")</f>
        <v>#VALUE!</v>
      </c>
      <c r="ET50" t="e">
        <f>AND('Large Nonlinear Problem'!C132,"AAAAAH/3e5U=")</f>
        <v>#VALUE!</v>
      </c>
      <c r="EU50" t="e">
        <f>AND('Large Nonlinear Problem'!D132,"AAAAAH/3e5Y=")</f>
        <v>#VALUE!</v>
      </c>
      <c r="EV50" t="e">
        <f>AND('Large Nonlinear Problem'!E132,"AAAAAH/3e5c=")</f>
        <v>#VALUE!</v>
      </c>
      <c r="EW50" t="e">
        <f>AND('Large Nonlinear Problem'!F132,"AAAAAH/3e5g=")</f>
        <v>#VALUE!</v>
      </c>
      <c r="EX50" t="e">
        <f>AND('Large Nonlinear Problem'!G132,"AAAAAH/3e5k=")</f>
        <v>#VALUE!</v>
      </c>
      <c r="EY50">
        <f>IF('Large Nonlinear Problem'!133:133,"AAAAAH/3e5o=",0)</f>
        <v>0</v>
      </c>
      <c r="EZ50" t="e">
        <f>AND('Large Nonlinear Problem'!A133,"AAAAAH/3e5s=")</f>
        <v>#VALUE!</v>
      </c>
      <c r="FA50" t="e">
        <f>AND('Large Nonlinear Problem'!B133,"AAAAAH/3e5w=")</f>
        <v>#VALUE!</v>
      </c>
      <c r="FB50" t="e">
        <f>AND('Large Nonlinear Problem'!C133,"AAAAAH/3e50=")</f>
        <v>#VALUE!</v>
      </c>
      <c r="FC50" t="e">
        <f>AND('Large Nonlinear Problem'!D133,"AAAAAH/3e54=")</f>
        <v>#VALUE!</v>
      </c>
      <c r="FD50" t="e">
        <f>AND('Large Nonlinear Problem'!E133,"AAAAAH/3e58=")</f>
        <v>#VALUE!</v>
      </c>
      <c r="FE50" t="e">
        <f>AND('Large Nonlinear Problem'!F133,"AAAAAH/3e6A=")</f>
        <v>#VALUE!</v>
      </c>
      <c r="FF50" t="e">
        <f>AND('Large Nonlinear Problem'!G133,"AAAAAH/3e6E=")</f>
        <v>#VALUE!</v>
      </c>
      <c r="FG50">
        <f>IF('Large Nonlinear Problem'!134:134,"AAAAAH/3e6I=",0)</f>
        <v>0</v>
      </c>
      <c r="FH50" t="e">
        <f>AND('Large Nonlinear Problem'!A134,"AAAAAH/3e6M=")</f>
        <v>#VALUE!</v>
      </c>
      <c r="FI50" t="e">
        <f>AND('Large Nonlinear Problem'!B134,"AAAAAH/3e6Q=")</f>
        <v>#VALUE!</v>
      </c>
      <c r="FJ50" t="e">
        <f>AND('Large Nonlinear Problem'!C134,"AAAAAH/3e6U=")</f>
        <v>#VALUE!</v>
      </c>
      <c r="FK50" t="e">
        <f>AND('Large Nonlinear Problem'!D134,"AAAAAH/3e6Y=")</f>
        <v>#VALUE!</v>
      </c>
      <c r="FL50" t="e">
        <f>AND('Large Nonlinear Problem'!E134,"AAAAAH/3e6c=")</f>
        <v>#VALUE!</v>
      </c>
      <c r="FM50" t="e">
        <f>AND('Large Nonlinear Problem'!F134,"AAAAAH/3e6g=")</f>
        <v>#VALUE!</v>
      </c>
      <c r="FN50" t="e">
        <f>AND('Large Nonlinear Problem'!G134,"AAAAAH/3e6k=")</f>
        <v>#VALUE!</v>
      </c>
      <c r="FO50">
        <f>IF('Large Nonlinear Problem'!135:135,"AAAAAH/3e6o=",0)</f>
        <v>0</v>
      </c>
      <c r="FP50" t="e">
        <f>AND('Large Nonlinear Problem'!A135,"AAAAAH/3e6s=")</f>
        <v>#VALUE!</v>
      </c>
      <c r="FQ50" t="e">
        <f>AND('Large Nonlinear Problem'!B135,"AAAAAH/3e6w=")</f>
        <v>#VALUE!</v>
      </c>
      <c r="FR50" t="e">
        <f>AND('Large Nonlinear Problem'!C135,"AAAAAH/3e60=")</f>
        <v>#VALUE!</v>
      </c>
      <c r="FS50" t="e">
        <f>AND('Large Nonlinear Problem'!D135,"AAAAAH/3e64=")</f>
        <v>#VALUE!</v>
      </c>
      <c r="FT50" t="e">
        <f>AND('Large Nonlinear Problem'!E135,"AAAAAH/3e68=")</f>
        <v>#VALUE!</v>
      </c>
      <c r="FU50" t="e">
        <f>AND('Large Nonlinear Problem'!F135,"AAAAAH/3e7A=")</f>
        <v>#VALUE!</v>
      </c>
      <c r="FV50" t="e">
        <f>AND('Large Nonlinear Problem'!G135,"AAAAAH/3e7E=")</f>
        <v>#VALUE!</v>
      </c>
      <c r="FW50">
        <f>IF('Large Nonlinear Problem'!136:136,"AAAAAH/3e7I=",0)</f>
        <v>0</v>
      </c>
      <c r="FX50" t="e">
        <f>AND('Large Nonlinear Problem'!A136,"AAAAAH/3e7M=")</f>
        <v>#VALUE!</v>
      </c>
      <c r="FY50" t="e">
        <f>AND('Large Nonlinear Problem'!B136,"AAAAAH/3e7Q=")</f>
        <v>#VALUE!</v>
      </c>
      <c r="FZ50" t="e">
        <f>AND('Large Nonlinear Problem'!C136,"AAAAAH/3e7U=")</f>
        <v>#VALUE!</v>
      </c>
      <c r="GA50" t="e">
        <f>AND('Large Nonlinear Problem'!D136,"AAAAAH/3e7Y=")</f>
        <v>#VALUE!</v>
      </c>
      <c r="GB50" t="e">
        <f>AND('Large Nonlinear Problem'!E136,"AAAAAH/3e7c=")</f>
        <v>#VALUE!</v>
      </c>
      <c r="GC50" t="e">
        <f>AND('Large Nonlinear Problem'!F136,"AAAAAH/3e7g=")</f>
        <v>#VALUE!</v>
      </c>
      <c r="GD50" t="e">
        <f>AND('Large Nonlinear Problem'!G136,"AAAAAH/3e7k=")</f>
        <v>#VALUE!</v>
      </c>
      <c r="GE50">
        <f>IF('Large Nonlinear Problem'!137:137,"AAAAAH/3e7o=",0)</f>
        <v>0</v>
      </c>
      <c r="GF50" t="e">
        <f>AND('Large Nonlinear Problem'!A137,"AAAAAH/3e7s=")</f>
        <v>#VALUE!</v>
      </c>
      <c r="GG50" t="e">
        <f>AND('Large Nonlinear Problem'!B137,"AAAAAH/3e7w=")</f>
        <v>#VALUE!</v>
      </c>
      <c r="GH50" t="e">
        <f>AND('Large Nonlinear Problem'!C137,"AAAAAH/3e70=")</f>
        <v>#VALUE!</v>
      </c>
      <c r="GI50" t="e">
        <f>AND('Large Nonlinear Problem'!D137,"AAAAAH/3e74=")</f>
        <v>#VALUE!</v>
      </c>
      <c r="GJ50" t="e">
        <f>AND('Large Nonlinear Problem'!E137,"AAAAAH/3e78=")</f>
        <v>#VALUE!</v>
      </c>
      <c r="GK50" t="e">
        <f>AND('Large Nonlinear Problem'!F137,"AAAAAH/3e8A=")</f>
        <v>#VALUE!</v>
      </c>
      <c r="GL50" t="e">
        <f>AND('Large Nonlinear Problem'!G137,"AAAAAH/3e8E=")</f>
        <v>#VALUE!</v>
      </c>
      <c r="GM50">
        <f>IF('Large Nonlinear Problem'!138:138,"AAAAAH/3e8I=",0)</f>
        <v>0</v>
      </c>
      <c r="GN50" t="e">
        <f>AND('Large Nonlinear Problem'!A138,"AAAAAH/3e8M=")</f>
        <v>#VALUE!</v>
      </c>
      <c r="GO50" t="e">
        <f>AND('Large Nonlinear Problem'!B138,"AAAAAH/3e8Q=")</f>
        <v>#VALUE!</v>
      </c>
      <c r="GP50" t="e">
        <f>AND('Large Nonlinear Problem'!C138,"AAAAAH/3e8U=")</f>
        <v>#VALUE!</v>
      </c>
      <c r="GQ50" t="e">
        <f>AND('Large Nonlinear Problem'!D138,"AAAAAH/3e8Y=")</f>
        <v>#VALUE!</v>
      </c>
      <c r="GR50" t="e">
        <f>AND('Large Nonlinear Problem'!E138,"AAAAAH/3e8c=")</f>
        <v>#VALUE!</v>
      </c>
      <c r="GS50" t="e">
        <f>AND('Large Nonlinear Problem'!F138,"AAAAAH/3e8g=")</f>
        <v>#VALUE!</v>
      </c>
      <c r="GT50" t="e">
        <f>AND('Large Nonlinear Problem'!G138,"AAAAAH/3e8k=")</f>
        <v>#VALUE!</v>
      </c>
      <c r="GU50">
        <f>IF('Large Nonlinear Problem'!139:139,"AAAAAH/3e8o=",0)</f>
        <v>0</v>
      </c>
      <c r="GV50" t="e">
        <f>AND('Large Nonlinear Problem'!A139,"AAAAAH/3e8s=")</f>
        <v>#VALUE!</v>
      </c>
      <c r="GW50" t="e">
        <f>AND('Large Nonlinear Problem'!B139,"AAAAAH/3e8w=")</f>
        <v>#VALUE!</v>
      </c>
      <c r="GX50" t="e">
        <f>AND('Large Nonlinear Problem'!C139,"AAAAAH/3e80=")</f>
        <v>#VALUE!</v>
      </c>
      <c r="GY50" t="e">
        <f>AND('Large Nonlinear Problem'!D139,"AAAAAH/3e84=")</f>
        <v>#VALUE!</v>
      </c>
      <c r="GZ50" t="e">
        <f>AND('Large Nonlinear Problem'!E139,"AAAAAH/3e88=")</f>
        <v>#VALUE!</v>
      </c>
      <c r="HA50" t="e">
        <f>AND('Large Nonlinear Problem'!F139,"AAAAAH/3e9A=")</f>
        <v>#VALUE!</v>
      </c>
      <c r="HB50" t="e">
        <f>AND('Large Nonlinear Problem'!G139,"AAAAAH/3e9E=")</f>
        <v>#VALUE!</v>
      </c>
      <c r="HC50">
        <f>IF('Large Nonlinear Problem'!140:140,"AAAAAH/3e9I=",0)</f>
        <v>0</v>
      </c>
      <c r="HD50" t="e">
        <f>AND('Large Nonlinear Problem'!A140,"AAAAAH/3e9M=")</f>
        <v>#VALUE!</v>
      </c>
      <c r="HE50" t="e">
        <f>AND('Large Nonlinear Problem'!B140,"AAAAAH/3e9Q=")</f>
        <v>#VALUE!</v>
      </c>
      <c r="HF50" t="e">
        <f>AND('Large Nonlinear Problem'!C140,"AAAAAH/3e9U=")</f>
        <v>#VALUE!</v>
      </c>
      <c r="HG50" t="e">
        <f>AND('Large Nonlinear Problem'!D140,"AAAAAH/3e9Y=")</f>
        <v>#VALUE!</v>
      </c>
      <c r="HH50" t="e">
        <f>AND('Large Nonlinear Problem'!E140,"AAAAAH/3e9c=")</f>
        <v>#VALUE!</v>
      </c>
      <c r="HI50" t="e">
        <f>AND('Large Nonlinear Problem'!F140,"AAAAAH/3e9g=")</f>
        <v>#VALUE!</v>
      </c>
      <c r="HJ50" t="e">
        <f>AND('Large Nonlinear Problem'!G140,"AAAAAH/3e9k=")</f>
        <v>#VALUE!</v>
      </c>
      <c r="HK50">
        <f>IF('Large Nonlinear Problem'!141:141,"AAAAAH/3e9o=",0)</f>
        <v>0</v>
      </c>
      <c r="HL50" t="e">
        <f>AND('Large Nonlinear Problem'!A141,"AAAAAH/3e9s=")</f>
        <v>#VALUE!</v>
      </c>
      <c r="HM50" t="e">
        <f>AND('Large Nonlinear Problem'!B141,"AAAAAH/3e9w=")</f>
        <v>#VALUE!</v>
      </c>
      <c r="HN50" t="e">
        <f>AND('Large Nonlinear Problem'!C141,"AAAAAH/3e90=")</f>
        <v>#VALUE!</v>
      </c>
      <c r="HO50" t="e">
        <f>AND('Large Nonlinear Problem'!D141,"AAAAAH/3e94=")</f>
        <v>#VALUE!</v>
      </c>
      <c r="HP50" t="e">
        <f>AND('Large Nonlinear Problem'!E141,"AAAAAH/3e98=")</f>
        <v>#VALUE!</v>
      </c>
      <c r="HQ50" t="e">
        <f>AND('Large Nonlinear Problem'!F141,"AAAAAH/3e+A=")</f>
        <v>#VALUE!</v>
      </c>
      <c r="HR50" t="e">
        <f>AND('Large Nonlinear Problem'!G141,"AAAAAH/3e+E=")</f>
        <v>#VALUE!</v>
      </c>
      <c r="HS50">
        <f>IF('Large Nonlinear Problem'!142:142,"AAAAAH/3e+I=",0)</f>
        <v>0</v>
      </c>
      <c r="HT50" t="e">
        <f>AND('Large Nonlinear Problem'!A142,"AAAAAH/3e+M=")</f>
        <v>#VALUE!</v>
      </c>
      <c r="HU50" t="e">
        <f>AND('Large Nonlinear Problem'!B142,"AAAAAH/3e+Q=")</f>
        <v>#VALUE!</v>
      </c>
      <c r="HV50" t="e">
        <f>AND('Large Nonlinear Problem'!C142,"AAAAAH/3e+U=")</f>
        <v>#VALUE!</v>
      </c>
      <c r="HW50" t="e">
        <f>AND('Large Nonlinear Problem'!D142,"AAAAAH/3e+Y=")</f>
        <v>#VALUE!</v>
      </c>
      <c r="HX50" t="e">
        <f>AND('Large Nonlinear Problem'!E142,"AAAAAH/3e+c=")</f>
        <v>#VALUE!</v>
      </c>
      <c r="HY50" t="e">
        <f>AND('Large Nonlinear Problem'!F142,"AAAAAH/3e+g=")</f>
        <v>#VALUE!</v>
      </c>
      <c r="HZ50" t="e">
        <f>AND('Large Nonlinear Problem'!G142,"AAAAAH/3e+k=")</f>
        <v>#VALUE!</v>
      </c>
      <c r="IA50">
        <f>IF('Large Nonlinear Problem'!143:143,"AAAAAH/3e+o=",0)</f>
        <v>0</v>
      </c>
      <c r="IB50" t="e">
        <f>AND('Large Nonlinear Problem'!A143,"AAAAAH/3e+s=")</f>
        <v>#VALUE!</v>
      </c>
      <c r="IC50" t="e">
        <f>AND('Large Nonlinear Problem'!B143,"AAAAAH/3e+w=")</f>
        <v>#VALUE!</v>
      </c>
      <c r="ID50" t="e">
        <f>AND('Large Nonlinear Problem'!C143,"AAAAAH/3e+0=")</f>
        <v>#VALUE!</v>
      </c>
      <c r="IE50" t="e">
        <f>AND('Large Nonlinear Problem'!D143,"AAAAAH/3e+4=")</f>
        <v>#VALUE!</v>
      </c>
      <c r="IF50" t="e">
        <f>AND('Large Nonlinear Problem'!E143,"AAAAAH/3e+8=")</f>
        <v>#VALUE!</v>
      </c>
      <c r="IG50" t="e">
        <f>AND('Large Nonlinear Problem'!F143,"AAAAAH/3e/A=")</f>
        <v>#VALUE!</v>
      </c>
      <c r="IH50" t="e">
        <f>AND('Large Nonlinear Problem'!G143,"AAAAAH/3e/E=")</f>
        <v>#VALUE!</v>
      </c>
      <c r="II50">
        <f>IF('Large Nonlinear Problem'!144:144,"AAAAAH/3e/I=",0)</f>
        <v>0</v>
      </c>
      <c r="IJ50" t="e">
        <f>AND('Large Nonlinear Problem'!A144,"AAAAAH/3e/M=")</f>
        <v>#VALUE!</v>
      </c>
      <c r="IK50" t="e">
        <f>AND('Large Nonlinear Problem'!B144,"AAAAAH/3e/Q=")</f>
        <v>#VALUE!</v>
      </c>
      <c r="IL50" t="e">
        <f>AND('Large Nonlinear Problem'!C144,"AAAAAH/3e/U=")</f>
        <v>#VALUE!</v>
      </c>
      <c r="IM50" t="e">
        <f>AND('Large Nonlinear Problem'!D144,"AAAAAH/3e/Y=")</f>
        <v>#VALUE!</v>
      </c>
      <c r="IN50" t="e">
        <f>AND('Large Nonlinear Problem'!E144,"AAAAAH/3e/c=")</f>
        <v>#VALUE!</v>
      </c>
      <c r="IO50" t="e">
        <f>AND('Large Nonlinear Problem'!F144,"AAAAAH/3e/g=")</f>
        <v>#VALUE!</v>
      </c>
      <c r="IP50" t="e">
        <f>AND('Large Nonlinear Problem'!G144,"AAAAAH/3e/k=")</f>
        <v>#VALUE!</v>
      </c>
      <c r="IQ50">
        <f>IF('Large Nonlinear Problem'!145:145,"AAAAAH/3e/o=",0)</f>
        <v>0</v>
      </c>
      <c r="IR50" t="e">
        <f>AND('Large Nonlinear Problem'!A145,"AAAAAH/3e/s=")</f>
        <v>#VALUE!</v>
      </c>
      <c r="IS50" t="e">
        <f>AND('Large Nonlinear Problem'!B145,"AAAAAH/3e/w=")</f>
        <v>#VALUE!</v>
      </c>
      <c r="IT50" t="e">
        <f>AND('Large Nonlinear Problem'!C145,"AAAAAH/3e/0=")</f>
        <v>#VALUE!</v>
      </c>
      <c r="IU50" t="e">
        <f>AND('Large Nonlinear Problem'!D145,"AAAAAH/3e/4=")</f>
        <v>#VALUE!</v>
      </c>
      <c r="IV50" t="e">
        <f>AND('Large Nonlinear Problem'!E145,"AAAAAH/3e/8=")</f>
        <v>#VALUE!</v>
      </c>
    </row>
    <row r="51" spans="1:256">
      <c r="A51" t="e">
        <f>AND('Large Nonlinear Problem'!F145,"AAAAAH/z8QA=")</f>
        <v>#VALUE!</v>
      </c>
      <c r="B51" t="e">
        <f>AND('Large Nonlinear Problem'!G145,"AAAAAH/z8QE=")</f>
        <v>#VALUE!</v>
      </c>
      <c r="C51" t="str">
        <f>IF('Large Nonlinear Problem'!146:146,"AAAAAH/z8QI=",0)</f>
        <v>AAAAAH/z8QI=</v>
      </c>
      <c r="D51" t="e">
        <f>AND('Large Nonlinear Problem'!A146,"AAAAAH/z8QM=")</f>
        <v>#VALUE!</v>
      </c>
      <c r="E51" t="e">
        <f>AND('Large Nonlinear Problem'!B146,"AAAAAH/z8QQ=")</f>
        <v>#VALUE!</v>
      </c>
      <c r="F51" t="e">
        <f>AND('Large Nonlinear Problem'!C146,"AAAAAH/z8QU=")</f>
        <v>#VALUE!</v>
      </c>
      <c r="G51" t="e">
        <f>AND('Large Nonlinear Problem'!D146,"AAAAAH/z8QY=")</f>
        <v>#VALUE!</v>
      </c>
      <c r="H51" t="e">
        <f>AND('Large Nonlinear Problem'!E146,"AAAAAH/z8Qc=")</f>
        <v>#VALUE!</v>
      </c>
      <c r="I51" t="e">
        <f>AND('Large Nonlinear Problem'!F146,"AAAAAH/z8Qg=")</f>
        <v>#VALUE!</v>
      </c>
      <c r="J51" t="e">
        <f>AND('Large Nonlinear Problem'!G146,"AAAAAH/z8Qk=")</f>
        <v>#VALUE!</v>
      </c>
      <c r="K51">
        <f>IF('Large Nonlinear Problem'!147:147,"AAAAAH/z8Qo=",0)</f>
        <v>0</v>
      </c>
      <c r="L51" t="e">
        <f>AND('Large Nonlinear Problem'!A147,"AAAAAH/z8Qs=")</f>
        <v>#VALUE!</v>
      </c>
      <c r="M51" t="e">
        <f>AND('Large Nonlinear Problem'!B147,"AAAAAH/z8Qw=")</f>
        <v>#VALUE!</v>
      </c>
      <c r="N51" t="e">
        <f>AND('Large Nonlinear Problem'!C147,"AAAAAH/z8Q0=")</f>
        <v>#VALUE!</v>
      </c>
      <c r="O51" t="e">
        <f>AND('Large Nonlinear Problem'!D147,"AAAAAH/z8Q4=")</f>
        <v>#VALUE!</v>
      </c>
      <c r="P51" t="e">
        <f>AND('Large Nonlinear Problem'!E147,"AAAAAH/z8Q8=")</f>
        <v>#VALUE!</v>
      </c>
      <c r="Q51" t="e">
        <f>AND('Large Nonlinear Problem'!F147,"AAAAAH/z8RA=")</f>
        <v>#VALUE!</v>
      </c>
      <c r="R51" t="e">
        <f>AND('Large Nonlinear Problem'!G147,"AAAAAH/z8RE=")</f>
        <v>#VALUE!</v>
      </c>
      <c r="S51">
        <f>IF('Large Nonlinear Problem'!148:148,"AAAAAH/z8RI=",0)</f>
        <v>0</v>
      </c>
      <c r="T51" t="e">
        <f>AND('Large Nonlinear Problem'!A148,"AAAAAH/z8RM=")</f>
        <v>#VALUE!</v>
      </c>
      <c r="U51" t="e">
        <f>AND('Large Nonlinear Problem'!B148,"AAAAAH/z8RQ=")</f>
        <v>#VALUE!</v>
      </c>
      <c r="V51" t="e">
        <f>AND('Large Nonlinear Problem'!C148,"AAAAAH/z8RU=")</f>
        <v>#VALUE!</v>
      </c>
      <c r="W51" t="e">
        <f>AND('Large Nonlinear Problem'!D148,"AAAAAH/z8RY=")</f>
        <v>#VALUE!</v>
      </c>
      <c r="X51" t="e">
        <f>AND('Large Nonlinear Problem'!E148,"AAAAAH/z8Rc=")</f>
        <v>#VALUE!</v>
      </c>
      <c r="Y51" t="e">
        <f>AND('Large Nonlinear Problem'!F148,"AAAAAH/z8Rg=")</f>
        <v>#VALUE!</v>
      </c>
      <c r="Z51" t="e">
        <f>AND('Large Nonlinear Problem'!G148,"AAAAAH/z8Rk=")</f>
        <v>#VALUE!</v>
      </c>
      <c r="AA51">
        <f>IF('Large Nonlinear Problem'!149:149,"AAAAAH/z8Ro=",0)</f>
        <v>0</v>
      </c>
      <c r="AB51" t="e">
        <f>AND('Large Nonlinear Problem'!A149,"AAAAAH/z8Rs=")</f>
        <v>#VALUE!</v>
      </c>
      <c r="AC51" t="e">
        <f>AND('Large Nonlinear Problem'!B149,"AAAAAH/z8Rw=")</f>
        <v>#VALUE!</v>
      </c>
      <c r="AD51" t="e">
        <f>AND('Large Nonlinear Problem'!C149,"AAAAAH/z8R0=")</f>
        <v>#VALUE!</v>
      </c>
      <c r="AE51" t="e">
        <f>AND('Large Nonlinear Problem'!D149,"AAAAAH/z8R4=")</f>
        <v>#VALUE!</v>
      </c>
      <c r="AF51" t="e">
        <f>AND('Large Nonlinear Problem'!E149,"AAAAAH/z8R8=")</f>
        <v>#VALUE!</v>
      </c>
      <c r="AG51" t="e">
        <f>AND('Large Nonlinear Problem'!F149,"AAAAAH/z8SA=")</f>
        <v>#VALUE!</v>
      </c>
      <c r="AH51" t="e">
        <f>AND('Large Nonlinear Problem'!G149,"AAAAAH/z8SE=")</f>
        <v>#VALUE!</v>
      </c>
      <c r="AI51">
        <f>IF('Large Nonlinear Problem'!150:150,"AAAAAH/z8SI=",0)</f>
        <v>0</v>
      </c>
      <c r="AJ51" t="e">
        <f>AND('Large Nonlinear Problem'!A150,"AAAAAH/z8SM=")</f>
        <v>#VALUE!</v>
      </c>
      <c r="AK51" t="e">
        <f>AND('Large Nonlinear Problem'!B150,"AAAAAH/z8SQ=")</f>
        <v>#VALUE!</v>
      </c>
      <c r="AL51" t="e">
        <f>AND('Large Nonlinear Problem'!C150,"AAAAAH/z8SU=")</f>
        <v>#VALUE!</v>
      </c>
      <c r="AM51" t="e">
        <f>AND('Large Nonlinear Problem'!D150,"AAAAAH/z8SY=")</f>
        <v>#VALUE!</v>
      </c>
      <c r="AN51" t="e">
        <f>AND('Large Nonlinear Problem'!E150,"AAAAAH/z8Sc=")</f>
        <v>#VALUE!</v>
      </c>
      <c r="AO51" t="e">
        <f>AND('Large Nonlinear Problem'!F150,"AAAAAH/z8Sg=")</f>
        <v>#VALUE!</v>
      </c>
      <c r="AP51" t="e">
        <f>AND('Large Nonlinear Problem'!G150,"AAAAAH/z8Sk=")</f>
        <v>#VALUE!</v>
      </c>
      <c r="AQ51">
        <f>IF('Large Nonlinear Problem'!151:151,"AAAAAH/z8So=",0)</f>
        <v>0</v>
      </c>
      <c r="AR51" t="e">
        <f>AND('Large Nonlinear Problem'!A151,"AAAAAH/z8Ss=")</f>
        <v>#VALUE!</v>
      </c>
      <c r="AS51" t="e">
        <f>AND('Large Nonlinear Problem'!B151,"AAAAAH/z8Sw=")</f>
        <v>#VALUE!</v>
      </c>
      <c r="AT51" t="e">
        <f>AND('Large Nonlinear Problem'!C151,"AAAAAH/z8S0=")</f>
        <v>#VALUE!</v>
      </c>
      <c r="AU51" t="e">
        <f>AND('Large Nonlinear Problem'!D151,"AAAAAH/z8S4=")</f>
        <v>#VALUE!</v>
      </c>
      <c r="AV51" t="e">
        <f>AND('Large Nonlinear Problem'!E151,"AAAAAH/z8S8=")</f>
        <v>#VALUE!</v>
      </c>
      <c r="AW51" t="e">
        <f>AND('Large Nonlinear Problem'!F151,"AAAAAH/z8TA=")</f>
        <v>#VALUE!</v>
      </c>
      <c r="AX51" t="e">
        <f>AND('Large Nonlinear Problem'!G151,"AAAAAH/z8TE=")</f>
        <v>#VALUE!</v>
      </c>
      <c r="AY51">
        <f>IF('Large Nonlinear Problem'!152:152,"AAAAAH/z8TI=",0)</f>
        <v>0</v>
      </c>
      <c r="AZ51" t="e">
        <f>AND('Large Nonlinear Problem'!A152,"AAAAAH/z8TM=")</f>
        <v>#VALUE!</v>
      </c>
      <c r="BA51" t="e">
        <f>AND('Large Nonlinear Problem'!B152,"AAAAAH/z8TQ=")</f>
        <v>#VALUE!</v>
      </c>
      <c r="BB51" t="e">
        <f>AND('Large Nonlinear Problem'!C152,"AAAAAH/z8TU=")</f>
        <v>#VALUE!</v>
      </c>
      <c r="BC51" t="e">
        <f>AND('Large Nonlinear Problem'!D152,"AAAAAH/z8TY=")</f>
        <v>#VALUE!</v>
      </c>
      <c r="BD51" t="e">
        <f>AND('Large Nonlinear Problem'!E152,"AAAAAH/z8Tc=")</f>
        <v>#VALUE!</v>
      </c>
      <c r="BE51" t="e">
        <f>AND('Large Nonlinear Problem'!F152,"AAAAAH/z8Tg=")</f>
        <v>#VALUE!</v>
      </c>
      <c r="BF51" t="e">
        <f>AND('Large Nonlinear Problem'!G152,"AAAAAH/z8Tk=")</f>
        <v>#VALUE!</v>
      </c>
      <c r="BG51">
        <f>IF('Large Nonlinear Problem'!153:153,"AAAAAH/z8To=",0)</f>
        <v>0</v>
      </c>
      <c r="BH51" t="e">
        <f>AND('Large Nonlinear Problem'!A153,"AAAAAH/z8Ts=")</f>
        <v>#VALUE!</v>
      </c>
      <c r="BI51" t="e">
        <f>AND('Large Nonlinear Problem'!B153,"AAAAAH/z8Tw=")</f>
        <v>#VALUE!</v>
      </c>
      <c r="BJ51" t="e">
        <f>AND('Large Nonlinear Problem'!C153,"AAAAAH/z8T0=")</f>
        <v>#VALUE!</v>
      </c>
      <c r="BK51" t="e">
        <f>AND('Large Nonlinear Problem'!D153,"AAAAAH/z8T4=")</f>
        <v>#VALUE!</v>
      </c>
      <c r="BL51" t="e">
        <f>AND('Large Nonlinear Problem'!E153,"AAAAAH/z8T8=")</f>
        <v>#VALUE!</v>
      </c>
      <c r="BM51" t="e">
        <f>AND('Large Nonlinear Problem'!F153,"AAAAAH/z8UA=")</f>
        <v>#VALUE!</v>
      </c>
      <c r="BN51" t="e">
        <f>AND('Large Nonlinear Problem'!G153,"AAAAAH/z8UE=")</f>
        <v>#VALUE!</v>
      </c>
      <c r="BO51">
        <f>IF('Large Nonlinear Problem'!154:154,"AAAAAH/z8UI=",0)</f>
        <v>0</v>
      </c>
      <c r="BP51" t="e">
        <f>AND('Large Nonlinear Problem'!A154,"AAAAAH/z8UM=")</f>
        <v>#VALUE!</v>
      </c>
      <c r="BQ51" t="e">
        <f>AND('Large Nonlinear Problem'!B154,"AAAAAH/z8UQ=")</f>
        <v>#VALUE!</v>
      </c>
      <c r="BR51" t="e">
        <f>AND('Large Nonlinear Problem'!C154,"AAAAAH/z8UU=")</f>
        <v>#VALUE!</v>
      </c>
      <c r="BS51" t="e">
        <f>AND('Large Nonlinear Problem'!D154,"AAAAAH/z8UY=")</f>
        <v>#VALUE!</v>
      </c>
      <c r="BT51" t="e">
        <f>AND('Large Nonlinear Problem'!E154,"AAAAAH/z8Uc=")</f>
        <v>#VALUE!</v>
      </c>
      <c r="BU51" t="e">
        <f>AND('Large Nonlinear Problem'!F154,"AAAAAH/z8Ug=")</f>
        <v>#VALUE!</v>
      </c>
      <c r="BV51" t="e">
        <f>AND('Large Nonlinear Problem'!G154,"AAAAAH/z8Uk=")</f>
        <v>#VALUE!</v>
      </c>
      <c r="BW51">
        <f>IF('Large Nonlinear Problem'!155:155,"AAAAAH/z8Uo=",0)</f>
        <v>0</v>
      </c>
      <c r="BX51" t="e">
        <f>AND('Large Nonlinear Problem'!A155,"AAAAAH/z8Us=")</f>
        <v>#VALUE!</v>
      </c>
      <c r="BY51" t="e">
        <f>AND('Large Nonlinear Problem'!B155,"AAAAAH/z8Uw=")</f>
        <v>#VALUE!</v>
      </c>
      <c r="BZ51" t="e">
        <f>AND('Large Nonlinear Problem'!C155,"AAAAAH/z8U0=")</f>
        <v>#VALUE!</v>
      </c>
      <c r="CA51" t="e">
        <f>AND('Large Nonlinear Problem'!D155,"AAAAAH/z8U4=")</f>
        <v>#VALUE!</v>
      </c>
      <c r="CB51" t="e">
        <f>AND('Large Nonlinear Problem'!E155,"AAAAAH/z8U8=")</f>
        <v>#VALUE!</v>
      </c>
      <c r="CC51" t="e">
        <f>AND('Large Nonlinear Problem'!F155,"AAAAAH/z8VA=")</f>
        <v>#VALUE!</v>
      </c>
      <c r="CD51" t="e">
        <f>AND('Large Nonlinear Problem'!G155,"AAAAAH/z8VE=")</f>
        <v>#VALUE!</v>
      </c>
      <c r="CE51">
        <f>IF('Large Nonlinear Problem'!156:156,"AAAAAH/z8VI=",0)</f>
        <v>0</v>
      </c>
      <c r="CF51" t="e">
        <f>AND('Large Nonlinear Problem'!A156,"AAAAAH/z8VM=")</f>
        <v>#VALUE!</v>
      </c>
      <c r="CG51" t="e">
        <f>AND('Large Nonlinear Problem'!B156,"AAAAAH/z8VQ=")</f>
        <v>#VALUE!</v>
      </c>
      <c r="CH51" t="e">
        <f>AND('Large Nonlinear Problem'!C156,"AAAAAH/z8VU=")</f>
        <v>#VALUE!</v>
      </c>
      <c r="CI51" t="e">
        <f>AND('Large Nonlinear Problem'!D156,"AAAAAH/z8VY=")</f>
        <v>#VALUE!</v>
      </c>
      <c r="CJ51" t="e">
        <f>AND('Large Nonlinear Problem'!E156,"AAAAAH/z8Vc=")</f>
        <v>#VALUE!</v>
      </c>
      <c r="CK51" t="e">
        <f>AND('Large Nonlinear Problem'!F156,"AAAAAH/z8Vg=")</f>
        <v>#VALUE!</v>
      </c>
      <c r="CL51" t="e">
        <f>AND('Large Nonlinear Problem'!G156,"AAAAAH/z8Vk=")</f>
        <v>#VALUE!</v>
      </c>
      <c r="CM51">
        <f>IF('Large Nonlinear Problem'!157:157,"AAAAAH/z8Vo=",0)</f>
        <v>0</v>
      </c>
      <c r="CN51" t="e">
        <f>AND('Large Nonlinear Problem'!A157,"AAAAAH/z8Vs=")</f>
        <v>#VALUE!</v>
      </c>
      <c r="CO51" t="e">
        <f>AND('Large Nonlinear Problem'!B157,"AAAAAH/z8Vw=")</f>
        <v>#VALUE!</v>
      </c>
      <c r="CP51" t="e">
        <f>AND('Large Nonlinear Problem'!C157,"AAAAAH/z8V0=")</f>
        <v>#VALUE!</v>
      </c>
      <c r="CQ51" t="e">
        <f>AND('Large Nonlinear Problem'!D157,"AAAAAH/z8V4=")</f>
        <v>#VALUE!</v>
      </c>
      <c r="CR51" t="e">
        <f>AND('Large Nonlinear Problem'!E157,"AAAAAH/z8V8=")</f>
        <v>#VALUE!</v>
      </c>
      <c r="CS51" t="e">
        <f>AND('Large Nonlinear Problem'!F157,"AAAAAH/z8WA=")</f>
        <v>#VALUE!</v>
      </c>
      <c r="CT51" t="e">
        <f>AND('Large Nonlinear Problem'!G157,"AAAAAH/z8WE=")</f>
        <v>#VALUE!</v>
      </c>
      <c r="CU51">
        <f>IF('Large Nonlinear Problem'!158:158,"AAAAAH/z8WI=",0)</f>
        <v>0</v>
      </c>
      <c r="CV51" t="e">
        <f>AND('Large Nonlinear Problem'!A158,"AAAAAH/z8WM=")</f>
        <v>#VALUE!</v>
      </c>
      <c r="CW51" t="e">
        <f>AND('Large Nonlinear Problem'!B158,"AAAAAH/z8WQ=")</f>
        <v>#VALUE!</v>
      </c>
      <c r="CX51" t="e">
        <f>AND('Large Nonlinear Problem'!C158,"AAAAAH/z8WU=")</f>
        <v>#VALUE!</v>
      </c>
      <c r="CY51" t="e">
        <f>AND('Large Nonlinear Problem'!D158,"AAAAAH/z8WY=")</f>
        <v>#VALUE!</v>
      </c>
      <c r="CZ51" t="e">
        <f>AND('Large Nonlinear Problem'!E158,"AAAAAH/z8Wc=")</f>
        <v>#VALUE!</v>
      </c>
      <c r="DA51" t="e">
        <f>AND('Large Nonlinear Problem'!F158,"AAAAAH/z8Wg=")</f>
        <v>#VALUE!</v>
      </c>
      <c r="DB51" t="e">
        <f>AND('Large Nonlinear Problem'!G158,"AAAAAH/z8Wk=")</f>
        <v>#VALUE!</v>
      </c>
      <c r="DC51">
        <f>IF('Large Nonlinear Problem'!159:159,"AAAAAH/z8Wo=",0)</f>
        <v>0</v>
      </c>
      <c r="DD51" t="e">
        <f>AND('Large Nonlinear Problem'!A159,"AAAAAH/z8Ws=")</f>
        <v>#VALUE!</v>
      </c>
      <c r="DE51" t="e">
        <f>AND('Large Nonlinear Problem'!B159,"AAAAAH/z8Ww=")</f>
        <v>#VALUE!</v>
      </c>
      <c r="DF51" t="e">
        <f>AND('Large Nonlinear Problem'!C159,"AAAAAH/z8W0=")</f>
        <v>#VALUE!</v>
      </c>
      <c r="DG51" t="e">
        <f>AND('Large Nonlinear Problem'!D159,"AAAAAH/z8W4=")</f>
        <v>#VALUE!</v>
      </c>
      <c r="DH51" t="e">
        <f>AND('Large Nonlinear Problem'!E159,"AAAAAH/z8W8=")</f>
        <v>#VALUE!</v>
      </c>
      <c r="DI51" t="e">
        <f>AND('Large Nonlinear Problem'!F159,"AAAAAH/z8XA=")</f>
        <v>#VALUE!</v>
      </c>
      <c r="DJ51" t="e">
        <f>AND('Large Nonlinear Problem'!G159,"AAAAAH/z8XE=")</f>
        <v>#VALUE!</v>
      </c>
      <c r="DK51">
        <f>IF('Large Nonlinear Problem'!160:160,"AAAAAH/z8XI=",0)</f>
        <v>0</v>
      </c>
      <c r="DL51" t="e">
        <f>AND('Large Nonlinear Problem'!A160,"AAAAAH/z8XM=")</f>
        <v>#VALUE!</v>
      </c>
      <c r="DM51" t="e">
        <f>AND('Large Nonlinear Problem'!B160,"AAAAAH/z8XQ=")</f>
        <v>#VALUE!</v>
      </c>
      <c r="DN51" t="e">
        <f>AND('Large Nonlinear Problem'!C160,"AAAAAH/z8XU=")</f>
        <v>#VALUE!</v>
      </c>
      <c r="DO51" t="e">
        <f>AND('Large Nonlinear Problem'!D160,"AAAAAH/z8XY=")</f>
        <v>#VALUE!</v>
      </c>
      <c r="DP51" t="e">
        <f>AND('Large Nonlinear Problem'!E160,"AAAAAH/z8Xc=")</f>
        <v>#VALUE!</v>
      </c>
      <c r="DQ51" t="e">
        <f>AND('Large Nonlinear Problem'!F160,"AAAAAH/z8Xg=")</f>
        <v>#VALUE!</v>
      </c>
      <c r="DR51" t="e">
        <f>AND('Large Nonlinear Problem'!G160,"AAAAAH/z8Xk=")</f>
        <v>#VALUE!</v>
      </c>
      <c r="DS51">
        <f>IF('Large Nonlinear Problem'!161:161,"AAAAAH/z8Xo=",0)</f>
        <v>0</v>
      </c>
      <c r="DT51" t="e">
        <f>AND('Large Nonlinear Problem'!A161,"AAAAAH/z8Xs=")</f>
        <v>#VALUE!</v>
      </c>
      <c r="DU51" t="e">
        <f>AND('Large Nonlinear Problem'!B161,"AAAAAH/z8Xw=")</f>
        <v>#VALUE!</v>
      </c>
      <c r="DV51" t="e">
        <f>AND('Large Nonlinear Problem'!C161,"AAAAAH/z8X0=")</f>
        <v>#VALUE!</v>
      </c>
      <c r="DW51" t="e">
        <f>AND('Large Nonlinear Problem'!D161,"AAAAAH/z8X4=")</f>
        <v>#VALUE!</v>
      </c>
      <c r="DX51" t="e">
        <f>AND('Large Nonlinear Problem'!E161,"AAAAAH/z8X8=")</f>
        <v>#VALUE!</v>
      </c>
      <c r="DY51" t="e">
        <f>AND('Large Nonlinear Problem'!F161,"AAAAAH/z8YA=")</f>
        <v>#VALUE!</v>
      </c>
      <c r="DZ51" t="e">
        <f>AND('Large Nonlinear Problem'!G161,"AAAAAH/z8YE=")</f>
        <v>#VALUE!</v>
      </c>
      <c r="EA51">
        <f>IF('Large Nonlinear Problem'!162:162,"AAAAAH/z8YI=",0)</f>
        <v>0</v>
      </c>
      <c r="EB51" t="e">
        <f>AND('Large Nonlinear Problem'!A162,"AAAAAH/z8YM=")</f>
        <v>#VALUE!</v>
      </c>
      <c r="EC51" t="e">
        <f>AND('Large Nonlinear Problem'!B162,"AAAAAH/z8YQ=")</f>
        <v>#VALUE!</v>
      </c>
      <c r="ED51" t="e">
        <f>AND('Large Nonlinear Problem'!C162,"AAAAAH/z8YU=")</f>
        <v>#VALUE!</v>
      </c>
      <c r="EE51" t="e">
        <f>AND('Large Nonlinear Problem'!D162,"AAAAAH/z8YY=")</f>
        <v>#VALUE!</v>
      </c>
      <c r="EF51" t="e">
        <f>AND('Large Nonlinear Problem'!E162,"AAAAAH/z8Yc=")</f>
        <v>#VALUE!</v>
      </c>
      <c r="EG51" t="e">
        <f>AND('Large Nonlinear Problem'!F162,"AAAAAH/z8Yg=")</f>
        <v>#VALUE!</v>
      </c>
      <c r="EH51" t="e">
        <f>AND('Large Nonlinear Problem'!G162,"AAAAAH/z8Yk=")</f>
        <v>#VALUE!</v>
      </c>
      <c r="EI51">
        <f>IF('Large Nonlinear Problem'!163:163,"AAAAAH/z8Yo=",0)</f>
        <v>0</v>
      </c>
      <c r="EJ51" t="e">
        <f>AND('Large Nonlinear Problem'!A163,"AAAAAH/z8Ys=")</f>
        <v>#VALUE!</v>
      </c>
      <c r="EK51" t="e">
        <f>AND('Large Nonlinear Problem'!B163,"AAAAAH/z8Yw=")</f>
        <v>#VALUE!</v>
      </c>
      <c r="EL51" t="e">
        <f>AND('Large Nonlinear Problem'!C163,"AAAAAH/z8Y0=")</f>
        <v>#VALUE!</v>
      </c>
      <c r="EM51" t="e">
        <f>AND('Large Nonlinear Problem'!D163,"AAAAAH/z8Y4=")</f>
        <v>#VALUE!</v>
      </c>
      <c r="EN51" t="e">
        <f>AND('Large Nonlinear Problem'!E163,"AAAAAH/z8Y8=")</f>
        <v>#VALUE!</v>
      </c>
      <c r="EO51" t="e">
        <f>AND('Large Nonlinear Problem'!F163,"AAAAAH/z8ZA=")</f>
        <v>#VALUE!</v>
      </c>
      <c r="EP51" t="e">
        <f>AND('Large Nonlinear Problem'!G163,"AAAAAH/z8ZE=")</f>
        <v>#VALUE!</v>
      </c>
      <c r="EQ51">
        <f>IF('Large Nonlinear Problem'!164:164,"AAAAAH/z8ZI=",0)</f>
        <v>0</v>
      </c>
      <c r="ER51" t="e">
        <f>AND('Large Nonlinear Problem'!A164,"AAAAAH/z8ZM=")</f>
        <v>#VALUE!</v>
      </c>
      <c r="ES51" t="e">
        <f>AND('Large Nonlinear Problem'!B164,"AAAAAH/z8ZQ=")</f>
        <v>#VALUE!</v>
      </c>
      <c r="ET51" t="e">
        <f>AND('Large Nonlinear Problem'!C164,"AAAAAH/z8ZU=")</f>
        <v>#VALUE!</v>
      </c>
      <c r="EU51" t="e">
        <f>AND('Large Nonlinear Problem'!D164,"AAAAAH/z8ZY=")</f>
        <v>#VALUE!</v>
      </c>
      <c r="EV51" t="e">
        <f>AND('Large Nonlinear Problem'!E164,"AAAAAH/z8Zc=")</f>
        <v>#VALUE!</v>
      </c>
      <c r="EW51" t="e">
        <f>AND('Large Nonlinear Problem'!F164,"AAAAAH/z8Zg=")</f>
        <v>#VALUE!</v>
      </c>
      <c r="EX51" t="e">
        <f>AND('Large Nonlinear Problem'!G164,"AAAAAH/z8Zk=")</f>
        <v>#VALUE!</v>
      </c>
      <c r="EY51">
        <f>IF('Large Nonlinear Problem'!165:165,"AAAAAH/z8Zo=",0)</f>
        <v>0</v>
      </c>
      <c r="EZ51" t="e">
        <f>AND('Large Nonlinear Problem'!A165,"AAAAAH/z8Zs=")</f>
        <v>#VALUE!</v>
      </c>
      <c r="FA51" t="e">
        <f>AND('Large Nonlinear Problem'!B165,"AAAAAH/z8Zw=")</f>
        <v>#VALUE!</v>
      </c>
      <c r="FB51" t="e">
        <f>AND('Large Nonlinear Problem'!C165,"AAAAAH/z8Z0=")</f>
        <v>#VALUE!</v>
      </c>
      <c r="FC51" t="e">
        <f>AND('Large Nonlinear Problem'!D165,"AAAAAH/z8Z4=")</f>
        <v>#VALUE!</v>
      </c>
      <c r="FD51" t="e">
        <f>AND('Large Nonlinear Problem'!E165,"AAAAAH/z8Z8=")</f>
        <v>#VALUE!</v>
      </c>
      <c r="FE51" t="e">
        <f>AND('Large Nonlinear Problem'!F165,"AAAAAH/z8aA=")</f>
        <v>#VALUE!</v>
      </c>
      <c r="FF51" t="e">
        <f>AND('Large Nonlinear Problem'!G165,"AAAAAH/z8aE=")</f>
        <v>#VALUE!</v>
      </c>
      <c r="FG51">
        <f>IF('Large Nonlinear Problem'!166:166,"AAAAAH/z8aI=",0)</f>
        <v>0</v>
      </c>
      <c r="FH51" t="e">
        <f>AND('Large Nonlinear Problem'!A166,"AAAAAH/z8aM=")</f>
        <v>#VALUE!</v>
      </c>
      <c r="FI51" t="e">
        <f>AND('Large Nonlinear Problem'!B166,"AAAAAH/z8aQ=")</f>
        <v>#VALUE!</v>
      </c>
      <c r="FJ51" t="e">
        <f>AND('Large Nonlinear Problem'!C166,"AAAAAH/z8aU=")</f>
        <v>#VALUE!</v>
      </c>
      <c r="FK51" t="e">
        <f>AND('Large Nonlinear Problem'!D166,"AAAAAH/z8aY=")</f>
        <v>#VALUE!</v>
      </c>
      <c r="FL51" t="e">
        <f>AND('Large Nonlinear Problem'!E166,"AAAAAH/z8ac=")</f>
        <v>#VALUE!</v>
      </c>
      <c r="FM51" t="e">
        <f>AND('Large Nonlinear Problem'!F166,"AAAAAH/z8ag=")</f>
        <v>#VALUE!</v>
      </c>
      <c r="FN51" t="e">
        <f>AND('Large Nonlinear Problem'!G166,"AAAAAH/z8ak=")</f>
        <v>#VALUE!</v>
      </c>
      <c r="FO51">
        <f>IF('Large Nonlinear Problem'!167:167,"AAAAAH/z8ao=",0)</f>
        <v>0</v>
      </c>
      <c r="FP51" t="e">
        <f>AND('Large Nonlinear Problem'!A167,"AAAAAH/z8as=")</f>
        <v>#VALUE!</v>
      </c>
      <c r="FQ51" t="e">
        <f>AND('Large Nonlinear Problem'!B167,"AAAAAH/z8aw=")</f>
        <v>#VALUE!</v>
      </c>
      <c r="FR51" t="e">
        <f>AND('Large Nonlinear Problem'!C167,"AAAAAH/z8a0=")</f>
        <v>#VALUE!</v>
      </c>
      <c r="FS51" t="e">
        <f>AND('Large Nonlinear Problem'!D167,"AAAAAH/z8a4=")</f>
        <v>#VALUE!</v>
      </c>
      <c r="FT51" t="e">
        <f>AND('Large Nonlinear Problem'!E167,"AAAAAH/z8a8=")</f>
        <v>#VALUE!</v>
      </c>
      <c r="FU51" t="e">
        <f>AND('Large Nonlinear Problem'!F167,"AAAAAH/z8bA=")</f>
        <v>#VALUE!</v>
      </c>
      <c r="FV51" t="e">
        <f>AND('Large Nonlinear Problem'!G167,"AAAAAH/z8bE=")</f>
        <v>#VALUE!</v>
      </c>
      <c r="FW51">
        <f>IF('Large Nonlinear Problem'!168:168,"AAAAAH/z8bI=",0)</f>
        <v>0</v>
      </c>
      <c r="FX51" t="e">
        <f>AND('Large Nonlinear Problem'!A168,"AAAAAH/z8bM=")</f>
        <v>#VALUE!</v>
      </c>
      <c r="FY51" t="e">
        <f>AND('Large Nonlinear Problem'!B168,"AAAAAH/z8bQ=")</f>
        <v>#VALUE!</v>
      </c>
      <c r="FZ51" t="e">
        <f>AND('Large Nonlinear Problem'!C168,"AAAAAH/z8bU=")</f>
        <v>#VALUE!</v>
      </c>
      <c r="GA51" t="e">
        <f>AND('Large Nonlinear Problem'!D168,"AAAAAH/z8bY=")</f>
        <v>#VALUE!</v>
      </c>
      <c r="GB51" t="e">
        <f>AND('Large Nonlinear Problem'!E168,"AAAAAH/z8bc=")</f>
        <v>#VALUE!</v>
      </c>
      <c r="GC51" t="e">
        <f>AND('Large Nonlinear Problem'!F168,"AAAAAH/z8bg=")</f>
        <v>#VALUE!</v>
      </c>
      <c r="GD51" t="e">
        <f>AND('Large Nonlinear Problem'!G168,"AAAAAH/z8bk=")</f>
        <v>#VALUE!</v>
      </c>
      <c r="GE51">
        <f>IF('Large Nonlinear Problem'!169:169,"AAAAAH/z8bo=",0)</f>
        <v>0</v>
      </c>
      <c r="GF51" t="e">
        <f>AND('Large Nonlinear Problem'!A169,"AAAAAH/z8bs=")</f>
        <v>#VALUE!</v>
      </c>
      <c r="GG51" t="e">
        <f>AND('Large Nonlinear Problem'!B169,"AAAAAH/z8bw=")</f>
        <v>#VALUE!</v>
      </c>
      <c r="GH51" t="e">
        <f>AND('Large Nonlinear Problem'!C169,"AAAAAH/z8b0=")</f>
        <v>#VALUE!</v>
      </c>
      <c r="GI51" t="e">
        <f>AND('Large Nonlinear Problem'!D169,"AAAAAH/z8b4=")</f>
        <v>#VALUE!</v>
      </c>
      <c r="GJ51" t="e">
        <f>AND('Large Nonlinear Problem'!E169,"AAAAAH/z8b8=")</f>
        <v>#VALUE!</v>
      </c>
      <c r="GK51" t="e">
        <f>AND('Large Nonlinear Problem'!F169,"AAAAAH/z8cA=")</f>
        <v>#VALUE!</v>
      </c>
      <c r="GL51" t="e">
        <f>AND('Large Nonlinear Problem'!G169,"AAAAAH/z8cE=")</f>
        <v>#VALUE!</v>
      </c>
      <c r="GM51">
        <f>IF('Large Nonlinear Problem'!170:170,"AAAAAH/z8cI=",0)</f>
        <v>0</v>
      </c>
      <c r="GN51" t="e">
        <f>AND('Large Nonlinear Problem'!A170,"AAAAAH/z8cM=")</f>
        <v>#VALUE!</v>
      </c>
      <c r="GO51" t="e">
        <f>AND('Large Nonlinear Problem'!B170,"AAAAAH/z8cQ=")</f>
        <v>#VALUE!</v>
      </c>
      <c r="GP51" t="e">
        <f>AND('Large Nonlinear Problem'!C170,"AAAAAH/z8cU=")</f>
        <v>#VALUE!</v>
      </c>
      <c r="GQ51" t="e">
        <f>AND('Large Nonlinear Problem'!D170,"AAAAAH/z8cY=")</f>
        <v>#VALUE!</v>
      </c>
      <c r="GR51" t="e">
        <f>AND('Large Nonlinear Problem'!E170,"AAAAAH/z8cc=")</f>
        <v>#VALUE!</v>
      </c>
      <c r="GS51" t="e">
        <f>AND('Large Nonlinear Problem'!F170,"AAAAAH/z8cg=")</f>
        <v>#VALUE!</v>
      </c>
      <c r="GT51" t="e">
        <f>AND('Large Nonlinear Problem'!G170,"AAAAAH/z8ck=")</f>
        <v>#VALUE!</v>
      </c>
      <c r="GU51">
        <f>IF('Large Nonlinear Problem'!171:171,"AAAAAH/z8co=",0)</f>
        <v>0</v>
      </c>
      <c r="GV51" t="e">
        <f>AND('Large Nonlinear Problem'!A171,"AAAAAH/z8cs=")</f>
        <v>#VALUE!</v>
      </c>
      <c r="GW51" t="e">
        <f>AND('Large Nonlinear Problem'!B171,"AAAAAH/z8cw=")</f>
        <v>#VALUE!</v>
      </c>
      <c r="GX51" t="e">
        <f>AND('Large Nonlinear Problem'!C171,"AAAAAH/z8c0=")</f>
        <v>#VALUE!</v>
      </c>
      <c r="GY51" t="e">
        <f>AND('Large Nonlinear Problem'!D171,"AAAAAH/z8c4=")</f>
        <v>#VALUE!</v>
      </c>
      <c r="GZ51" t="e">
        <f>AND('Large Nonlinear Problem'!E171,"AAAAAH/z8c8=")</f>
        <v>#VALUE!</v>
      </c>
      <c r="HA51" t="e">
        <f>AND('Large Nonlinear Problem'!F171,"AAAAAH/z8dA=")</f>
        <v>#VALUE!</v>
      </c>
      <c r="HB51" t="e">
        <f>AND('Large Nonlinear Problem'!G171,"AAAAAH/z8dE=")</f>
        <v>#VALUE!</v>
      </c>
      <c r="HC51">
        <f>IF('Large Nonlinear Problem'!172:172,"AAAAAH/z8dI=",0)</f>
        <v>0</v>
      </c>
      <c r="HD51" t="e">
        <f>AND('Large Nonlinear Problem'!A172,"AAAAAH/z8dM=")</f>
        <v>#VALUE!</v>
      </c>
      <c r="HE51" t="e">
        <f>AND('Large Nonlinear Problem'!B172,"AAAAAH/z8dQ=")</f>
        <v>#VALUE!</v>
      </c>
      <c r="HF51" t="e">
        <f>AND('Large Nonlinear Problem'!C172,"AAAAAH/z8dU=")</f>
        <v>#VALUE!</v>
      </c>
      <c r="HG51" t="e">
        <f>AND('Large Nonlinear Problem'!D172,"AAAAAH/z8dY=")</f>
        <v>#VALUE!</v>
      </c>
      <c r="HH51" t="e">
        <f>AND('Large Nonlinear Problem'!E172,"AAAAAH/z8dc=")</f>
        <v>#VALUE!</v>
      </c>
      <c r="HI51" t="e">
        <f>AND('Large Nonlinear Problem'!F172,"AAAAAH/z8dg=")</f>
        <v>#VALUE!</v>
      </c>
      <c r="HJ51" t="e">
        <f>AND('Large Nonlinear Problem'!G172,"AAAAAH/z8dk=")</f>
        <v>#VALUE!</v>
      </c>
      <c r="HK51">
        <f>IF('Large Nonlinear Problem'!173:173,"AAAAAH/z8do=",0)</f>
        <v>0</v>
      </c>
      <c r="HL51" t="e">
        <f>AND('Large Nonlinear Problem'!A173,"AAAAAH/z8ds=")</f>
        <v>#VALUE!</v>
      </c>
      <c r="HM51" t="e">
        <f>AND('Large Nonlinear Problem'!B173,"AAAAAH/z8dw=")</f>
        <v>#VALUE!</v>
      </c>
      <c r="HN51" t="e">
        <f>AND('Large Nonlinear Problem'!C173,"AAAAAH/z8d0=")</f>
        <v>#VALUE!</v>
      </c>
      <c r="HO51" t="e">
        <f>AND('Large Nonlinear Problem'!D173,"AAAAAH/z8d4=")</f>
        <v>#VALUE!</v>
      </c>
      <c r="HP51" t="e">
        <f>AND('Large Nonlinear Problem'!E173,"AAAAAH/z8d8=")</f>
        <v>#VALUE!</v>
      </c>
      <c r="HQ51" t="e">
        <f>AND('Large Nonlinear Problem'!F173,"AAAAAH/z8eA=")</f>
        <v>#VALUE!</v>
      </c>
      <c r="HR51" t="e">
        <f>AND('Large Nonlinear Problem'!G173,"AAAAAH/z8eE=")</f>
        <v>#VALUE!</v>
      </c>
      <c r="HS51">
        <f>IF('Large Nonlinear Problem'!174:174,"AAAAAH/z8eI=",0)</f>
        <v>0</v>
      </c>
      <c r="HT51" t="e">
        <f>AND('Large Nonlinear Problem'!A174,"AAAAAH/z8eM=")</f>
        <v>#VALUE!</v>
      </c>
      <c r="HU51" t="e">
        <f>AND('Large Nonlinear Problem'!B174,"AAAAAH/z8eQ=")</f>
        <v>#VALUE!</v>
      </c>
      <c r="HV51" t="e">
        <f>AND('Large Nonlinear Problem'!C174,"AAAAAH/z8eU=")</f>
        <v>#VALUE!</v>
      </c>
      <c r="HW51" t="e">
        <f>AND('Large Nonlinear Problem'!D174,"AAAAAH/z8eY=")</f>
        <v>#VALUE!</v>
      </c>
      <c r="HX51" t="e">
        <f>AND('Large Nonlinear Problem'!E174,"AAAAAH/z8ec=")</f>
        <v>#VALUE!</v>
      </c>
      <c r="HY51" t="e">
        <f>AND('Large Nonlinear Problem'!F174,"AAAAAH/z8eg=")</f>
        <v>#VALUE!</v>
      </c>
      <c r="HZ51" t="e">
        <f>AND('Large Nonlinear Problem'!G174,"AAAAAH/z8ek=")</f>
        <v>#VALUE!</v>
      </c>
      <c r="IA51">
        <f>IF('Large Nonlinear Problem'!175:175,"AAAAAH/z8eo=",0)</f>
        <v>0</v>
      </c>
      <c r="IB51" t="e">
        <f>AND('Large Nonlinear Problem'!A175,"AAAAAH/z8es=")</f>
        <v>#VALUE!</v>
      </c>
      <c r="IC51" t="e">
        <f>AND('Large Nonlinear Problem'!B175,"AAAAAH/z8ew=")</f>
        <v>#VALUE!</v>
      </c>
      <c r="ID51" t="e">
        <f>AND('Large Nonlinear Problem'!C175,"AAAAAH/z8e0=")</f>
        <v>#VALUE!</v>
      </c>
      <c r="IE51" t="e">
        <f>AND('Large Nonlinear Problem'!D175,"AAAAAH/z8e4=")</f>
        <v>#VALUE!</v>
      </c>
      <c r="IF51" t="e">
        <f>AND('Large Nonlinear Problem'!E175,"AAAAAH/z8e8=")</f>
        <v>#VALUE!</v>
      </c>
      <c r="IG51" t="e">
        <f>AND('Large Nonlinear Problem'!F175,"AAAAAH/z8fA=")</f>
        <v>#VALUE!</v>
      </c>
      <c r="IH51" t="e">
        <f>AND('Large Nonlinear Problem'!G175,"AAAAAH/z8fE=")</f>
        <v>#VALUE!</v>
      </c>
      <c r="II51">
        <f>IF('Large Nonlinear Problem'!176:176,"AAAAAH/z8fI=",0)</f>
        <v>0</v>
      </c>
      <c r="IJ51" t="e">
        <f>AND('Large Nonlinear Problem'!A176,"AAAAAH/z8fM=")</f>
        <v>#VALUE!</v>
      </c>
      <c r="IK51" t="e">
        <f>AND('Large Nonlinear Problem'!B176,"AAAAAH/z8fQ=")</f>
        <v>#VALUE!</v>
      </c>
      <c r="IL51" t="e">
        <f>AND('Large Nonlinear Problem'!C176,"AAAAAH/z8fU=")</f>
        <v>#VALUE!</v>
      </c>
      <c r="IM51" t="e">
        <f>AND('Large Nonlinear Problem'!D176,"AAAAAH/z8fY=")</f>
        <v>#VALUE!</v>
      </c>
      <c r="IN51" t="e">
        <f>AND('Large Nonlinear Problem'!E176,"AAAAAH/z8fc=")</f>
        <v>#VALUE!</v>
      </c>
      <c r="IO51" t="e">
        <f>AND('Large Nonlinear Problem'!F176,"AAAAAH/z8fg=")</f>
        <v>#VALUE!</v>
      </c>
      <c r="IP51" t="e">
        <f>AND('Large Nonlinear Problem'!G176,"AAAAAH/z8fk=")</f>
        <v>#VALUE!</v>
      </c>
      <c r="IQ51">
        <f>IF('Large Nonlinear Problem'!177:177,"AAAAAH/z8fo=",0)</f>
        <v>0</v>
      </c>
      <c r="IR51" t="e">
        <f>AND('Large Nonlinear Problem'!A177,"AAAAAH/z8fs=")</f>
        <v>#VALUE!</v>
      </c>
      <c r="IS51" t="e">
        <f>AND('Large Nonlinear Problem'!B177,"AAAAAH/z8fw=")</f>
        <v>#VALUE!</v>
      </c>
      <c r="IT51" t="e">
        <f>AND('Large Nonlinear Problem'!C177,"AAAAAH/z8f0=")</f>
        <v>#VALUE!</v>
      </c>
      <c r="IU51" t="e">
        <f>AND('Large Nonlinear Problem'!D177,"AAAAAH/z8f4=")</f>
        <v>#VALUE!</v>
      </c>
      <c r="IV51" t="e">
        <f>AND('Large Nonlinear Problem'!E177,"AAAAAH/z8f8=")</f>
        <v>#VALUE!</v>
      </c>
    </row>
    <row r="52" spans="1:256">
      <c r="A52" t="e">
        <f>AND('Large Nonlinear Problem'!F177,"AAAAAHTq9wA=")</f>
        <v>#VALUE!</v>
      </c>
      <c r="B52" t="e">
        <f>AND('Large Nonlinear Problem'!G177,"AAAAAHTq9wE=")</f>
        <v>#VALUE!</v>
      </c>
      <c r="C52" t="str">
        <f>IF('Large Nonlinear Problem'!178:178,"AAAAAHTq9wI=",0)</f>
        <v>AAAAAHTq9wI=</v>
      </c>
      <c r="D52" t="e">
        <f>AND('Large Nonlinear Problem'!A178,"AAAAAHTq9wM=")</f>
        <v>#VALUE!</v>
      </c>
      <c r="E52" t="e">
        <f>AND('Large Nonlinear Problem'!B178,"AAAAAHTq9wQ=")</f>
        <v>#VALUE!</v>
      </c>
      <c r="F52" t="e">
        <f>AND('Large Nonlinear Problem'!C178,"AAAAAHTq9wU=")</f>
        <v>#VALUE!</v>
      </c>
      <c r="G52" t="e">
        <f>AND('Large Nonlinear Problem'!D178,"AAAAAHTq9wY=")</f>
        <v>#VALUE!</v>
      </c>
      <c r="H52" t="e">
        <f>AND('Large Nonlinear Problem'!E178,"AAAAAHTq9wc=")</f>
        <v>#VALUE!</v>
      </c>
      <c r="I52" t="e">
        <f>AND('Large Nonlinear Problem'!F178,"AAAAAHTq9wg=")</f>
        <v>#VALUE!</v>
      </c>
      <c r="J52" t="e">
        <f>AND('Large Nonlinear Problem'!G178,"AAAAAHTq9wk=")</f>
        <v>#VALUE!</v>
      </c>
      <c r="K52">
        <f>IF('Large Nonlinear Problem'!179:179,"AAAAAHTq9wo=",0)</f>
        <v>0</v>
      </c>
      <c r="L52" t="e">
        <f>AND('Large Nonlinear Problem'!A179,"AAAAAHTq9ws=")</f>
        <v>#VALUE!</v>
      </c>
      <c r="M52" t="e">
        <f>AND('Large Nonlinear Problem'!B179,"AAAAAHTq9ww=")</f>
        <v>#VALUE!</v>
      </c>
      <c r="N52" t="e">
        <f>AND('Large Nonlinear Problem'!C179,"AAAAAHTq9w0=")</f>
        <v>#VALUE!</v>
      </c>
      <c r="O52" t="e">
        <f>AND('Large Nonlinear Problem'!D179,"AAAAAHTq9w4=")</f>
        <v>#VALUE!</v>
      </c>
      <c r="P52" t="e">
        <f>AND('Large Nonlinear Problem'!E179,"AAAAAHTq9w8=")</f>
        <v>#VALUE!</v>
      </c>
      <c r="Q52" t="e">
        <f>AND('Large Nonlinear Problem'!F179,"AAAAAHTq9xA=")</f>
        <v>#VALUE!</v>
      </c>
      <c r="R52" t="e">
        <f>AND('Large Nonlinear Problem'!G179,"AAAAAHTq9xE=")</f>
        <v>#VALUE!</v>
      </c>
      <c r="S52">
        <f>IF('Large Nonlinear Problem'!180:180,"AAAAAHTq9xI=",0)</f>
        <v>0</v>
      </c>
      <c r="T52" t="e">
        <f>AND('Large Nonlinear Problem'!A180,"AAAAAHTq9xM=")</f>
        <v>#VALUE!</v>
      </c>
      <c r="U52" t="e">
        <f>AND('Large Nonlinear Problem'!B180,"AAAAAHTq9xQ=")</f>
        <v>#VALUE!</v>
      </c>
      <c r="V52" t="e">
        <f>AND('Large Nonlinear Problem'!C180,"AAAAAHTq9xU=")</f>
        <v>#VALUE!</v>
      </c>
      <c r="W52" t="e">
        <f>AND('Large Nonlinear Problem'!D180,"AAAAAHTq9xY=")</f>
        <v>#VALUE!</v>
      </c>
      <c r="X52" t="e">
        <f>AND('Large Nonlinear Problem'!E180,"AAAAAHTq9xc=")</f>
        <v>#VALUE!</v>
      </c>
      <c r="Y52" t="e">
        <f>AND('Large Nonlinear Problem'!F180,"AAAAAHTq9xg=")</f>
        <v>#VALUE!</v>
      </c>
      <c r="Z52" t="e">
        <f>AND('Large Nonlinear Problem'!G180,"AAAAAHTq9xk=")</f>
        <v>#VALUE!</v>
      </c>
      <c r="AA52">
        <f>IF('Large Nonlinear Problem'!181:181,"AAAAAHTq9xo=",0)</f>
        <v>0</v>
      </c>
      <c r="AB52" t="e">
        <f>AND('Large Nonlinear Problem'!A181,"AAAAAHTq9xs=")</f>
        <v>#VALUE!</v>
      </c>
      <c r="AC52" t="e">
        <f>AND('Large Nonlinear Problem'!B181,"AAAAAHTq9xw=")</f>
        <v>#VALUE!</v>
      </c>
      <c r="AD52" t="e">
        <f>AND('Large Nonlinear Problem'!C181,"AAAAAHTq9x0=")</f>
        <v>#VALUE!</v>
      </c>
      <c r="AE52" t="e">
        <f>AND('Large Nonlinear Problem'!D181,"AAAAAHTq9x4=")</f>
        <v>#VALUE!</v>
      </c>
      <c r="AF52" t="e">
        <f>AND('Large Nonlinear Problem'!E181,"AAAAAHTq9x8=")</f>
        <v>#VALUE!</v>
      </c>
      <c r="AG52" t="e">
        <f>AND('Large Nonlinear Problem'!F181,"AAAAAHTq9yA=")</f>
        <v>#VALUE!</v>
      </c>
      <c r="AH52" t="e">
        <f>AND('Large Nonlinear Problem'!G181,"AAAAAHTq9yE=")</f>
        <v>#VALUE!</v>
      </c>
      <c r="AI52">
        <f>IF('Large Nonlinear Problem'!182:182,"AAAAAHTq9yI=",0)</f>
        <v>0</v>
      </c>
      <c r="AJ52" t="e">
        <f>AND('Large Nonlinear Problem'!A182,"AAAAAHTq9yM=")</f>
        <v>#VALUE!</v>
      </c>
      <c r="AK52" t="e">
        <f>AND('Large Nonlinear Problem'!B182,"AAAAAHTq9yQ=")</f>
        <v>#VALUE!</v>
      </c>
      <c r="AL52" t="e">
        <f>AND('Large Nonlinear Problem'!C182,"AAAAAHTq9yU=")</f>
        <v>#VALUE!</v>
      </c>
      <c r="AM52" t="e">
        <f>AND('Large Nonlinear Problem'!D182,"AAAAAHTq9yY=")</f>
        <v>#VALUE!</v>
      </c>
      <c r="AN52" t="e">
        <f>AND('Large Nonlinear Problem'!E182,"AAAAAHTq9yc=")</f>
        <v>#VALUE!</v>
      </c>
      <c r="AO52" t="e">
        <f>AND('Large Nonlinear Problem'!F182,"AAAAAHTq9yg=")</f>
        <v>#VALUE!</v>
      </c>
      <c r="AP52" t="e">
        <f>AND('Large Nonlinear Problem'!G182,"AAAAAHTq9yk=")</f>
        <v>#VALUE!</v>
      </c>
      <c r="AQ52">
        <f>IF('Large Nonlinear Problem'!183:183,"AAAAAHTq9yo=",0)</f>
        <v>0</v>
      </c>
      <c r="AR52" t="e">
        <f>AND('Large Nonlinear Problem'!A183,"AAAAAHTq9ys=")</f>
        <v>#VALUE!</v>
      </c>
      <c r="AS52" t="e">
        <f>AND('Large Nonlinear Problem'!B183,"AAAAAHTq9yw=")</f>
        <v>#VALUE!</v>
      </c>
      <c r="AT52" t="e">
        <f>AND('Large Nonlinear Problem'!C183,"AAAAAHTq9y0=")</f>
        <v>#VALUE!</v>
      </c>
      <c r="AU52" t="e">
        <f>AND('Large Nonlinear Problem'!D183,"AAAAAHTq9y4=")</f>
        <v>#VALUE!</v>
      </c>
      <c r="AV52" t="e">
        <f>AND('Large Nonlinear Problem'!E183,"AAAAAHTq9y8=")</f>
        <v>#VALUE!</v>
      </c>
      <c r="AW52" t="e">
        <f>AND('Large Nonlinear Problem'!F183,"AAAAAHTq9zA=")</f>
        <v>#VALUE!</v>
      </c>
      <c r="AX52" t="e">
        <f>AND('Large Nonlinear Problem'!G183,"AAAAAHTq9zE=")</f>
        <v>#VALUE!</v>
      </c>
      <c r="AY52">
        <f>IF('Large Nonlinear Problem'!184:184,"AAAAAHTq9zI=",0)</f>
        <v>0</v>
      </c>
      <c r="AZ52" t="e">
        <f>AND('Large Nonlinear Problem'!A184,"AAAAAHTq9zM=")</f>
        <v>#VALUE!</v>
      </c>
      <c r="BA52" t="e">
        <f>AND('Large Nonlinear Problem'!B184,"AAAAAHTq9zQ=")</f>
        <v>#VALUE!</v>
      </c>
      <c r="BB52" t="e">
        <f>AND('Large Nonlinear Problem'!C184,"AAAAAHTq9zU=")</f>
        <v>#VALUE!</v>
      </c>
      <c r="BC52" t="e">
        <f>AND('Large Nonlinear Problem'!D184,"AAAAAHTq9zY=")</f>
        <v>#VALUE!</v>
      </c>
      <c r="BD52" t="e">
        <f>AND('Large Nonlinear Problem'!E184,"AAAAAHTq9zc=")</f>
        <v>#VALUE!</v>
      </c>
      <c r="BE52" t="e">
        <f>AND('Large Nonlinear Problem'!F184,"AAAAAHTq9zg=")</f>
        <v>#VALUE!</v>
      </c>
      <c r="BF52" t="e">
        <f>AND('Large Nonlinear Problem'!G184,"AAAAAHTq9zk=")</f>
        <v>#VALUE!</v>
      </c>
      <c r="BG52">
        <f>IF('Large Nonlinear Problem'!185:185,"AAAAAHTq9zo=",0)</f>
        <v>0</v>
      </c>
      <c r="BH52" t="e">
        <f>AND('Large Nonlinear Problem'!A185,"AAAAAHTq9zs=")</f>
        <v>#VALUE!</v>
      </c>
      <c r="BI52" t="e">
        <f>AND('Large Nonlinear Problem'!B185,"AAAAAHTq9zw=")</f>
        <v>#VALUE!</v>
      </c>
      <c r="BJ52" t="e">
        <f>AND('Large Nonlinear Problem'!C185,"AAAAAHTq9z0=")</f>
        <v>#VALUE!</v>
      </c>
      <c r="BK52" t="e">
        <f>AND('Large Nonlinear Problem'!D185,"AAAAAHTq9z4=")</f>
        <v>#VALUE!</v>
      </c>
      <c r="BL52" t="e">
        <f>AND('Large Nonlinear Problem'!E185,"AAAAAHTq9z8=")</f>
        <v>#VALUE!</v>
      </c>
      <c r="BM52" t="e">
        <f>AND('Large Nonlinear Problem'!F185,"AAAAAHTq90A=")</f>
        <v>#VALUE!</v>
      </c>
      <c r="BN52" t="e">
        <f>AND('Large Nonlinear Problem'!G185,"AAAAAHTq90E=")</f>
        <v>#VALUE!</v>
      </c>
      <c r="BO52">
        <f>IF('Large Nonlinear Problem'!186:186,"AAAAAHTq90I=",0)</f>
        <v>0</v>
      </c>
      <c r="BP52" t="e">
        <f>AND('Large Nonlinear Problem'!A186,"AAAAAHTq90M=")</f>
        <v>#VALUE!</v>
      </c>
      <c r="BQ52" t="e">
        <f>AND('Large Nonlinear Problem'!B186,"AAAAAHTq90Q=")</f>
        <v>#VALUE!</v>
      </c>
      <c r="BR52" t="e">
        <f>AND('Large Nonlinear Problem'!C186,"AAAAAHTq90U=")</f>
        <v>#VALUE!</v>
      </c>
      <c r="BS52" t="e">
        <f>AND('Large Nonlinear Problem'!D186,"AAAAAHTq90Y=")</f>
        <v>#VALUE!</v>
      </c>
      <c r="BT52" t="e">
        <f>AND('Large Nonlinear Problem'!E186,"AAAAAHTq90c=")</f>
        <v>#VALUE!</v>
      </c>
      <c r="BU52" t="e">
        <f>AND('Large Nonlinear Problem'!F186,"AAAAAHTq90g=")</f>
        <v>#VALUE!</v>
      </c>
      <c r="BV52" t="e">
        <f>AND('Large Nonlinear Problem'!G186,"AAAAAHTq90k=")</f>
        <v>#VALUE!</v>
      </c>
      <c r="BW52">
        <f>IF('Large Nonlinear Problem'!187:187,"AAAAAHTq90o=",0)</f>
        <v>0</v>
      </c>
      <c r="BX52" t="e">
        <f>AND('Large Nonlinear Problem'!A187,"AAAAAHTq90s=")</f>
        <v>#VALUE!</v>
      </c>
      <c r="BY52" t="e">
        <f>AND('Large Nonlinear Problem'!B187,"AAAAAHTq90w=")</f>
        <v>#VALUE!</v>
      </c>
      <c r="BZ52" t="e">
        <f>AND('Large Nonlinear Problem'!C187,"AAAAAHTq900=")</f>
        <v>#VALUE!</v>
      </c>
      <c r="CA52" t="e">
        <f>AND('Large Nonlinear Problem'!D187,"AAAAAHTq904=")</f>
        <v>#VALUE!</v>
      </c>
      <c r="CB52" t="e">
        <f>AND('Large Nonlinear Problem'!E187,"AAAAAHTq908=")</f>
        <v>#VALUE!</v>
      </c>
      <c r="CC52" t="e">
        <f>AND('Large Nonlinear Problem'!F187,"AAAAAHTq91A=")</f>
        <v>#VALUE!</v>
      </c>
      <c r="CD52" t="e">
        <f>AND('Large Nonlinear Problem'!G187,"AAAAAHTq91E=")</f>
        <v>#VALUE!</v>
      </c>
      <c r="CE52">
        <f>IF('Large Nonlinear Problem'!188:188,"AAAAAHTq91I=",0)</f>
        <v>0</v>
      </c>
      <c r="CF52" t="e">
        <f>AND('Large Nonlinear Problem'!A188,"AAAAAHTq91M=")</f>
        <v>#VALUE!</v>
      </c>
      <c r="CG52" t="e">
        <f>AND('Large Nonlinear Problem'!B188,"AAAAAHTq91Q=")</f>
        <v>#VALUE!</v>
      </c>
      <c r="CH52" t="e">
        <f>AND('Large Nonlinear Problem'!C188,"AAAAAHTq91U=")</f>
        <v>#VALUE!</v>
      </c>
      <c r="CI52" t="e">
        <f>AND('Large Nonlinear Problem'!D188,"AAAAAHTq91Y=")</f>
        <v>#VALUE!</v>
      </c>
      <c r="CJ52" t="e">
        <f>AND('Large Nonlinear Problem'!E188,"AAAAAHTq91c=")</f>
        <v>#VALUE!</v>
      </c>
      <c r="CK52" t="e">
        <f>AND('Large Nonlinear Problem'!F188,"AAAAAHTq91g=")</f>
        <v>#VALUE!</v>
      </c>
      <c r="CL52" t="e">
        <f>AND('Large Nonlinear Problem'!G188,"AAAAAHTq91k=")</f>
        <v>#VALUE!</v>
      </c>
      <c r="CM52">
        <f>IF('Large Nonlinear Problem'!189:189,"AAAAAHTq91o=",0)</f>
        <v>0</v>
      </c>
      <c r="CN52" t="e">
        <f>AND('Large Nonlinear Problem'!A189,"AAAAAHTq91s=")</f>
        <v>#VALUE!</v>
      </c>
      <c r="CO52" t="e">
        <f>AND('Large Nonlinear Problem'!B189,"AAAAAHTq91w=")</f>
        <v>#VALUE!</v>
      </c>
      <c r="CP52" t="e">
        <f>AND('Large Nonlinear Problem'!C189,"AAAAAHTq910=")</f>
        <v>#VALUE!</v>
      </c>
      <c r="CQ52" t="e">
        <f>AND('Large Nonlinear Problem'!D189,"AAAAAHTq914=")</f>
        <v>#VALUE!</v>
      </c>
      <c r="CR52" t="e">
        <f>AND('Large Nonlinear Problem'!E189,"AAAAAHTq918=")</f>
        <v>#VALUE!</v>
      </c>
      <c r="CS52" t="e">
        <f>AND('Large Nonlinear Problem'!F189,"AAAAAHTq92A=")</f>
        <v>#VALUE!</v>
      </c>
      <c r="CT52" t="e">
        <f>AND('Large Nonlinear Problem'!G189,"AAAAAHTq92E=")</f>
        <v>#VALUE!</v>
      </c>
      <c r="CU52">
        <f>IF('Large Nonlinear Problem'!190:190,"AAAAAHTq92I=",0)</f>
        <v>0</v>
      </c>
      <c r="CV52" t="e">
        <f>AND('Large Nonlinear Problem'!A190,"AAAAAHTq92M=")</f>
        <v>#VALUE!</v>
      </c>
      <c r="CW52" t="e">
        <f>AND('Large Nonlinear Problem'!B190,"AAAAAHTq92Q=")</f>
        <v>#VALUE!</v>
      </c>
      <c r="CX52" t="e">
        <f>AND('Large Nonlinear Problem'!C190,"AAAAAHTq92U=")</f>
        <v>#VALUE!</v>
      </c>
      <c r="CY52" t="e">
        <f>AND('Large Nonlinear Problem'!D190,"AAAAAHTq92Y=")</f>
        <v>#VALUE!</v>
      </c>
      <c r="CZ52" t="e">
        <f>AND('Large Nonlinear Problem'!E190,"AAAAAHTq92c=")</f>
        <v>#VALUE!</v>
      </c>
      <c r="DA52" t="e">
        <f>AND('Large Nonlinear Problem'!F190,"AAAAAHTq92g=")</f>
        <v>#VALUE!</v>
      </c>
      <c r="DB52" t="e">
        <f>AND('Large Nonlinear Problem'!G190,"AAAAAHTq92k=")</f>
        <v>#VALUE!</v>
      </c>
      <c r="DC52">
        <f>IF('Large Nonlinear Problem'!191:191,"AAAAAHTq92o=",0)</f>
        <v>0</v>
      </c>
      <c r="DD52" t="e">
        <f>AND('Large Nonlinear Problem'!A191,"AAAAAHTq92s=")</f>
        <v>#VALUE!</v>
      </c>
      <c r="DE52" t="e">
        <f>AND('Large Nonlinear Problem'!B191,"AAAAAHTq92w=")</f>
        <v>#VALUE!</v>
      </c>
      <c r="DF52" t="e">
        <f>AND('Large Nonlinear Problem'!C191,"AAAAAHTq920=")</f>
        <v>#VALUE!</v>
      </c>
      <c r="DG52" t="e">
        <f>AND('Large Nonlinear Problem'!D191,"AAAAAHTq924=")</f>
        <v>#VALUE!</v>
      </c>
      <c r="DH52" t="e">
        <f>AND('Large Nonlinear Problem'!E191,"AAAAAHTq928=")</f>
        <v>#VALUE!</v>
      </c>
      <c r="DI52" t="e">
        <f>AND('Large Nonlinear Problem'!F191,"AAAAAHTq93A=")</f>
        <v>#VALUE!</v>
      </c>
      <c r="DJ52" t="e">
        <f>AND('Large Nonlinear Problem'!G191,"AAAAAHTq93E=")</f>
        <v>#VALUE!</v>
      </c>
      <c r="DK52">
        <f>IF('Large Nonlinear Problem'!192:192,"AAAAAHTq93I=",0)</f>
        <v>0</v>
      </c>
      <c r="DL52" t="e">
        <f>AND('Large Nonlinear Problem'!A192,"AAAAAHTq93M=")</f>
        <v>#VALUE!</v>
      </c>
      <c r="DM52" t="e">
        <f>AND('Large Nonlinear Problem'!B192,"AAAAAHTq93Q=")</f>
        <v>#VALUE!</v>
      </c>
      <c r="DN52" t="e">
        <f>AND('Large Nonlinear Problem'!C192,"AAAAAHTq93U=")</f>
        <v>#VALUE!</v>
      </c>
      <c r="DO52" t="e">
        <f>AND('Large Nonlinear Problem'!D192,"AAAAAHTq93Y=")</f>
        <v>#VALUE!</v>
      </c>
      <c r="DP52" t="e">
        <f>AND('Large Nonlinear Problem'!E192,"AAAAAHTq93c=")</f>
        <v>#VALUE!</v>
      </c>
      <c r="DQ52" t="e">
        <f>AND('Large Nonlinear Problem'!F192,"AAAAAHTq93g=")</f>
        <v>#VALUE!</v>
      </c>
      <c r="DR52" t="e">
        <f>AND('Large Nonlinear Problem'!G192,"AAAAAHTq93k=")</f>
        <v>#VALUE!</v>
      </c>
      <c r="DS52">
        <f>IF('Large Nonlinear Problem'!193:193,"AAAAAHTq93o=",0)</f>
        <v>0</v>
      </c>
      <c r="DT52" t="e">
        <f>AND('Large Nonlinear Problem'!A193,"AAAAAHTq93s=")</f>
        <v>#VALUE!</v>
      </c>
      <c r="DU52" t="e">
        <f>AND('Large Nonlinear Problem'!B193,"AAAAAHTq93w=")</f>
        <v>#VALUE!</v>
      </c>
      <c r="DV52" t="e">
        <f>AND('Large Nonlinear Problem'!C193,"AAAAAHTq930=")</f>
        <v>#VALUE!</v>
      </c>
      <c r="DW52" t="e">
        <f>AND('Large Nonlinear Problem'!D193,"AAAAAHTq934=")</f>
        <v>#VALUE!</v>
      </c>
      <c r="DX52" t="e">
        <f>AND('Large Nonlinear Problem'!E193,"AAAAAHTq938=")</f>
        <v>#VALUE!</v>
      </c>
      <c r="DY52" t="e">
        <f>AND('Large Nonlinear Problem'!F193,"AAAAAHTq94A=")</f>
        <v>#VALUE!</v>
      </c>
      <c r="DZ52" t="e">
        <f>AND('Large Nonlinear Problem'!G193,"AAAAAHTq94E=")</f>
        <v>#VALUE!</v>
      </c>
      <c r="EA52">
        <f>IF('Large Nonlinear Problem'!194:194,"AAAAAHTq94I=",0)</f>
        <v>0</v>
      </c>
      <c r="EB52" t="e">
        <f>AND('Large Nonlinear Problem'!A194,"AAAAAHTq94M=")</f>
        <v>#VALUE!</v>
      </c>
      <c r="EC52" t="e">
        <f>AND('Large Nonlinear Problem'!B194,"AAAAAHTq94Q=")</f>
        <v>#VALUE!</v>
      </c>
      <c r="ED52" t="e">
        <f>AND('Large Nonlinear Problem'!C194,"AAAAAHTq94U=")</f>
        <v>#VALUE!</v>
      </c>
      <c r="EE52" t="e">
        <f>AND('Large Nonlinear Problem'!D194,"AAAAAHTq94Y=")</f>
        <v>#VALUE!</v>
      </c>
      <c r="EF52" t="e">
        <f>AND('Large Nonlinear Problem'!E194,"AAAAAHTq94c=")</f>
        <v>#VALUE!</v>
      </c>
      <c r="EG52" t="e">
        <f>AND('Large Nonlinear Problem'!F194,"AAAAAHTq94g=")</f>
        <v>#VALUE!</v>
      </c>
      <c r="EH52" t="e">
        <f>AND('Large Nonlinear Problem'!G194,"AAAAAHTq94k=")</f>
        <v>#VALUE!</v>
      </c>
      <c r="EI52">
        <f>IF('Large Nonlinear Problem'!195:195,"AAAAAHTq94o=",0)</f>
        <v>0</v>
      </c>
      <c r="EJ52" t="e">
        <f>AND('Large Nonlinear Problem'!A195,"AAAAAHTq94s=")</f>
        <v>#VALUE!</v>
      </c>
      <c r="EK52" t="e">
        <f>AND('Large Nonlinear Problem'!B195,"AAAAAHTq94w=")</f>
        <v>#VALUE!</v>
      </c>
      <c r="EL52" t="e">
        <f>AND('Large Nonlinear Problem'!C195,"AAAAAHTq940=")</f>
        <v>#VALUE!</v>
      </c>
      <c r="EM52" t="e">
        <f>AND('Large Nonlinear Problem'!D195,"AAAAAHTq944=")</f>
        <v>#VALUE!</v>
      </c>
      <c r="EN52" t="e">
        <f>AND('Large Nonlinear Problem'!E195,"AAAAAHTq948=")</f>
        <v>#VALUE!</v>
      </c>
      <c r="EO52" t="e">
        <f>AND('Large Nonlinear Problem'!F195,"AAAAAHTq95A=")</f>
        <v>#VALUE!</v>
      </c>
      <c r="EP52" t="e">
        <f>AND('Large Nonlinear Problem'!G195,"AAAAAHTq95E=")</f>
        <v>#VALUE!</v>
      </c>
      <c r="EQ52">
        <f>IF('Large Nonlinear Problem'!196:196,"AAAAAHTq95I=",0)</f>
        <v>0</v>
      </c>
      <c r="ER52" t="e">
        <f>AND('Large Nonlinear Problem'!A196,"AAAAAHTq95M=")</f>
        <v>#VALUE!</v>
      </c>
      <c r="ES52" t="e">
        <f>AND('Large Nonlinear Problem'!B196,"AAAAAHTq95Q=")</f>
        <v>#VALUE!</v>
      </c>
      <c r="ET52" t="e">
        <f>AND('Large Nonlinear Problem'!C196,"AAAAAHTq95U=")</f>
        <v>#VALUE!</v>
      </c>
      <c r="EU52" t="e">
        <f>AND('Large Nonlinear Problem'!D196,"AAAAAHTq95Y=")</f>
        <v>#VALUE!</v>
      </c>
      <c r="EV52" t="e">
        <f>AND('Large Nonlinear Problem'!E196,"AAAAAHTq95c=")</f>
        <v>#VALUE!</v>
      </c>
      <c r="EW52" t="e">
        <f>AND('Large Nonlinear Problem'!F196,"AAAAAHTq95g=")</f>
        <v>#VALUE!</v>
      </c>
      <c r="EX52" t="e">
        <f>AND('Large Nonlinear Problem'!G196,"AAAAAHTq95k=")</f>
        <v>#VALUE!</v>
      </c>
      <c r="EY52">
        <f>IF('Large Nonlinear Problem'!197:197,"AAAAAHTq95o=",0)</f>
        <v>0</v>
      </c>
      <c r="EZ52" t="e">
        <f>AND('Large Nonlinear Problem'!A197,"AAAAAHTq95s=")</f>
        <v>#VALUE!</v>
      </c>
      <c r="FA52" t="e">
        <f>AND('Large Nonlinear Problem'!B197,"AAAAAHTq95w=")</f>
        <v>#VALUE!</v>
      </c>
      <c r="FB52" t="e">
        <f>AND('Large Nonlinear Problem'!C197,"AAAAAHTq950=")</f>
        <v>#VALUE!</v>
      </c>
      <c r="FC52" t="e">
        <f>AND('Large Nonlinear Problem'!D197,"AAAAAHTq954=")</f>
        <v>#VALUE!</v>
      </c>
      <c r="FD52" t="e">
        <f>AND('Large Nonlinear Problem'!E197,"AAAAAHTq958=")</f>
        <v>#VALUE!</v>
      </c>
      <c r="FE52" t="e">
        <f>AND('Large Nonlinear Problem'!F197,"AAAAAHTq96A=")</f>
        <v>#VALUE!</v>
      </c>
      <c r="FF52" t="e">
        <f>AND('Large Nonlinear Problem'!G197,"AAAAAHTq96E=")</f>
        <v>#VALUE!</v>
      </c>
      <c r="FG52">
        <f>IF('Large Nonlinear Problem'!198:198,"AAAAAHTq96I=",0)</f>
        <v>0</v>
      </c>
      <c r="FH52" t="e">
        <f>AND('Large Nonlinear Problem'!A198,"AAAAAHTq96M=")</f>
        <v>#VALUE!</v>
      </c>
      <c r="FI52" t="e">
        <f>AND('Large Nonlinear Problem'!B198,"AAAAAHTq96Q=")</f>
        <v>#VALUE!</v>
      </c>
      <c r="FJ52" t="e">
        <f>AND('Large Nonlinear Problem'!C198,"AAAAAHTq96U=")</f>
        <v>#VALUE!</v>
      </c>
      <c r="FK52" t="e">
        <f>AND('Large Nonlinear Problem'!D198,"AAAAAHTq96Y=")</f>
        <v>#VALUE!</v>
      </c>
      <c r="FL52" t="e">
        <f>AND('Large Nonlinear Problem'!E198,"AAAAAHTq96c=")</f>
        <v>#VALUE!</v>
      </c>
      <c r="FM52" t="e">
        <f>AND('Large Nonlinear Problem'!F198,"AAAAAHTq96g=")</f>
        <v>#VALUE!</v>
      </c>
      <c r="FN52" t="e">
        <f>AND('Large Nonlinear Problem'!G198,"AAAAAHTq96k=")</f>
        <v>#VALUE!</v>
      </c>
      <c r="FO52">
        <f>IF('Large Nonlinear Problem'!199:199,"AAAAAHTq96o=",0)</f>
        <v>0</v>
      </c>
      <c r="FP52" t="e">
        <f>AND('Large Nonlinear Problem'!A199,"AAAAAHTq96s=")</f>
        <v>#VALUE!</v>
      </c>
      <c r="FQ52" t="e">
        <f>AND('Large Nonlinear Problem'!B199,"AAAAAHTq96w=")</f>
        <v>#VALUE!</v>
      </c>
      <c r="FR52" t="e">
        <f>AND('Large Nonlinear Problem'!C199,"AAAAAHTq960=")</f>
        <v>#VALUE!</v>
      </c>
      <c r="FS52" t="e">
        <f>AND('Large Nonlinear Problem'!D199,"AAAAAHTq964=")</f>
        <v>#VALUE!</v>
      </c>
      <c r="FT52" t="e">
        <f>AND('Large Nonlinear Problem'!E199,"AAAAAHTq968=")</f>
        <v>#VALUE!</v>
      </c>
      <c r="FU52" t="e">
        <f>AND('Large Nonlinear Problem'!F199,"AAAAAHTq97A=")</f>
        <v>#VALUE!</v>
      </c>
      <c r="FV52" t="e">
        <f>AND('Large Nonlinear Problem'!G199,"AAAAAHTq97E=")</f>
        <v>#VALUE!</v>
      </c>
      <c r="FW52">
        <f>IF('Large Nonlinear Problem'!200:200,"AAAAAHTq97I=",0)</f>
        <v>0</v>
      </c>
      <c r="FX52" t="e">
        <f>AND('Large Nonlinear Problem'!A200,"AAAAAHTq97M=")</f>
        <v>#VALUE!</v>
      </c>
      <c r="FY52" t="e">
        <f>AND('Large Nonlinear Problem'!B200,"AAAAAHTq97Q=")</f>
        <v>#VALUE!</v>
      </c>
      <c r="FZ52" t="e">
        <f>AND('Large Nonlinear Problem'!C200,"AAAAAHTq97U=")</f>
        <v>#VALUE!</v>
      </c>
      <c r="GA52" t="e">
        <f>AND('Large Nonlinear Problem'!D200,"AAAAAHTq97Y=")</f>
        <v>#VALUE!</v>
      </c>
      <c r="GB52" t="e">
        <f>AND('Large Nonlinear Problem'!E200,"AAAAAHTq97c=")</f>
        <v>#VALUE!</v>
      </c>
      <c r="GC52" t="e">
        <f>AND('Large Nonlinear Problem'!F200,"AAAAAHTq97g=")</f>
        <v>#VALUE!</v>
      </c>
      <c r="GD52" t="e">
        <f>AND('Large Nonlinear Problem'!G200,"AAAAAHTq97k=")</f>
        <v>#VALUE!</v>
      </c>
      <c r="GE52">
        <f>IF('Large Nonlinear Problem'!201:201,"AAAAAHTq97o=",0)</f>
        <v>0</v>
      </c>
      <c r="GF52" t="e">
        <f>AND('Large Nonlinear Problem'!A201,"AAAAAHTq97s=")</f>
        <v>#VALUE!</v>
      </c>
      <c r="GG52" t="e">
        <f>AND('Large Nonlinear Problem'!B201,"AAAAAHTq97w=")</f>
        <v>#VALUE!</v>
      </c>
      <c r="GH52" t="e">
        <f>AND('Large Nonlinear Problem'!C201,"AAAAAHTq970=")</f>
        <v>#VALUE!</v>
      </c>
      <c r="GI52" t="e">
        <f>AND('Large Nonlinear Problem'!D201,"AAAAAHTq974=")</f>
        <v>#VALUE!</v>
      </c>
      <c r="GJ52" t="e">
        <f>AND('Large Nonlinear Problem'!E201,"AAAAAHTq978=")</f>
        <v>#VALUE!</v>
      </c>
      <c r="GK52" t="e">
        <f>AND('Large Nonlinear Problem'!F201,"AAAAAHTq98A=")</f>
        <v>#VALUE!</v>
      </c>
      <c r="GL52" t="e">
        <f>AND('Large Nonlinear Problem'!G201,"AAAAAHTq98E=")</f>
        <v>#VALUE!</v>
      </c>
      <c r="GM52">
        <f>IF('Large Nonlinear Problem'!202:202,"AAAAAHTq98I=",0)</f>
        <v>0</v>
      </c>
      <c r="GN52" t="e">
        <f>AND('Large Nonlinear Problem'!A202,"AAAAAHTq98M=")</f>
        <v>#VALUE!</v>
      </c>
      <c r="GO52" t="e">
        <f>AND('Large Nonlinear Problem'!B202,"AAAAAHTq98Q=")</f>
        <v>#VALUE!</v>
      </c>
      <c r="GP52" t="e">
        <f>AND('Large Nonlinear Problem'!C202,"AAAAAHTq98U=")</f>
        <v>#VALUE!</v>
      </c>
      <c r="GQ52" t="e">
        <f>AND('Large Nonlinear Problem'!D202,"AAAAAHTq98Y=")</f>
        <v>#VALUE!</v>
      </c>
      <c r="GR52" t="e">
        <f>AND('Large Nonlinear Problem'!E202,"AAAAAHTq98c=")</f>
        <v>#VALUE!</v>
      </c>
      <c r="GS52" t="e">
        <f>AND('Large Nonlinear Problem'!F202,"AAAAAHTq98g=")</f>
        <v>#VALUE!</v>
      </c>
      <c r="GT52" t="e">
        <f>AND('Large Nonlinear Problem'!G202,"AAAAAHTq98k=")</f>
        <v>#VALUE!</v>
      </c>
      <c r="GU52">
        <f>IF('Large Nonlinear Problem'!203:203,"AAAAAHTq98o=",0)</f>
        <v>0</v>
      </c>
      <c r="GV52" t="e">
        <f>AND('Large Nonlinear Problem'!A203,"AAAAAHTq98s=")</f>
        <v>#VALUE!</v>
      </c>
      <c r="GW52" t="e">
        <f>AND('Large Nonlinear Problem'!B203,"AAAAAHTq98w=")</f>
        <v>#VALUE!</v>
      </c>
      <c r="GX52" t="e">
        <f>AND('Large Nonlinear Problem'!C203,"AAAAAHTq980=")</f>
        <v>#VALUE!</v>
      </c>
      <c r="GY52" t="e">
        <f>AND('Large Nonlinear Problem'!D203,"AAAAAHTq984=")</f>
        <v>#VALUE!</v>
      </c>
      <c r="GZ52" t="e">
        <f>AND('Large Nonlinear Problem'!E203,"AAAAAHTq988=")</f>
        <v>#VALUE!</v>
      </c>
      <c r="HA52" t="e">
        <f>AND('Large Nonlinear Problem'!F203,"AAAAAHTq99A=")</f>
        <v>#VALUE!</v>
      </c>
      <c r="HB52" t="e">
        <f>AND('Large Nonlinear Problem'!G203,"AAAAAHTq99E=")</f>
        <v>#VALUE!</v>
      </c>
      <c r="HC52">
        <f>IF('Large Nonlinear Problem'!204:204,"AAAAAHTq99I=",0)</f>
        <v>0</v>
      </c>
      <c r="HD52" t="e">
        <f>AND('Large Nonlinear Problem'!A204,"AAAAAHTq99M=")</f>
        <v>#VALUE!</v>
      </c>
      <c r="HE52" t="e">
        <f>AND('Large Nonlinear Problem'!B204,"AAAAAHTq99Q=")</f>
        <v>#VALUE!</v>
      </c>
      <c r="HF52" t="e">
        <f>AND('Large Nonlinear Problem'!C204,"AAAAAHTq99U=")</f>
        <v>#VALUE!</v>
      </c>
      <c r="HG52" t="e">
        <f>AND('Large Nonlinear Problem'!D204,"AAAAAHTq99Y=")</f>
        <v>#VALUE!</v>
      </c>
      <c r="HH52" t="e">
        <f>AND('Large Nonlinear Problem'!E204,"AAAAAHTq99c=")</f>
        <v>#VALUE!</v>
      </c>
      <c r="HI52" t="e">
        <f>AND('Large Nonlinear Problem'!F204,"AAAAAHTq99g=")</f>
        <v>#VALUE!</v>
      </c>
      <c r="HJ52" t="e">
        <f>AND('Large Nonlinear Problem'!G204,"AAAAAHTq99k=")</f>
        <v>#VALUE!</v>
      </c>
      <c r="HK52">
        <f>IF('Large Nonlinear Problem'!205:205,"AAAAAHTq99o=",0)</f>
        <v>0</v>
      </c>
      <c r="HL52" t="e">
        <f>AND('Large Nonlinear Problem'!A205,"AAAAAHTq99s=")</f>
        <v>#VALUE!</v>
      </c>
      <c r="HM52" t="e">
        <f>AND('Large Nonlinear Problem'!B205,"AAAAAHTq99w=")</f>
        <v>#VALUE!</v>
      </c>
      <c r="HN52" t="e">
        <f>AND('Large Nonlinear Problem'!C205,"AAAAAHTq990=")</f>
        <v>#VALUE!</v>
      </c>
      <c r="HO52" t="e">
        <f>AND('Large Nonlinear Problem'!D205,"AAAAAHTq994=")</f>
        <v>#VALUE!</v>
      </c>
      <c r="HP52" t="e">
        <f>AND('Large Nonlinear Problem'!E205,"AAAAAHTq998=")</f>
        <v>#VALUE!</v>
      </c>
      <c r="HQ52" t="e">
        <f>AND('Large Nonlinear Problem'!F205,"AAAAAHTq9+A=")</f>
        <v>#VALUE!</v>
      </c>
      <c r="HR52" t="e">
        <f>AND('Large Nonlinear Problem'!G205,"AAAAAHTq9+E=")</f>
        <v>#VALUE!</v>
      </c>
      <c r="HS52">
        <f>IF('Large Nonlinear Problem'!206:206,"AAAAAHTq9+I=",0)</f>
        <v>0</v>
      </c>
      <c r="HT52" t="e">
        <f>AND('Large Nonlinear Problem'!A206,"AAAAAHTq9+M=")</f>
        <v>#VALUE!</v>
      </c>
      <c r="HU52" t="e">
        <f>AND('Large Nonlinear Problem'!B206,"AAAAAHTq9+Q=")</f>
        <v>#VALUE!</v>
      </c>
      <c r="HV52" t="e">
        <f>AND('Large Nonlinear Problem'!C206,"AAAAAHTq9+U=")</f>
        <v>#VALUE!</v>
      </c>
      <c r="HW52" t="e">
        <f>AND('Large Nonlinear Problem'!D206,"AAAAAHTq9+Y=")</f>
        <v>#VALUE!</v>
      </c>
      <c r="HX52" t="e">
        <f>AND('Large Nonlinear Problem'!E206,"AAAAAHTq9+c=")</f>
        <v>#VALUE!</v>
      </c>
      <c r="HY52" t="e">
        <f>AND('Large Nonlinear Problem'!F206,"AAAAAHTq9+g=")</f>
        <v>#VALUE!</v>
      </c>
      <c r="HZ52" t="e">
        <f>AND('Large Nonlinear Problem'!G206,"AAAAAHTq9+k=")</f>
        <v>#VALUE!</v>
      </c>
      <c r="IA52">
        <f>IF('Large Nonlinear Problem'!207:207,"AAAAAHTq9+o=",0)</f>
        <v>0</v>
      </c>
      <c r="IB52" t="e">
        <f>AND('Large Nonlinear Problem'!A207,"AAAAAHTq9+s=")</f>
        <v>#VALUE!</v>
      </c>
      <c r="IC52" t="e">
        <f>AND('Large Nonlinear Problem'!B207,"AAAAAHTq9+w=")</f>
        <v>#VALUE!</v>
      </c>
      <c r="ID52" t="e">
        <f>AND('Large Nonlinear Problem'!C207,"AAAAAHTq9+0=")</f>
        <v>#VALUE!</v>
      </c>
      <c r="IE52" t="e">
        <f>AND('Large Nonlinear Problem'!D207,"AAAAAHTq9+4=")</f>
        <v>#VALUE!</v>
      </c>
      <c r="IF52" t="e">
        <f>AND('Large Nonlinear Problem'!E207,"AAAAAHTq9+8=")</f>
        <v>#VALUE!</v>
      </c>
      <c r="IG52" t="e">
        <f>AND('Large Nonlinear Problem'!F207,"AAAAAHTq9/A=")</f>
        <v>#VALUE!</v>
      </c>
      <c r="IH52" t="e">
        <f>AND('Large Nonlinear Problem'!G207,"AAAAAHTq9/E=")</f>
        <v>#VALUE!</v>
      </c>
      <c r="II52">
        <f>IF('Large Nonlinear Problem'!208:208,"AAAAAHTq9/I=",0)</f>
        <v>0</v>
      </c>
      <c r="IJ52" t="e">
        <f>AND('Large Nonlinear Problem'!A208,"AAAAAHTq9/M=")</f>
        <v>#VALUE!</v>
      </c>
      <c r="IK52" t="e">
        <f>AND('Large Nonlinear Problem'!B208,"AAAAAHTq9/Q=")</f>
        <v>#VALUE!</v>
      </c>
      <c r="IL52" t="e">
        <f>AND('Large Nonlinear Problem'!C208,"AAAAAHTq9/U=")</f>
        <v>#VALUE!</v>
      </c>
      <c r="IM52" t="e">
        <f>AND('Large Nonlinear Problem'!D208,"AAAAAHTq9/Y=")</f>
        <v>#VALUE!</v>
      </c>
      <c r="IN52" t="e">
        <f>AND('Large Nonlinear Problem'!E208,"AAAAAHTq9/c=")</f>
        <v>#VALUE!</v>
      </c>
      <c r="IO52" t="e">
        <f>AND('Large Nonlinear Problem'!F208,"AAAAAHTq9/g=")</f>
        <v>#VALUE!</v>
      </c>
      <c r="IP52" t="e">
        <f>AND('Large Nonlinear Problem'!G208,"AAAAAHTq9/k=")</f>
        <v>#VALUE!</v>
      </c>
      <c r="IQ52">
        <f>IF('Large Nonlinear Problem'!209:209,"AAAAAHTq9/o=",0)</f>
        <v>0</v>
      </c>
      <c r="IR52" t="e">
        <f>AND('Large Nonlinear Problem'!A209,"AAAAAHTq9/s=")</f>
        <v>#VALUE!</v>
      </c>
      <c r="IS52" t="e">
        <f>AND('Large Nonlinear Problem'!B209,"AAAAAHTq9/w=")</f>
        <v>#VALUE!</v>
      </c>
      <c r="IT52" t="e">
        <f>AND('Large Nonlinear Problem'!C209,"AAAAAHTq9/0=")</f>
        <v>#VALUE!</v>
      </c>
      <c r="IU52" t="e">
        <f>AND('Large Nonlinear Problem'!D209,"AAAAAHTq9/4=")</f>
        <v>#VALUE!</v>
      </c>
      <c r="IV52" t="e">
        <f>AND('Large Nonlinear Problem'!E209,"AAAAAHTq9/8=")</f>
        <v>#VALUE!</v>
      </c>
    </row>
    <row r="53" spans="1:256">
      <c r="A53" t="e">
        <f>AND('Large Nonlinear Problem'!F209,"AAAAAHP8rwA=")</f>
        <v>#VALUE!</v>
      </c>
      <c r="B53" t="e">
        <f>AND('Large Nonlinear Problem'!G209,"AAAAAHP8rwE=")</f>
        <v>#VALUE!</v>
      </c>
      <c r="C53" t="str">
        <f>IF('Large Nonlinear Problem'!210:210,"AAAAAHP8rwI=",0)</f>
        <v>AAAAAHP8rwI=</v>
      </c>
      <c r="D53" t="e">
        <f>AND('Large Nonlinear Problem'!A210,"AAAAAHP8rwM=")</f>
        <v>#VALUE!</v>
      </c>
      <c r="E53" t="e">
        <f>AND('Large Nonlinear Problem'!B210,"AAAAAHP8rwQ=")</f>
        <v>#VALUE!</v>
      </c>
      <c r="F53" t="e">
        <f>AND('Large Nonlinear Problem'!C210,"AAAAAHP8rwU=")</f>
        <v>#VALUE!</v>
      </c>
      <c r="G53" t="e">
        <f>AND('Large Nonlinear Problem'!D210,"AAAAAHP8rwY=")</f>
        <v>#VALUE!</v>
      </c>
      <c r="H53" t="e">
        <f>AND('Large Nonlinear Problem'!E210,"AAAAAHP8rwc=")</f>
        <v>#VALUE!</v>
      </c>
      <c r="I53" t="e">
        <f>AND('Large Nonlinear Problem'!F210,"AAAAAHP8rwg=")</f>
        <v>#VALUE!</v>
      </c>
      <c r="J53" t="e">
        <f>AND('Large Nonlinear Problem'!G210,"AAAAAHP8rwk=")</f>
        <v>#VALUE!</v>
      </c>
      <c r="K53">
        <f>IF('Large Nonlinear Problem'!211:211,"AAAAAHP8rwo=",0)</f>
        <v>0</v>
      </c>
      <c r="L53" t="e">
        <f>AND('Large Nonlinear Problem'!A211,"AAAAAHP8rws=")</f>
        <v>#VALUE!</v>
      </c>
      <c r="M53" t="e">
        <f>AND('Large Nonlinear Problem'!B211,"AAAAAHP8rww=")</f>
        <v>#VALUE!</v>
      </c>
      <c r="N53" t="e">
        <f>AND('Large Nonlinear Problem'!C211,"AAAAAHP8rw0=")</f>
        <v>#VALUE!</v>
      </c>
      <c r="O53" t="e">
        <f>AND('Large Nonlinear Problem'!D211,"AAAAAHP8rw4=")</f>
        <v>#VALUE!</v>
      </c>
      <c r="P53" t="e">
        <f>AND('Large Nonlinear Problem'!E211,"AAAAAHP8rw8=")</f>
        <v>#VALUE!</v>
      </c>
      <c r="Q53" t="e">
        <f>AND('Large Nonlinear Problem'!F211,"AAAAAHP8rxA=")</f>
        <v>#VALUE!</v>
      </c>
      <c r="R53" t="e">
        <f>AND('Large Nonlinear Problem'!G211,"AAAAAHP8rxE=")</f>
        <v>#VALUE!</v>
      </c>
      <c r="S53">
        <f>IF('Large Nonlinear Problem'!212:212,"AAAAAHP8rxI=",0)</f>
        <v>0</v>
      </c>
      <c r="T53" t="e">
        <f>AND('Large Nonlinear Problem'!A212,"AAAAAHP8rxM=")</f>
        <v>#VALUE!</v>
      </c>
      <c r="U53" t="e">
        <f>AND('Large Nonlinear Problem'!B212,"AAAAAHP8rxQ=")</f>
        <v>#VALUE!</v>
      </c>
      <c r="V53" t="e">
        <f>AND('Large Nonlinear Problem'!C212,"AAAAAHP8rxU=")</f>
        <v>#VALUE!</v>
      </c>
      <c r="W53" t="e">
        <f>AND('Large Nonlinear Problem'!D212,"AAAAAHP8rxY=")</f>
        <v>#VALUE!</v>
      </c>
      <c r="X53" t="e">
        <f>AND('Large Nonlinear Problem'!E212,"AAAAAHP8rxc=")</f>
        <v>#VALUE!</v>
      </c>
      <c r="Y53" t="e">
        <f>AND('Large Nonlinear Problem'!F212,"AAAAAHP8rxg=")</f>
        <v>#VALUE!</v>
      </c>
      <c r="Z53" t="e">
        <f>AND('Large Nonlinear Problem'!G212,"AAAAAHP8rxk=")</f>
        <v>#VALUE!</v>
      </c>
      <c r="AA53">
        <f>IF('Large Nonlinear Problem'!213:213,"AAAAAHP8rxo=",0)</f>
        <v>0</v>
      </c>
      <c r="AB53" t="e">
        <f>AND('Large Nonlinear Problem'!A213,"AAAAAHP8rxs=")</f>
        <v>#VALUE!</v>
      </c>
      <c r="AC53" t="e">
        <f>AND('Large Nonlinear Problem'!B213,"AAAAAHP8rxw=")</f>
        <v>#VALUE!</v>
      </c>
      <c r="AD53" t="e">
        <f>AND('Large Nonlinear Problem'!C213,"AAAAAHP8rx0=")</f>
        <v>#VALUE!</v>
      </c>
      <c r="AE53" t="e">
        <f>AND('Large Nonlinear Problem'!D213,"AAAAAHP8rx4=")</f>
        <v>#VALUE!</v>
      </c>
      <c r="AF53" t="e">
        <f>AND('Large Nonlinear Problem'!E213,"AAAAAHP8rx8=")</f>
        <v>#VALUE!</v>
      </c>
      <c r="AG53" t="e">
        <f>AND('Large Nonlinear Problem'!F213,"AAAAAHP8ryA=")</f>
        <v>#VALUE!</v>
      </c>
      <c r="AH53" t="e">
        <f>AND('Large Nonlinear Problem'!G213,"AAAAAHP8ryE=")</f>
        <v>#VALUE!</v>
      </c>
      <c r="AI53">
        <f>IF('Large Nonlinear Problem'!214:214,"AAAAAHP8ryI=",0)</f>
        <v>0</v>
      </c>
      <c r="AJ53" t="e">
        <f>AND('Large Nonlinear Problem'!A214,"AAAAAHP8ryM=")</f>
        <v>#VALUE!</v>
      </c>
      <c r="AK53" t="e">
        <f>AND('Large Nonlinear Problem'!B214,"AAAAAHP8ryQ=")</f>
        <v>#VALUE!</v>
      </c>
      <c r="AL53" t="e">
        <f>AND('Large Nonlinear Problem'!C214,"AAAAAHP8ryU=")</f>
        <v>#VALUE!</v>
      </c>
      <c r="AM53" t="e">
        <f>AND('Large Nonlinear Problem'!D214,"AAAAAHP8ryY=")</f>
        <v>#VALUE!</v>
      </c>
      <c r="AN53" t="e">
        <f>AND('Large Nonlinear Problem'!E214,"AAAAAHP8ryc=")</f>
        <v>#VALUE!</v>
      </c>
      <c r="AO53" t="e">
        <f>AND('Large Nonlinear Problem'!F214,"AAAAAHP8ryg=")</f>
        <v>#VALUE!</v>
      </c>
      <c r="AP53" t="e">
        <f>AND('Large Nonlinear Problem'!G214,"AAAAAHP8ryk=")</f>
        <v>#VALUE!</v>
      </c>
      <c r="AQ53">
        <f>IF('Large Nonlinear Problem'!215:215,"AAAAAHP8ryo=",0)</f>
        <v>0</v>
      </c>
      <c r="AR53" t="e">
        <f>AND('Large Nonlinear Problem'!A215,"AAAAAHP8rys=")</f>
        <v>#VALUE!</v>
      </c>
      <c r="AS53" t="e">
        <f>AND('Large Nonlinear Problem'!B215,"AAAAAHP8ryw=")</f>
        <v>#VALUE!</v>
      </c>
      <c r="AT53" t="e">
        <f>AND('Large Nonlinear Problem'!C215,"AAAAAHP8ry0=")</f>
        <v>#VALUE!</v>
      </c>
      <c r="AU53" t="e">
        <f>AND('Large Nonlinear Problem'!D215,"AAAAAHP8ry4=")</f>
        <v>#VALUE!</v>
      </c>
      <c r="AV53" t="e">
        <f>AND('Large Nonlinear Problem'!E215,"AAAAAHP8ry8=")</f>
        <v>#VALUE!</v>
      </c>
      <c r="AW53" t="e">
        <f>AND('Large Nonlinear Problem'!F215,"AAAAAHP8rzA=")</f>
        <v>#VALUE!</v>
      </c>
      <c r="AX53" t="e">
        <f>AND('Large Nonlinear Problem'!G215,"AAAAAHP8rzE=")</f>
        <v>#VALUE!</v>
      </c>
      <c r="AY53">
        <f>IF('Large Nonlinear Problem'!216:216,"AAAAAHP8rzI=",0)</f>
        <v>0</v>
      </c>
      <c r="AZ53" t="e">
        <f>AND('Large Nonlinear Problem'!A216,"AAAAAHP8rzM=")</f>
        <v>#VALUE!</v>
      </c>
      <c r="BA53" t="e">
        <f>AND('Large Nonlinear Problem'!B216,"AAAAAHP8rzQ=")</f>
        <v>#VALUE!</v>
      </c>
      <c r="BB53" t="e">
        <f>AND('Large Nonlinear Problem'!C216,"AAAAAHP8rzU=")</f>
        <v>#VALUE!</v>
      </c>
      <c r="BC53" t="e">
        <f>AND('Large Nonlinear Problem'!D216,"AAAAAHP8rzY=")</f>
        <v>#VALUE!</v>
      </c>
      <c r="BD53" t="e">
        <f>AND('Large Nonlinear Problem'!E216,"AAAAAHP8rzc=")</f>
        <v>#VALUE!</v>
      </c>
      <c r="BE53" t="e">
        <f>AND('Large Nonlinear Problem'!F216,"AAAAAHP8rzg=")</f>
        <v>#VALUE!</v>
      </c>
      <c r="BF53" t="e">
        <f>AND('Large Nonlinear Problem'!G216,"AAAAAHP8rzk=")</f>
        <v>#VALUE!</v>
      </c>
      <c r="BG53">
        <f>IF('Large Nonlinear Problem'!217:217,"AAAAAHP8rzo=",0)</f>
        <v>0</v>
      </c>
      <c r="BH53" t="e">
        <f>AND('Large Nonlinear Problem'!A217,"AAAAAHP8rzs=")</f>
        <v>#VALUE!</v>
      </c>
      <c r="BI53" t="e">
        <f>AND('Large Nonlinear Problem'!B217,"AAAAAHP8rzw=")</f>
        <v>#VALUE!</v>
      </c>
      <c r="BJ53" t="e">
        <f>AND('Large Nonlinear Problem'!C217,"AAAAAHP8rz0=")</f>
        <v>#VALUE!</v>
      </c>
      <c r="BK53" t="e">
        <f>AND('Large Nonlinear Problem'!D217,"AAAAAHP8rz4=")</f>
        <v>#VALUE!</v>
      </c>
      <c r="BL53" t="e">
        <f>AND('Large Nonlinear Problem'!E217,"AAAAAHP8rz8=")</f>
        <v>#VALUE!</v>
      </c>
      <c r="BM53" t="e">
        <f>AND('Large Nonlinear Problem'!F217,"AAAAAHP8r0A=")</f>
        <v>#VALUE!</v>
      </c>
      <c r="BN53" t="e">
        <f>AND('Large Nonlinear Problem'!G217,"AAAAAHP8r0E=")</f>
        <v>#VALUE!</v>
      </c>
      <c r="BO53">
        <f>IF('Large Nonlinear Problem'!218:218,"AAAAAHP8r0I=",0)</f>
        <v>0</v>
      </c>
      <c r="BP53" t="e">
        <f>AND('Large Nonlinear Problem'!A218,"AAAAAHP8r0M=")</f>
        <v>#VALUE!</v>
      </c>
      <c r="BQ53" t="e">
        <f>AND('Large Nonlinear Problem'!B218,"AAAAAHP8r0Q=")</f>
        <v>#VALUE!</v>
      </c>
      <c r="BR53" t="e">
        <f>AND('Large Nonlinear Problem'!C218,"AAAAAHP8r0U=")</f>
        <v>#VALUE!</v>
      </c>
      <c r="BS53" t="e">
        <f>AND('Large Nonlinear Problem'!D218,"AAAAAHP8r0Y=")</f>
        <v>#VALUE!</v>
      </c>
      <c r="BT53" t="e">
        <f>AND('Large Nonlinear Problem'!E218,"AAAAAHP8r0c=")</f>
        <v>#VALUE!</v>
      </c>
      <c r="BU53" t="e">
        <f>AND('Large Nonlinear Problem'!F218,"AAAAAHP8r0g=")</f>
        <v>#VALUE!</v>
      </c>
      <c r="BV53" t="e">
        <f>AND('Large Nonlinear Problem'!G218,"AAAAAHP8r0k=")</f>
        <v>#VALUE!</v>
      </c>
      <c r="BW53">
        <f>IF('Large Nonlinear Problem'!219:219,"AAAAAHP8r0o=",0)</f>
        <v>0</v>
      </c>
      <c r="BX53" t="e">
        <f>AND('Large Nonlinear Problem'!A219,"AAAAAHP8r0s=")</f>
        <v>#VALUE!</v>
      </c>
      <c r="BY53" t="e">
        <f>AND('Large Nonlinear Problem'!B219,"AAAAAHP8r0w=")</f>
        <v>#VALUE!</v>
      </c>
      <c r="BZ53" t="e">
        <f>AND('Large Nonlinear Problem'!C219,"AAAAAHP8r00=")</f>
        <v>#VALUE!</v>
      </c>
      <c r="CA53" t="e">
        <f>AND('Large Nonlinear Problem'!D219,"AAAAAHP8r04=")</f>
        <v>#VALUE!</v>
      </c>
      <c r="CB53" t="e">
        <f>AND('Large Nonlinear Problem'!E219,"AAAAAHP8r08=")</f>
        <v>#VALUE!</v>
      </c>
      <c r="CC53" t="e">
        <f>AND('Large Nonlinear Problem'!F219,"AAAAAHP8r1A=")</f>
        <v>#VALUE!</v>
      </c>
      <c r="CD53" t="e">
        <f>AND('Large Nonlinear Problem'!G219,"AAAAAHP8r1E=")</f>
        <v>#VALUE!</v>
      </c>
      <c r="CE53">
        <f>IF('Large Nonlinear Problem'!220:220,"AAAAAHP8r1I=",0)</f>
        <v>0</v>
      </c>
      <c r="CF53" t="e">
        <f>AND('Large Nonlinear Problem'!A220,"AAAAAHP8r1M=")</f>
        <v>#VALUE!</v>
      </c>
      <c r="CG53" t="e">
        <f>AND('Large Nonlinear Problem'!B220,"AAAAAHP8r1Q=")</f>
        <v>#VALUE!</v>
      </c>
      <c r="CH53" t="e">
        <f>AND('Large Nonlinear Problem'!C220,"AAAAAHP8r1U=")</f>
        <v>#VALUE!</v>
      </c>
      <c r="CI53" t="e">
        <f>AND('Large Nonlinear Problem'!D220,"AAAAAHP8r1Y=")</f>
        <v>#VALUE!</v>
      </c>
      <c r="CJ53" t="e">
        <f>AND('Large Nonlinear Problem'!E220,"AAAAAHP8r1c=")</f>
        <v>#VALUE!</v>
      </c>
      <c r="CK53" t="e">
        <f>AND('Large Nonlinear Problem'!F220,"AAAAAHP8r1g=")</f>
        <v>#VALUE!</v>
      </c>
      <c r="CL53" t="e">
        <f>AND('Large Nonlinear Problem'!G220,"AAAAAHP8r1k=")</f>
        <v>#VALUE!</v>
      </c>
      <c r="CM53">
        <f>IF('Large Nonlinear Problem'!221:221,"AAAAAHP8r1o=",0)</f>
        <v>0</v>
      </c>
      <c r="CN53" t="e">
        <f>AND('Large Nonlinear Problem'!A221,"AAAAAHP8r1s=")</f>
        <v>#VALUE!</v>
      </c>
      <c r="CO53" t="e">
        <f>AND('Large Nonlinear Problem'!B221,"AAAAAHP8r1w=")</f>
        <v>#VALUE!</v>
      </c>
      <c r="CP53" t="e">
        <f>AND('Large Nonlinear Problem'!C221,"AAAAAHP8r10=")</f>
        <v>#VALUE!</v>
      </c>
      <c r="CQ53" t="e">
        <f>AND('Large Nonlinear Problem'!D221,"AAAAAHP8r14=")</f>
        <v>#VALUE!</v>
      </c>
      <c r="CR53" t="e">
        <f>AND('Large Nonlinear Problem'!E221,"AAAAAHP8r18=")</f>
        <v>#VALUE!</v>
      </c>
      <c r="CS53" t="e">
        <f>AND('Large Nonlinear Problem'!F221,"AAAAAHP8r2A=")</f>
        <v>#VALUE!</v>
      </c>
      <c r="CT53" t="e">
        <f>AND('Large Nonlinear Problem'!G221,"AAAAAHP8r2E=")</f>
        <v>#VALUE!</v>
      </c>
      <c r="CU53">
        <f>IF('Large Nonlinear Problem'!222:222,"AAAAAHP8r2I=",0)</f>
        <v>0</v>
      </c>
      <c r="CV53" t="e">
        <f>AND('Large Nonlinear Problem'!A222,"AAAAAHP8r2M=")</f>
        <v>#VALUE!</v>
      </c>
      <c r="CW53" t="e">
        <f>AND('Large Nonlinear Problem'!B222,"AAAAAHP8r2Q=")</f>
        <v>#VALUE!</v>
      </c>
      <c r="CX53" t="e">
        <f>AND('Large Nonlinear Problem'!C222,"AAAAAHP8r2U=")</f>
        <v>#VALUE!</v>
      </c>
      <c r="CY53" t="e">
        <f>AND('Large Nonlinear Problem'!D222,"AAAAAHP8r2Y=")</f>
        <v>#VALUE!</v>
      </c>
      <c r="CZ53" t="e">
        <f>AND('Large Nonlinear Problem'!E222,"AAAAAHP8r2c=")</f>
        <v>#VALUE!</v>
      </c>
      <c r="DA53" t="e">
        <f>AND('Large Nonlinear Problem'!F222,"AAAAAHP8r2g=")</f>
        <v>#VALUE!</v>
      </c>
      <c r="DB53" t="e">
        <f>AND('Large Nonlinear Problem'!G222,"AAAAAHP8r2k=")</f>
        <v>#VALUE!</v>
      </c>
      <c r="DC53">
        <f>IF('Large Nonlinear Problem'!223:223,"AAAAAHP8r2o=",0)</f>
        <v>0</v>
      </c>
      <c r="DD53" t="e">
        <f>AND('Large Nonlinear Problem'!A223,"AAAAAHP8r2s=")</f>
        <v>#VALUE!</v>
      </c>
      <c r="DE53" t="e">
        <f>AND('Large Nonlinear Problem'!B223,"AAAAAHP8r2w=")</f>
        <v>#VALUE!</v>
      </c>
      <c r="DF53" t="e">
        <f>AND('Large Nonlinear Problem'!C223,"AAAAAHP8r20=")</f>
        <v>#VALUE!</v>
      </c>
      <c r="DG53" t="e">
        <f>AND('Large Nonlinear Problem'!D223,"AAAAAHP8r24=")</f>
        <v>#VALUE!</v>
      </c>
      <c r="DH53" t="e">
        <f>AND('Large Nonlinear Problem'!E223,"AAAAAHP8r28=")</f>
        <v>#VALUE!</v>
      </c>
      <c r="DI53" t="e">
        <f>AND('Large Nonlinear Problem'!F223,"AAAAAHP8r3A=")</f>
        <v>#VALUE!</v>
      </c>
      <c r="DJ53" t="e">
        <f>AND('Large Nonlinear Problem'!G223,"AAAAAHP8r3E=")</f>
        <v>#VALUE!</v>
      </c>
      <c r="DK53">
        <f>IF('Large Nonlinear Problem'!224:224,"AAAAAHP8r3I=",0)</f>
        <v>0</v>
      </c>
      <c r="DL53" t="e">
        <f>AND('Large Nonlinear Problem'!A224,"AAAAAHP8r3M=")</f>
        <v>#VALUE!</v>
      </c>
      <c r="DM53" t="e">
        <f>AND('Large Nonlinear Problem'!B224,"AAAAAHP8r3Q=")</f>
        <v>#VALUE!</v>
      </c>
      <c r="DN53" t="e">
        <f>AND('Large Nonlinear Problem'!C224,"AAAAAHP8r3U=")</f>
        <v>#VALUE!</v>
      </c>
      <c r="DO53" t="e">
        <f>AND('Large Nonlinear Problem'!D224,"AAAAAHP8r3Y=")</f>
        <v>#VALUE!</v>
      </c>
      <c r="DP53" t="e">
        <f>AND('Large Nonlinear Problem'!E224,"AAAAAHP8r3c=")</f>
        <v>#VALUE!</v>
      </c>
      <c r="DQ53" t="e">
        <f>AND('Large Nonlinear Problem'!F224,"AAAAAHP8r3g=")</f>
        <v>#VALUE!</v>
      </c>
      <c r="DR53" t="e">
        <f>AND('Large Nonlinear Problem'!G224,"AAAAAHP8r3k=")</f>
        <v>#VALUE!</v>
      </c>
      <c r="DS53">
        <f>IF('Large Nonlinear Problem'!225:225,"AAAAAHP8r3o=",0)</f>
        <v>0</v>
      </c>
      <c r="DT53" t="e">
        <f>AND('Large Nonlinear Problem'!A225,"AAAAAHP8r3s=")</f>
        <v>#VALUE!</v>
      </c>
      <c r="DU53" t="e">
        <f>AND('Large Nonlinear Problem'!B225,"AAAAAHP8r3w=")</f>
        <v>#VALUE!</v>
      </c>
      <c r="DV53" t="e">
        <f>AND('Large Nonlinear Problem'!C225,"AAAAAHP8r30=")</f>
        <v>#VALUE!</v>
      </c>
      <c r="DW53" t="e">
        <f>AND('Large Nonlinear Problem'!D225,"AAAAAHP8r34=")</f>
        <v>#VALUE!</v>
      </c>
      <c r="DX53" t="e">
        <f>AND('Large Nonlinear Problem'!E225,"AAAAAHP8r38=")</f>
        <v>#VALUE!</v>
      </c>
      <c r="DY53" t="e">
        <f>AND('Large Nonlinear Problem'!F225,"AAAAAHP8r4A=")</f>
        <v>#VALUE!</v>
      </c>
      <c r="DZ53" t="e">
        <f>AND('Large Nonlinear Problem'!G225,"AAAAAHP8r4E=")</f>
        <v>#VALUE!</v>
      </c>
      <c r="EA53">
        <f>IF('Large Nonlinear Problem'!226:226,"AAAAAHP8r4I=",0)</f>
        <v>0</v>
      </c>
      <c r="EB53" t="e">
        <f>AND('Large Nonlinear Problem'!A226,"AAAAAHP8r4M=")</f>
        <v>#VALUE!</v>
      </c>
      <c r="EC53" t="e">
        <f>AND('Large Nonlinear Problem'!B226,"AAAAAHP8r4Q=")</f>
        <v>#VALUE!</v>
      </c>
      <c r="ED53" t="e">
        <f>AND('Large Nonlinear Problem'!C226,"AAAAAHP8r4U=")</f>
        <v>#VALUE!</v>
      </c>
      <c r="EE53" t="e">
        <f>AND('Large Nonlinear Problem'!D226,"AAAAAHP8r4Y=")</f>
        <v>#VALUE!</v>
      </c>
      <c r="EF53" t="e">
        <f>AND('Large Nonlinear Problem'!E226,"AAAAAHP8r4c=")</f>
        <v>#VALUE!</v>
      </c>
      <c r="EG53" t="e">
        <f>AND('Large Nonlinear Problem'!F226,"AAAAAHP8r4g=")</f>
        <v>#VALUE!</v>
      </c>
      <c r="EH53" t="e">
        <f>AND('Large Nonlinear Problem'!G226,"AAAAAHP8r4k=")</f>
        <v>#VALUE!</v>
      </c>
      <c r="EI53">
        <f>IF('Large Nonlinear Problem'!227:227,"AAAAAHP8r4o=",0)</f>
        <v>0</v>
      </c>
      <c r="EJ53" t="e">
        <f>AND('Large Nonlinear Problem'!A227,"AAAAAHP8r4s=")</f>
        <v>#VALUE!</v>
      </c>
      <c r="EK53" t="e">
        <f>AND('Large Nonlinear Problem'!B227,"AAAAAHP8r4w=")</f>
        <v>#VALUE!</v>
      </c>
      <c r="EL53" t="e">
        <f>AND('Large Nonlinear Problem'!C227,"AAAAAHP8r40=")</f>
        <v>#VALUE!</v>
      </c>
      <c r="EM53" t="e">
        <f>AND('Large Nonlinear Problem'!D227,"AAAAAHP8r44=")</f>
        <v>#VALUE!</v>
      </c>
      <c r="EN53" t="e">
        <f>AND('Large Nonlinear Problem'!E227,"AAAAAHP8r48=")</f>
        <v>#VALUE!</v>
      </c>
      <c r="EO53" t="e">
        <f>AND('Large Nonlinear Problem'!F227,"AAAAAHP8r5A=")</f>
        <v>#VALUE!</v>
      </c>
      <c r="EP53" t="e">
        <f>AND('Large Nonlinear Problem'!G227,"AAAAAHP8r5E=")</f>
        <v>#VALUE!</v>
      </c>
      <c r="EQ53">
        <f>IF('Large Nonlinear Problem'!228:228,"AAAAAHP8r5I=",0)</f>
        <v>0</v>
      </c>
      <c r="ER53" t="e">
        <f>AND('Large Nonlinear Problem'!A228,"AAAAAHP8r5M=")</f>
        <v>#VALUE!</v>
      </c>
      <c r="ES53" t="e">
        <f>AND('Large Nonlinear Problem'!B228,"AAAAAHP8r5Q=")</f>
        <v>#VALUE!</v>
      </c>
      <c r="ET53" t="e">
        <f>AND('Large Nonlinear Problem'!C228,"AAAAAHP8r5U=")</f>
        <v>#VALUE!</v>
      </c>
      <c r="EU53" t="e">
        <f>AND('Large Nonlinear Problem'!D228,"AAAAAHP8r5Y=")</f>
        <v>#VALUE!</v>
      </c>
      <c r="EV53" t="e">
        <f>AND('Large Nonlinear Problem'!E228,"AAAAAHP8r5c=")</f>
        <v>#VALUE!</v>
      </c>
      <c r="EW53" t="e">
        <f>AND('Large Nonlinear Problem'!F228,"AAAAAHP8r5g=")</f>
        <v>#VALUE!</v>
      </c>
      <c r="EX53" t="e">
        <f>AND('Large Nonlinear Problem'!G228,"AAAAAHP8r5k=")</f>
        <v>#VALUE!</v>
      </c>
      <c r="EY53">
        <f>IF('Large Nonlinear Problem'!229:229,"AAAAAHP8r5o=",0)</f>
        <v>0</v>
      </c>
      <c r="EZ53" t="e">
        <f>AND('Large Nonlinear Problem'!A229,"AAAAAHP8r5s=")</f>
        <v>#VALUE!</v>
      </c>
      <c r="FA53" t="e">
        <f>AND('Large Nonlinear Problem'!B229,"AAAAAHP8r5w=")</f>
        <v>#VALUE!</v>
      </c>
      <c r="FB53" t="e">
        <f>AND('Large Nonlinear Problem'!C229,"AAAAAHP8r50=")</f>
        <v>#VALUE!</v>
      </c>
      <c r="FC53" t="e">
        <f>AND('Large Nonlinear Problem'!D229,"AAAAAHP8r54=")</f>
        <v>#VALUE!</v>
      </c>
      <c r="FD53" t="e">
        <f>AND('Large Nonlinear Problem'!E229,"AAAAAHP8r58=")</f>
        <v>#VALUE!</v>
      </c>
      <c r="FE53" t="e">
        <f>AND('Large Nonlinear Problem'!F229,"AAAAAHP8r6A=")</f>
        <v>#VALUE!</v>
      </c>
      <c r="FF53" t="e">
        <f>AND('Large Nonlinear Problem'!G229,"AAAAAHP8r6E=")</f>
        <v>#VALUE!</v>
      </c>
      <c r="FG53">
        <f>IF('Large Nonlinear Problem'!230:230,"AAAAAHP8r6I=",0)</f>
        <v>0</v>
      </c>
      <c r="FH53" t="e">
        <f>AND('Large Nonlinear Problem'!A230,"AAAAAHP8r6M=")</f>
        <v>#VALUE!</v>
      </c>
      <c r="FI53" t="e">
        <f>AND('Large Nonlinear Problem'!B230,"AAAAAHP8r6Q=")</f>
        <v>#VALUE!</v>
      </c>
      <c r="FJ53" t="e">
        <f>AND('Large Nonlinear Problem'!C230,"AAAAAHP8r6U=")</f>
        <v>#VALUE!</v>
      </c>
      <c r="FK53" t="e">
        <f>AND('Large Nonlinear Problem'!D230,"AAAAAHP8r6Y=")</f>
        <v>#VALUE!</v>
      </c>
      <c r="FL53" t="e">
        <f>AND('Large Nonlinear Problem'!E230,"AAAAAHP8r6c=")</f>
        <v>#VALUE!</v>
      </c>
      <c r="FM53" t="e">
        <f>AND('Large Nonlinear Problem'!F230,"AAAAAHP8r6g=")</f>
        <v>#VALUE!</v>
      </c>
      <c r="FN53" t="e">
        <f>AND('Large Nonlinear Problem'!G230,"AAAAAHP8r6k=")</f>
        <v>#VALUE!</v>
      </c>
      <c r="FO53">
        <f>IF('Large Nonlinear Problem'!231:231,"AAAAAHP8r6o=",0)</f>
        <v>0</v>
      </c>
      <c r="FP53" t="e">
        <f>AND('Large Nonlinear Problem'!A231,"AAAAAHP8r6s=")</f>
        <v>#VALUE!</v>
      </c>
      <c r="FQ53" t="e">
        <f>AND('Large Nonlinear Problem'!B231,"AAAAAHP8r6w=")</f>
        <v>#VALUE!</v>
      </c>
      <c r="FR53" t="e">
        <f>AND('Large Nonlinear Problem'!C231,"AAAAAHP8r60=")</f>
        <v>#VALUE!</v>
      </c>
      <c r="FS53" t="e">
        <f>AND('Large Nonlinear Problem'!D231,"AAAAAHP8r64=")</f>
        <v>#VALUE!</v>
      </c>
      <c r="FT53" t="e">
        <f>AND('Large Nonlinear Problem'!E231,"AAAAAHP8r68=")</f>
        <v>#VALUE!</v>
      </c>
      <c r="FU53" t="e">
        <f>AND('Large Nonlinear Problem'!F231,"AAAAAHP8r7A=")</f>
        <v>#VALUE!</v>
      </c>
      <c r="FV53" t="e">
        <f>AND('Large Nonlinear Problem'!G231,"AAAAAHP8r7E=")</f>
        <v>#VALUE!</v>
      </c>
      <c r="FW53">
        <f>IF('Large Nonlinear Problem'!232:232,"AAAAAHP8r7I=",0)</f>
        <v>0</v>
      </c>
      <c r="FX53" t="e">
        <f>AND('Large Nonlinear Problem'!A232,"AAAAAHP8r7M=")</f>
        <v>#VALUE!</v>
      </c>
      <c r="FY53" t="e">
        <f>AND('Large Nonlinear Problem'!B232,"AAAAAHP8r7Q=")</f>
        <v>#VALUE!</v>
      </c>
      <c r="FZ53" t="e">
        <f>AND('Large Nonlinear Problem'!C232,"AAAAAHP8r7U=")</f>
        <v>#VALUE!</v>
      </c>
      <c r="GA53" t="e">
        <f>AND('Large Nonlinear Problem'!D232,"AAAAAHP8r7Y=")</f>
        <v>#VALUE!</v>
      </c>
      <c r="GB53" t="e">
        <f>AND('Large Nonlinear Problem'!E232,"AAAAAHP8r7c=")</f>
        <v>#VALUE!</v>
      </c>
      <c r="GC53" t="e">
        <f>AND('Large Nonlinear Problem'!F232,"AAAAAHP8r7g=")</f>
        <v>#VALUE!</v>
      </c>
      <c r="GD53" t="e">
        <f>AND('Large Nonlinear Problem'!G232,"AAAAAHP8r7k=")</f>
        <v>#VALUE!</v>
      </c>
      <c r="GE53">
        <f>IF('Large Nonlinear Problem'!233:233,"AAAAAHP8r7o=",0)</f>
        <v>0</v>
      </c>
      <c r="GF53" t="e">
        <f>AND('Large Nonlinear Problem'!A233,"AAAAAHP8r7s=")</f>
        <v>#VALUE!</v>
      </c>
      <c r="GG53" t="e">
        <f>AND('Large Nonlinear Problem'!B233,"AAAAAHP8r7w=")</f>
        <v>#VALUE!</v>
      </c>
      <c r="GH53" t="e">
        <f>AND('Large Nonlinear Problem'!C233,"AAAAAHP8r70=")</f>
        <v>#VALUE!</v>
      </c>
      <c r="GI53" t="e">
        <f>AND('Large Nonlinear Problem'!D233,"AAAAAHP8r74=")</f>
        <v>#VALUE!</v>
      </c>
      <c r="GJ53" t="e">
        <f>AND('Large Nonlinear Problem'!E233,"AAAAAHP8r78=")</f>
        <v>#VALUE!</v>
      </c>
      <c r="GK53" t="e">
        <f>AND('Large Nonlinear Problem'!F233,"AAAAAHP8r8A=")</f>
        <v>#VALUE!</v>
      </c>
      <c r="GL53" t="e">
        <f>AND('Large Nonlinear Problem'!G233,"AAAAAHP8r8E=")</f>
        <v>#VALUE!</v>
      </c>
      <c r="GM53">
        <f>IF('Large Nonlinear Problem'!234:234,"AAAAAHP8r8I=",0)</f>
        <v>0</v>
      </c>
      <c r="GN53" t="e">
        <f>AND('Large Nonlinear Problem'!A234,"AAAAAHP8r8M=")</f>
        <v>#VALUE!</v>
      </c>
      <c r="GO53" t="e">
        <f>AND('Large Nonlinear Problem'!B234,"AAAAAHP8r8Q=")</f>
        <v>#VALUE!</v>
      </c>
      <c r="GP53" t="e">
        <f>AND('Large Nonlinear Problem'!C234,"AAAAAHP8r8U=")</f>
        <v>#VALUE!</v>
      </c>
      <c r="GQ53" t="e">
        <f>AND('Large Nonlinear Problem'!D234,"AAAAAHP8r8Y=")</f>
        <v>#VALUE!</v>
      </c>
      <c r="GR53" t="e">
        <f>AND('Large Nonlinear Problem'!E234,"AAAAAHP8r8c=")</f>
        <v>#VALUE!</v>
      </c>
      <c r="GS53" t="e">
        <f>AND('Large Nonlinear Problem'!F234,"AAAAAHP8r8g=")</f>
        <v>#VALUE!</v>
      </c>
      <c r="GT53" t="e">
        <f>AND('Large Nonlinear Problem'!G234,"AAAAAHP8r8k=")</f>
        <v>#VALUE!</v>
      </c>
      <c r="GU53">
        <f>IF('Large Nonlinear Problem'!235:235,"AAAAAHP8r8o=",0)</f>
        <v>0</v>
      </c>
      <c r="GV53" t="e">
        <f>AND('Large Nonlinear Problem'!A235,"AAAAAHP8r8s=")</f>
        <v>#VALUE!</v>
      </c>
      <c r="GW53" t="e">
        <f>AND('Large Nonlinear Problem'!B235,"AAAAAHP8r8w=")</f>
        <v>#VALUE!</v>
      </c>
      <c r="GX53" t="e">
        <f>AND('Large Nonlinear Problem'!C235,"AAAAAHP8r80=")</f>
        <v>#VALUE!</v>
      </c>
      <c r="GY53" t="e">
        <f>AND('Large Nonlinear Problem'!D235,"AAAAAHP8r84=")</f>
        <v>#VALUE!</v>
      </c>
      <c r="GZ53" t="e">
        <f>AND('Large Nonlinear Problem'!E235,"AAAAAHP8r88=")</f>
        <v>#VALUE!</v>
      </c>
      <c r="HA53" t="e">
        <f>AND('Large Nonlinear Problem'!F235,"AAAAAHP8r9A=")</f>
        <v>#VALUE!</v>
      </c>
      <c r="HB53" t="e">
        <f>AND('Large Nonlinear Problem'!G235,"AAAAAHP8r9E=")</f>
        <v>#VALUE!</v>
      </c>
      <c r="HC53">
        <f>IF('Large Nonlinear Problem'!236:236,"AAAAAHP8r9I=",0)</f>
        <v>0</v>
      </c>
      <c r="HD53" t="e">
        <f>AND('Large Nonlinear Problem'!A236,"AAAAAHP8r9M=")</f>
        <v>#VALUE!</v>
      </c>
      <c r="HE53" t="e">
        <f>AND('Large Nonlinear Problem'!B236,"AAAAAHP8r9Q=")</f>
        <v>#VALUE!</v>
      </c>
      <c r="HF53" t="e">
        <f>AND('Large Nonlinear Problem'!C236,"AAAAAHP8r9U=")</f>
        <v>#VALUE!</v>
      </c>
      <c r="HG53" t="e">
        <f>AND('Large Nonlinear Problem'!D236,"AAAAAHP8r9Y=")</f>
        <v>#VALUE!</v>
      </c>
      <c r="HH53" t="e">
        <f>AND('Large Nonlinear Problem'!E236,"AAAAAHP8r9c=")</f>
        <v>#VALUE!</v>
      </c>
      <c r="HI53" t="e">
        <f>AND('Large Nonlinear Problem'!F236,"AAAAAHP8r9g=")</f>
        <v>#VALUE!</v>
      </c>
      <c r="HJ53" t="e">
        <f>AND('Large Nonlinear Problem'!G236,"AAAAAHP8r9k=")</f>
        <v>#VALUE!</v>
      </c>
      <c r="HK53">
        <f>IF('Large Nonlinear Problem'!237:237,"AAAAAHP8r9o=",0)</f>
        <v>0</v>
      </c>
      <c r="HL53" t="e">
        <f>AND('Large Nonlinear Problem'!A237,"AAAAAHP8r9s=")</f>
        <v>#VALUE!</v>
      </c>
      <c r="HM53" t="e">
        <f>AND('Large Nonlinear Problem'!B237,"AAAAAHP8r9w=")</f>
        <v>#VALUE!</v>
      </c>
      <c r="HN53" t="e">
        <f>AND('Large Nonlinear Problem'!C237,"AAAAAHP8r90=")</f>
        <v>#VALUE!</v>
      </c>
      <c r="HO53" t="e">
        <f>AND('Large Nonlinear Problem'!D237,"AAAAAHP8r94=")</f>
        <v>#VALUE!</v>
      </c>
      <c r="HP53" t="e">
        <f>AND('Large Nonlinear Problem'!E237,"AAAAAHP8r98=")</f>
        <v>#VALUE!</v>
      </c>
      <c r="HQ53" t="e">
        <f>AND('Large Nonlinear Problem'!F237,"AAAAAHP8r+A=")</f>
        <v>#VALUE!</v>
      </c>
      <c r="HR53" t="e">
        <f>AND('Large Nonlinear Problem'!G237,"AAAAAHP8r+E=")</f>
        <v>#VALUE!</v>
      </c>
      <c r="HS53">
        <f>IF('Large Nonlinear Problem'!238:238,"AAAAAHP8r+I=",0)</f>
        <v>0</v>
      </c>
      <c r="HT53" t="e">
        <f>AND('Large Nonlinear Problem'!A238,"AAAAAHP8r+M=")</f>
        <v>#VALUE!</v>
      </c>
      <c r="HU53" t="e">
        <f>AND('Large Nonlinear Problem'!B238,"AAAAAHP8r+Q=")</f>
        <v>#VALUE!</v>
      </c>
      <c r="HV53" t="e">
        <f>AND('Large Nonlinear Problem'!C238,"AAAAAHP8r+U=")</f>
        <v>#VALUE!</v>
      </c>
      <c r="HW53" t="e">
        <f>AND('Large Nonlinear Problem'!D238,"AAAAAHP8r+Y=")</f>
        <v>#VALUE!</v>
      </c>
      <c r="HX53" t="e">
        <f>AND('Large Nonlinear Problem'!E238,"AAAAAHP8r+c=")</f>
        <v>#VALUE!</v>
      </c>
      <c r="HY53" t="e">
        <f>AND('Large Nonlinear Problem'!F238,"AAAAAHP8r+g=")</f>
        <v>#VALUE!</v>
      </c>
      <c r="HZ53" t="e">
        <f>AND('Large Nonlinear Problem'!G238,"AAAAAHP8r+k=")</f>
        <v>#VALUE!</v>
      </c>
      <c r="IA53">
        <f>IF('Large Nonlinear Problem'!239:239,"AAAAAHP8r+o=",0)</f>
        <v>0</v>
      </c>
      <c r="IB53" t="e">
        <f>AND('Large Nonlinear Problem'!A239,"AAAAAHP8r+s=")</f>
        <v>#VALUE!</v>
      </c>
      <c r="IC53" t="e">
        <f>AND('Large Nonlinear Problem'!B239,"AAAAAHP8r+w=")</f>
        <v>#VALUE!</v>
      </c>
      <c r="ID53" t="e">
        <f>AND('Large Nonlinear Problem'!C239,"AAAAAHP8r+0=")</f>
        <v>#VALUE!</v>
      </c>
      <c r="IE53" t="e">
        <f>AND('Large Nonlinear Problem'!D239,"AAAAAHP8r+4=")</f>
        <v>#VALUE!</v>
      </c>
      <c r="IF53" t="e">
        <f>AND('Large Nonlinear Problem'!E239,"AAAAAHP8r+8=")</f>
        <v>#VALUE!</v>
      </c>
      <c r="IG53" t="e">
        <f>AND('Large Nonlinear Problem'!F239,"AAAAAHP8r/A=")</f>
        <v>#VALUE!</v>
      </c>
      <c r="IH53" t="e">
        <f>AND('Large Nonlinear Problem'!G239,"AAAAAHP8r/E=")</f>
        <v>#VALUE!</v>
      </c>
      <c r="II53">
        <f>IF('Large Nonlinear Problem'!240:240,"AAAAAHP8r/I=",0)</f>
        <v>0</v>
      </c>
      <c r="IJ53" t="e">
        <f>AND('Large Nonlinear Problem'!A240,"AAAAAHP8r/M=")</f>
        <v>#VALUE!</v>
      </c>
      <c r="IK53" t="e">
        <f>AND('Large Nonlinear Problem'!B240,"AAAAAHP8r/Q=")</f>
        <v>#VALUE!</v>
      </c>
      <c r="IL53" t="e">
        <f>AND('Large Nonlinear Problem'!C240,"AAAAAHP8r/U=")</f>
        <v>#VALUE!</v>
      </c>
      <c r="IM53" t="e">
        <f>AND('Large Nonlinear Problem'!D240,"AAAAAHP8r/Y=")</f>
        <v>#VALUE!</v>
      </c>
      <c r="IN53" t="e">
        <f>AND('Large Nonlinear Problem'!E240,"AAAAAHP8r/c=")</f>
        <v>#VALUE!</v>
      </c>
      <c r="IO53" t="e">
        <f>AND('Large Nonlinear Problem'!F240,"AAAAAHP8r/g=")</f>
        <v>#VALUE!</v>
      </c>
      <c r="IP53" t="e">
        <f>AND('Large Nonlinear Problem'!G240,"AAAAAHP8r/k=")</f>
        <v>#VALUE!</v>
      </c>
      <c r="IQ53">
        <f>IF('Large Nonlinear Problem'!241:241,"AAAAAHP8r/o=",0)</f>
        <v>0</v>
      </c>
      <c r="IR53" t="e">
        <f>AND('Large Nonlinear Problem'!A241,"AAAAAHP8r/s=")</f>
        <v>#VALUE!</v>
      </c>
      <c r="IS53" t="e">
        <f>AND('Large Nonlinear Problem'!B241,"AAAAAHP8r/w=")</f>
        <v>#VALUE!</v>
      </c>
      <c r="IT53" t="e">
        <f>AND('Large Nonlinear Problem'!C241,"AAAAAHP8r/0=")</f>
        <v>#VALUE!</v>
      </c>
      <c r="IU53" t="e">
        <f>AND('Large Nonlinear Problem'!D241,"AAAAAHP8r/4=")</f>
        <v>#VALUE!</v>
      </c>
      <c r="IV53" t="e">
        <f>AND('Large Nonlinear Problem'!E241,"AAAAAHP8r/8=")</f>
        <v>#VALUE!</v>
      </c>
    </row>
    <row r="54" spans="1:256">
      <c r="A54" t="e">
        <f>AND('Large Nonlinear Problem'!F241,"AAAAAH1b7wA=")</f>
        <v>#VALUE!</v>
      </c>
      <c r="B54" t="e">
        <f>AND('Large Nonlinear Problem'!G241,"AAAAAH1b7wE=")</f>
        <v>#VALUE!</v>
      </c>
      <c r="C54" t="str">
        <f>IF('Large Nonlinear Problem'!242:242,"AAAAAH1b7wI=",0)</f>
        <v>AAAAAH1b7wI=</v>
      </c>
      <c r="D54" t="e">
        <f>AND('Large Nonlinear Problem'!A242,"AAAAAH1b7wM=")</f>
        <v>#VALUE!</v>
      </c>
      <c r="E54" t="e">
        <f>AND('Large Nonlinear Problem'!B242,"AAAAAH1b7wQ=")</f>
        <v>#VALUE!</v>
      </c>
      <c r="F54" t="e">
        <f>AND('Large Nonlinear Problem'!C242,"AAAAAH1b7wU=")</f>
        <v>#VALUE!</v>
      </c>
      <c r="G54" t="e">
        <f>AND('Large Nonlinear Problem'!D242,"AAAAAH1b7wY=")</f>
        <v>#VALUE!</v>
      </c>
      <c r="H54" t="e">
        <f>AND('Large Nonlinear Problem'!E242,"AAAAAH1b7wc=")</f>
        <v>#VALUE!</v>
      </c>
      <c r="I54" t="e">
        <f>AND('Large Nonlinear Problem'!F242,"AAAAAH1b7wg=")</f>
        <v>#VALUE!</v>
      </c>
      <c r="J54" t="e">
        <f>AND('Large Nonlinear Problem'!G242,"AAAAAH1b7wk=")</f>
        <v>#VALUE!</v>
      </c>
      <c r="K54">
        <f>IF('Large Nonlinear Problem'!243:243,"AAAAAH1b7wo=",0)</f>
        <v>0</v>
      </c>
      <c r="L54" t="e">
        <f>AND('Large Nonlinear Problem'!A243,"AAAAAH1b7ws=")</f>
        <v>#VALUE!</v>
      </c>
      <c r="M54" t="e">
        <f>AND('Large Nonlinear Problem'!B243,"AAAAAH1b7ww=")</f>
        <v>#VALUE!</v>
      </c>
      <c r="N54" t="e">
        <f>AND('Large Nonlinear Problem'!C243,"AAAAAH1b7w0=")</f>
        <v>#VALUE!</v>
      </c>
      <c r="O54" t="e">
        <f>AND('Large Nonlinear Problem'!D243,"AAAAAH1b7w4=")</f>
        <v>#VALUE!</v>
      </c>
      <c r="P54" t="e">
        <f>AND('Large Nonlinear Problem'!E243,"AAAAAH1b7w8=")</f>
        <v>#VALUE!</v>
      </c>
      <c r="Q54" t="e">
        <f>AND('Large Nonlinear Problem'!F243,"AAAAAH1b7xA=")</f>
        <v>#VALUE!</v>
      </c>
      <c r="R54" t="e">
        <f>AND('Large Nonlinear Problem'!G243,"AAAAAH1b7xE=")</f>
        <v>#VALUE!</v>
      </c>
      <c r="S54">
        <f>IF('Large Nonlinear Problem'!244:244,"AAAAAH1b7xI=",0)</f>
        <v>0</v>
      </c>
      <c r="T54" t="e">
        <f>AND('Large Nonlinear Problem'!A244,"AAAAAH1b7xM=")</f>
        <v>#VALUE!</v>
      </c>
      <c r="U54" t="e">
        <f>AND('Large Nonlinear Problem'!B244,"AAAAAH1b7xQ=")</f>
        <v>#VALUE!</v>
      </c>
      <c r="V54" t="e">
        <f>AND('Large Nonlinear Problem'!C244,"AAAAAH1b7xU=")</f>
        <v>#VALUE!</v>
      </c>
      <c r="W54" t="e">
        <f>AND('Large Nonlinear Problem'!D244,"AAAAAH1b7xY=")</f>
        <v>#VALUE!</v>
      </c>
      <c r="X54" t="e">
        <f>AND('Large Nonlinear Problem'!E244,"AAAAAH1b7xc=")</f>
        <v>#VALUE!</v>
      </c>
      <c r="Y54" t="e">
        <f>AND('Large Nonlinear Problem'!F244,"AAAAAH1b7xg=")</f>
        <v>#VALUE!</v>
      </c>
      <c r="Z54" t="e">
        <f>AND('Large Nonlinear Problem'!G244,"AAAAAH1b7xk=")</f>
        <v>#VALUE!</v>
      </c>
      <c r="AA54">
        <f>IF('Large Nonlinear Problem'!245:245,"AAAAAH1b7xo=",0)</f>
        <v>0</v>
      </c>
      <c r="AB54" t="e">
        <f>AND('Large Nonlinear Problem'!A245,"AAAAAH1b7xs=")</f>
        <v>#VALUE!</v>
      </c>
      <c r="AC54" t="e">
        <f>AND('Large Nonlinear Problem'!B245,"AAAAAH1b7xw=")</f>
        <v>#VALUE!</v>
      </c>
      <c r="AD54" t="e">
        <f>AND('Large Nonlinear Problem'!C245,"AAAAAH1b7x0=")</f>
        <v>#VALUE!</v>
      </c>
      <c r="AE54" t="e">
        <f>AND('Large Nonlinear Problem'!D245,"AAAAAH1b7x4=")</f>
        <v>#VALUE!</v>
      </c>
      <c r="AF54" t="e">
        <f>AND('Large Nonlinear Problem'!E245,"AAAAAH1b7x8=")</f>
        <v>#VALUE!</v>
      </c>
      <c r="AG54" t="e">
        <f>AND('Large Nonlinear Problem'!F245,"AAAAAH1b7yA=")</f>
        <v>#VALUE!</v>
      </c>
      <c r="AH54" t="e">
        <f>AND('Large Nonlinear Problem'!G245,"AAAAAH1b7yE=")</f>
        <v>#VALUE!</v>
      </c>
      <c r="AI54">
        <f>IF('Large Nonlinear Problem'!246:246,"AAAAAH1b7yI=",0)</f>
        <v>0</v>
      </c>
      <c r="AJ54" t="e">
        <f>AND('Large Nonlinear Problem'!A246,"AAAAAH1b7yM=")</f>
        <v>#VALUE!</v>
      </c>
      <c r="AK54" t="e">
        <f>AND('Large Nonlinear Problem'!B246,"AAAAAH1b7yQ=")</f>
        <v>#VALUE!</v>
      </c>
      <c r="AL54" t="e">
        <f>AND('Large Nonlinear Problem'!C246,"AAAAAH1b7yU=")</f>
        <v>#VALUE!</v>
      </c>
      <c r="AM54" t="e">
        <f>AND('Large Nonlinear Problem'!D246,"AAAAAH1b7yY=")</f>
        <v>#VALUE!</v>
      </c>
      <c r="AN54" t="e">
        <f>AND('Large Nonlinear Problem'!E246,"AAAAAH1b7yc=")</f>
        <v>#VALUE!</v>
      </c>
      <c r="AO54" t="e">
        <f>AND('Large Nonlinear Problem'!F246,"AAAAAH1b7yg=")</f>
        <v>#VALUE!</v>
      </c>
      <c r="AP54" t="e">
        <f>AND('Large Nonlinear Problem'!G246,"AAAAAH1b7yk=")</f>
        <v>#VALUE!</v>
      </c>
      <c r="AQ54">
        <f>IF('Large Nonlinear Problem'!247:247,"AAAAAH1b7yo=",0)</f>
        <v>0</v>
      </c>
      <c r="AR54" t="e">
        <f>AND('Large Nonlinear Problem'!A247,"AAAAAH1b7ys=")</f>
        <v>#VALUE!</v>
      </c>
      <c r="AS54" t="e">
        <f>AND('Large Nonlinear Problem'!B247,"AAAAAH1b7yw=")</f>
        <v>#VALUE!</v>
      </c>
      <c r="AT54" t="e">
        <f>AND('Large Nonlinear Problem'!C247,"AAAAAH1b7y0=")</f>
        <v>#VALUE!</v>
      </c>
      <c r="AU54" t="e">
        <f>AND('Large Nonlinear Problem'!D247,"AAAAAH1b7y4=")</f>
        <v>#VALUE!</v>
      </c>
      <c r="AV54" t="e">
        <f>AND('Large Nonlinear Problem'!E247,"AAAAAH1b7y8=")</f>
        <v>#VALUE!</v>
      </c>
      <c r="AW54" t="e">
        <f>AND('Large Nonlinear Problem'!F247,"AAAAAH1b7zA=")</f>
        <v>#VALUE!</v>
      </c>
      <c r="AX54" t="e">
        <f>AND('Large Nonlinear Problem'!G247,"AAAAAH1b7zE=")</f>
        <v>#VALUE!</v>
      </c>
      <c r="AY54">
        <f>IF('Large Nonlinear Problem'!248:248,"AAAAAH1b7zI=",0)</f>
        <v>0</v>
      </c>
      <c r="AZ54" t="e">
        <f>AND('Large Nonlinear Problem'!A248,"AAAAAH1b7zM=")</f>
        <v>#VALUE!</v>
      </c>
      <c r="BA54" t="e">
        <f>AND('Large Nonlinear Problem'!B248,"AAAAAH1b7zQ=")</f>
        <v>#VALUE!</v>
      </c>
      <c r="BB54" t="e">
        <f>AND('Large Nonlinear Problem'!C248,"AAAAAH1b7zU=")</f>
        <v>#VALUE!</v>
      </c>
      <c r="BC54" t="e">
        <f>AND('Large Nonlinear Problem'!D248,"AAAAAH1b7zY=")</f>
        <v>#VALUE!</v>
      </c>
      <c r="BD54" t="e">
        <f>AND('Large Nonlinear Problem'!E248,"AAAAAH1b7zc=")</f>
        <v>#VALUE!</v>
      </c>
      <c r="BE54" t="e">
        <f>AND('Large Nonlinear Problem'!F248,"AAAAAH1b7zg=")</f>
        <v>#VALUE!</v>
      </c>
      <c r="BF54" t="e">
        <f>AND('Large Nonlinear Problem'!G248,"AAAAAH1b7zk=")</f>
        <v>#VALUE!</v>
      </c>
      <c r="BG54">
        <f>IF('Large Nonlinear Problem'!249:249,"AAAAAH1b7zo=",0)</f>
        <v>0</v>
      </c>
      <c r="BH54" t="e">
        <f>AND('Large Nonlinear Problem'!A249,"AAAAAH1b7zs=")</f>
        <v>#VALUE!</v>
      </c>
      <c r="BI54" t="e">
        <f>AND('Large Nonlinear Problem'!B249,"AAAAAH1b7zw=")</f>
        <v>#VALUE!</v>
      </c>
      <c r="BJ54" t="e">
        <f>AND('Large Nonlinear Problem'!C249,"AAAAAH1b7z0=")</f>
        <v>#VALUE!</v>
      </c>
      <c r="BK54" t="e">
        <f>AND('Large Nonlinear Problem'!D249,"AAAAAH1b7z4=")</f>
        <v>#VALUE!</v>
      </c>
      <c r="BL54" t="e">
        <f>AND('Large Nonlinear Problem'!E249,"AAAAAH1b7z8=")</f>
        <v>#VALUE!</v>
      </c>
      <c r="BM54" t="e">
        <f>AND('Large Nonlinear Problem'!F249,"AAAAAH1b70A=")</f>
        <v>#VALUE!</v>
      </c>
      <c r="BN54" t="e">
        <f>AND('Large Nonlinear Problem'!G249,"AAAAAH1b70E=")</f>
        <v>#VALUE!</v>
      </c>
      <c r="BO54">
        <f>IF('Large Nonlinear Problem'!250:250,"AAAAAH1b70I=",0)</f>
        <v>0</v>
      </c>
      <c r="BP54" t="e">
        <f>AND('Large Nonlinear Problem'!A250,"AAAAAH1b70M=")</f>
        <v>#VALUE!</v>
      </c>
      <c r="BQ54" t="e">
        <f>AND('Large Nonlinear Problem'!B250,"AAAAAH1b70Q=")</f>
        <v>#VALUE!</v>
      </c>
      <c r="BR54" t="e">
        <f>AND('Large Nonlinear Problem'!C250,"AAAAAH1b70U=")</f>
        <v>#VALUE!</v>
      </c>
      <c r="BS54" t="e">
        <f>AND('Large Nonlinear Problem'!D250,"AAAAAH1b70Y=")</f>
        <v>#VALUE!</v>
      </c>
      <c r="BT54" t="e">
        <f>AND('Large Nonlinear Problem'!E250,"AAAAAH1b70c=")</f>
        <v>#VALUE!</v>
      </c>
      <c r="BU54" t="e">
        <f>AND('Large Nonlinear Problem'!F250,"AAAAAH1b70g=")</f>
        <v>#VALUE!</v>
      </c>
      <c r="BV54" t="e">
        <f>AND('Large Nonlinear Problem'!G250,"AAAAAH1b70k=")</f>
        <v>#VALUE!</v>
      </c>
      <c r="BW54">
        <f>IF('Large Nonlinear Problem'!251:251,"AAAAAH1b70o=",0)</f>
        <v>0</v>
      </c>
      <c r="BX54" t="e">
        <f>AND('Large Nonlinear Problem'!A251,"AAAAAH1b70s=")</f>
        <v>#VALUE!</v>
      </c>
      <c r="BY54" t="e">
        <f>AND('Large Nonlinear Problem'!B251,"AAAAAH1b70w=")</f>
        <v>#VALUE!</v>
      </c>
      <c r="BZ54" t="e">
        <f>AND('Large Nonlinear Problem'!C251,"AAAAAH1b700=")</f>
        <v>#VALUE!</v>
      </c>
      <c r="CA54" t="e">
        <f>AND('Large Nonlinear Problem'!D251,"AAAAAH1b704=")</f>
        <v>#VALUE!</v>
      </c>
      <c r="CB54" t="e">
        <f>AND('Large Nonlinear Problem'!E251,"AAAAAH1b708=")</f>
        <v>#VALUE!</v>
      </c>
      <c r="CC54" t="e">
        <f>AND('Large Nonlinear Problem'!F251,"AAAAAH1b71A=")</f>
        <v>#VALUE!</v>
      </c>
      <c r="CD54" t="e">
        <f>AND('Large Nonlinear Problem'!G251,"AAAAAH1b71E=")</f>
        <v>#VALUE!</v>
      </c>
      <c r="CE54">
        <f>IF('Large Nonlinear Problem'!252:252,"AAAAAH1b71I=",0)</f>
        <v>0</v>
      </c>
      <c r="CF54" t="e">
        <f>AND('Large Nonlinear Problem'!A252,"AAAAAH1b71M=")</f>
        <v>#VALUE!</v>
      </c>
      <c r="CG54" t="e">
        <f>AND('Large Nonlinear Problem'!B252,"AAAAAH1b71Q=")</f>
        <v>#VALUE!</v>
      </c>
      <c r="CH54" t="e">
        <f>AND('Large Nonlinear Problem'!C252,"AAAAAH1b71U=")</f>
        <v>#VALUE!</v>
      </c>
      <c r="CI54" t="e">
        <f>AND('Large Nonlinear Problem'!D252,"AAAAAH1b71Y=")</f>
        <v>#VALUE!</v>
      </c>
      <c r="CJ54" t="e">
        <f>AND('Large Nonlinear Problem'!E252,"AAAAAH1b71c=")</f>
        <v>#VALUE!</v>
      </c>
      <c r="CK54" t="e">
        <f>AND('Large Nonlinear Problem'!F252,"AAAAAH1b71g=")</f>
        <v>#VALUE!</v>
      </c>
      <c r="CL54" t="e">
        <f>AND('Large Nonlinear Problem'!G252,"AAAAAH1b71k=")</f>
        <v>#VALUE!</v>
      </c>
      <c r="CM54">
        <f>IF('Large Nonlinear Problem'!253:253,"AAAAAH1b71o=",0)</f>
        <v>0</v>
      </c>
      <c r="CN54" t="e">
        <f>AND('Large Nonlinear Problem'!A253,"AAAAAH1b71s=")</f>
        <v>#VALUE!</v>
      </c>
      <c r="CO54" t="e">
        <f>AND('Large Nonlinear Problem'!B253,"AAAAAH1b71w=")</f>
        <v>#VALUE!</v>
      </c>
      <c r="CP54" t="e">
        <f>AND('Large Nonlinear Problem'!C253,"AAAAAH1b710=")</f>
        <v>#VALUE!</v>
      </c>
      <c r="CQ54" t="e">
        <f>AND('Large Nonlinear Problem'!D253,"AAAAAH1b714=")</f>
        <v>#VALUE!</v>
      </c>
      <c r="CR54" t="e">
        <f>AND('Large Nonlinear Problem'!E253,"AAAAAH1b718=")</f>
        <v>#VALUE!</v>
      </c>
      <c r="CS54" t="e">
        <f>AND('Large Nonlinear Problem'!F253,"AAAAAH1b72A=")</f>
        <v>#VALUE!</v>
      </c>
      <c r="CT54" t="e">
        <f>AND('Large Nonlinear Problem'!G253,"AAAAAH1b72E=")</f>
        <v>#VALUE!</v>
      </c>
      <c r="CU54">
        <f>IF('Large Nonlinear Problem'!254:254,"AAAAAH1b72I=",0)</f>
        <v>0</v>
      </c>
      <c r="CV54" t="e">
        <f>AND('Large Nonlinear Problem'!A254,"AAAAAH1b72M=")</f>
        <v>#VALUE!</v>
      </c>
      <c r="CW54" t="e">
        <f>AND('Large Nonlinear Problem'!B254,"AAAAAH1b72Q=")</f>
        <v>#VALUE!</v>
      </c>
      <c r="CX54" t="e">
        <f>AND('Large Nonlinear Problem'!C254,"AAAAAH1b72U=")</f>
        <v>#VALUE!</v>
      </c>
      <c r="CY54" t="e">
        <f>AND('Large Nonlinear Problem'!D254,"AAAAAH1b72Y=")</f>
        <v>#VALUE!</v>
      </c>
      <c r="CZ54" t="e">
        <f>AND('Large Nonlinear Problem'!E254,"AAAAAH1b72c=")</f>
        <v>#VALUE!</v>
      </c>
      <c r="DA54" t="e">
        <f>AND('Large Nonlinear Problem'!F254,"AAAAAH1b72g=")</f>
        <v>#VALUE!</v>
      </c>
      <c r="DB54" t="e">
        <f>AND('Large Nonlinear Problem'!G254,"AAAAAH1b72k=")</f>
        <v>#VALUE!</v>
      </c>
      <c r="DC54">
        <f>IF('Large Nonlinear Problem'!255:255,"AAAAAH1b72o=",0)</f>
        <v>0</v>
      </c>
      <c r="DD54" t="e">
        <f>AND('Large Nonlinear Problem'!A255,"AAAAAH1b72s=")</f>
        <v>#VALUE!</v>
      </c>
      <c r="DE54" t="e">
        <f>AND('Large Nonlinear Problem'!B255,"AAAAAH1b72w=")</f>
        <v>#VALUE!</v>
      </c>
      <c r="DF54" t="e">
        <f>AND('Large Nonlinear Problem'!C255,"AAAAAH1b720=")</f>
        <v>#VALUE!</v>
      </c>
      <c r="DG54" t="e">
        <f>AND('Large Nonlinear Problem'!D255,"AAAAAH1b724=")</f>
        <v>#VALUE!</v>
      </c>
      <c r="DH54" t="e">
        <f>AND('Large Nonlinear Problem'!E255,"AAAAAH1b728=")</f>
        <v>#VALUE!</v>
      </c>
      <c r="DI54" t="e">
        <f>AND('Large Nonlinear Problem'!F255,"AAAAAH1b73A=")</f>
        <v>#VALUE!</v>
      </c>
      <c r="DJ54" t="e">
        <f>AND('Large Nonlinear Problem'!G255,"AAAAAH1b73E=")</f>
        <v>#VALUE!</v>
      </c>
      <c r="DK54">
        <f>IF('Large Nonlinear Problem'!256:256,"AAAAAH1b73I=",0)</f>
        <v>0</v>
      </c>
      <c r="DL54" t="e">
        <f>AND('Large Nonlinear Problem'!A256,"AAAAAH1b73M=")</f>
        <v>#VALUE!</v>
      </c>
      <c r="DM54" t="e">
        <f>AND('Large Nonlinear Problem'!B256,"AAAAAH1b73Q=")</f>
        <v>#VALUE!</v>
      </c>
      <c r="DN54" t="e">
        <f>AND('Large Nonlinear Problem'!C256,"AAAAAH1b73U=")</f>
        <v>#VALUE!</v>
      </c>
      <c r="DO54" t="e">
        <f>AND('Large Nonlinear Problem'!D256,"AAAAAH1b73Y=")</f>
        <v>#VALUE!</v>
      </c>
      <c r="DP54" t="e">
        <f>AND('Large Nonlinear Problem'!E256,"AAAAAH1b73c=")</f>
        <v>#VALUE!</v>
      </c>
      <c r="DQ54" t="e">
        <f>AND('Large Nonlinear Problem'!F256,"AAAAAH1b73g=")</f>
        <v>#VALUE!</v>
      </c>
      <c r="DR54" t="e">
        <f>AND('Large Nonlinear Problem'!G256,"AAAAAH1b73k=")</f>
        <v>#VALUE!</v>
      </c>
      <c r="DS54">
        <f>IF('Large Nonlinear Problem'!257:257,"AAAAAH1b73o=",0)</f>
        <v>0</v>
      </c>
      <c r="DT54" t="e">
        <f>AND('Large Nonlinear Problem'!A257,"AAAAAH1b73s=")</f>
        <v>#VALUE!</v>
      </c>
      <c r="DU54" t="e">
        <f>AND('Large Nonlinear Problem'!B257,"AAAAAH1b73w=")</f>
        <v>#VALUE!</v>
      </c>
      <c r="DV54" t="e">
        <f>AND('Large Nonlinear Problem'!C257,"AAAAAH1b730=")</f>
        <v>#VALUE!</v>
      </c>
      <c r="DW54" t="e">
        <f>AND('Large Nonlinear Problem'!D257,"AAAAAH1b734=")</f>
        <v>#VALUE!</v>
      </c>
      <c r="DX54" t="e">
        <f>AND('Large Nonlinear Problem'!E257,"AAAAAH1b738=")</f>
        <v>#VALUE!</v>
      </c>
      <c r="DY54" t="e">
        <f>AND('Large Nonlinear Problem'!F257,"AAAAAH1b74A=")</f>
        <v>#VALUE!</v>
      </c>
      <c r="DZ54" t="e">
        <f>AND('Large Nonlinear Problem'!G257,"AAAAAH1b74E=")</f>
        <v>#VALUE!</v>
      </c>
      <c r="EA54">
        <f>IF('Large Nonlinear Problem'!258:258,"AAAAAH1b74I=",0)</f>
        <v>0</v>
      </c>
      <c r="EB54" t="e">
        <f>AND('Large Nonlinear Problem'!A258,"AAAAAH1b74M=")</f>
        <v>#VALUE!</v>
      </c>
      <c r="EC54" t="e">
        <f>AND('Large Nonlinear Problem'!B258,"AAAAAH1b74Q=")</f>
        <v>#VALUE!</v>
      </c>
      <c r="ED54" t="e">
        <f>AND('Large Nonlinear Problem'!C258,"AAAAAH1b74U=")</f>
        <v>#VALUE!</v>
      </c>
      <c r="EE54" t="e">
        <f>AND('Large Nonlinear Problem'!D258,"AAAAAH1b74Y=")</f>
        <v>#VALUE!</v>
      </c>
      <c r="EF54" t="e">
        <f>AND('Large Nonlinear Problem'!E258,"AAAAAH1b74c=")</f>
        <v>#VALUE!</v>
      </c>
      <c r="EG54" t="e">
        <f>AND('Large Nonlinear Problem'!F258,"AAAAAH1b74g=")</f>
        <v>#VALUE!</v>
      </c>
      <c r="EH54" t="e">
        <f>AND('Large Nonlinear Problem'!G258,"AAAAAH1b74k=")</f>
        <v>#VALUE!</v>
      </c>
      <c r="EI54">
        <f>IF('Large Nonlinear Problem'!259:259,"AAAAAH1b74o=",0)</f>
        <v>0</v>
      </c>
      <c r="EJ54" t="e">
        <f>AND('Large Nonlinear Problem'!A259,"AAAAAH1b74s=")</f>
        <v>#VALUE!</v>
      </c>
      <c r="EK54" t="e">
        <f>AND('Large Nonlinear Problem'!B259,"AAAAAH1b74w=")</f>
        <v>#VALUE!</v>
      </c>
      <c r="EL54" t="e">
        <f>AND('Large Nonlinear Problem'!C259,"AAAAAH1b740=")</f>
        <v>#VALUE!</v>
      </c>
      <c r="EM54" t="e">
        <f>AND('Large Nonlinear Problem'!D259,"AAAAAH1b744=")</f>
        <v>#VALUE!</v>
      </c>
      <c r="EN54" t="e">
        <f>AND('Large Nonlinear Problem'!E259,"AAAAAH1b748=")</f>
        <v>#VALUE!</v>
      </c>
      <c r="EO54" t="e">
        <f>AND('Large Nonlinear Problem'!F259,"AAAAAH1b75A=")</f>
        <v>#VALUE!</v>
      </c>
      <c r="EP54" t="e">
        <f>AND('Large Nonlinear Problem'!G259,"AAAAAH1b75E=")</f>
        <v>#VALUE!</v>
      </c>
      <c r="EQ54">
        <f>IF('Large Nonlinear Problem'!260:260,"AAAAAH1b75I=",0)</f>
        <v>0</v>
      </c>
      <c r="ER54" t="e">
        <f>AND('Large Nonlinear Problem'!A260,"AAAAAH1b75M=")</f>
        <v>#VALUE!</v>
      </c>
      <c r="ES54" t="e">
        <f>AND('Large Nonlinear Problem'!B260,"AAAAAH1b75Q=")</f>
        <v>#VALUE!</v>
      </c>
      <c r="ET54" t="e">
        <f>AND('Large Nonlinear Problem'!C260,"AAAAAH1b75U=")</f>
        <v>#VALUE!</v>
      </c>
      <c r="EU54" t="e">
        <f>AND('Large Nonlinear Problem'!D260,"AAAAAH1b75Y=")</f>
        <v>#VALUE!</v>
      </c>
      <c r="EV54" t="e">
        <f>AND('Large Nonlinear Problem'!E260,"AAAAAH1b75c=")</f>
        <v>#VALUE!</v>
      </c>
      <c r="EW54" t="e">
        <f>AND('Large Nonlinear Problem'!F260,"AAAAAH1b75g=")</f>
        <v>#VALUE!</v>
      </c>
      <c r="EX54" t="e">
        <f>AND('Large Nonlinear Problem'!G260,"AAAAAH1b75k=")</f>
        <v>#VALUE!</v>
      </c>
      <c r="EY54">
        <f>IF('Large Nonlinear Problem'!261:261,"AAAAAH1b75o=",0)</f>
        <v>0</v>
      </c>
      <c r="EZ54" t="e">
        <f>AND('Large Nonlinear Problem'!A261,"AAAAAH1b75s=")</f>
        <v>#VALUE!</v>
      </c>
      <c r="FA54" t="e">
        <f>AND('Large Nonlinear Problem'!B261,"AAAAAH1b75w=")</f>
        <v>#VALUE!</v>
      </c>
      <c r="FB54" t="e">
        <f>AND('Large Nonlinear Problem'!C261,"AAAAAH1b750=")</f>
        <v>#VALUE!</v>
      </c>
      <c r="FC54" t="e">
        <f>AND('Large Nonlinear Problem'!D261,"AAAAAH1b754=")</f>
        <v>#VALUE!</v>
      </c>
      <c r="FD54" t="e">
        <f>AND('Large Nonlinear Problem'!E261,"AAAAAH1b758=")</f>
        <v>#VALUE!</v>
      </c>
      <c r="FE54" t="e">
        <f>AND('Large Nonlinear Problem'!F261,"AAAAAH1b76A=")</f>
        <v>#VALUE!</v>
      </c>
      <c r="FF54" t="e">
        <f>AND('Large Nonlinear Problem'!G261,"AAAAAH1b76E=")</f>
        <v>#VALUE!</v>
      </c>
      <c r="FG54">
        <f>IF('Large Nonlinear Problem'!262:262,"AAAAAH1b76I=",0)</f>
        <v>0</v>
      </c>
      <c r="FH54" t="e">
        <f>AND('Large Nonlinear Problem'!A262,"AAAAAH1b76M=")</f>
        <v>#VALUE!</v>
      </c>
      <c r="FI54" t="e">
        <f>AND('Large Nonlinear Problem'!B262,"AAAAAH1b76Q=")</f>
        <v>#VALUE!</v>
      </c>
      <c r="FJ54" t="e">
        <f>AND('Large Nonlinear Problem'!C262,"AAAAAH1b76U=")</f>
        <v>#VALUE!</v>
      </c>
      <c r="FK54" t="e">
        <f>AND('Large Nonlinear Problem'!D262,"AAAAAH1b76Y=")</f>
        <v>#VALUE!</v>
      </c>
      <c r="FL54" t="e">
        <f>AND('Large Nonlinear Problem'!E262,"AAAAAH1b76c=")</f>
        <v>#VALUE!</v>
      </c>
      <c r="FM54" t="e">
        <f>AND('Large Nonlinear Problem'!F262,"AAAAAH1b76g=")</f>
        <v>#VALUE!</v>
      </c>
      <c r="FN54" t="e">
        <f>AND('Large Nonlinear Problem'!G262,"AAAAAH1b76k=")</f>
        <v>#VALUE!</v>
      </c>
      <c r="FO54">
        <f>IF('Large Nonlinear Problem'!263:263,"AAAAAH1b76o=",0)</f>
        <v>0</v>
      </c>
      <c r="FP54" t="e">
        <f>AND('Large Nonlinear Problem'!A263,"AAAAAH1b76s=")</f>
        <v>#VALUE!</v>
      </c>
      <c r="FQ54" t="e">
        <f>AND('Large Nonlinear Problem'!B263,"AAAAAH1b76w=")</f>
        <v>#VALUE!</v>
      </c>
      <c r="FR54" t="e">
        <f>AND('Large Nonlinear Problem'!C263,"AAAAAH1b760=")</f>
        <v>#VALUE!</v>
      </c>
      <c r="FS54" t="e">
        <f>AND('Large Nonlinear Problem'!D263,"AAAAAH1b764=")</f>
        <v>#VALUE!</v>
      </c>
      <c r="FT54" t="e">
        <f>AND('Large Nonlinear Problem'!E263,"AAAAAH1b768=")</f>
        <v>#VALUE!</v>
      </c>
      <c r="FU54" t="e">
        <f>AND('Large Nonlinear Problem'!F263,"AAAAAH1b77A=")</f>
        <v>#VALUE!</v>
      </c>
      <c r="FV54" t="e">
        <f>AND('Large Nonlinear Problem'!G263,"AAAAAH1b77E=")</f>
        <v>#VALUE!</v>
      </c>
      <c r="FW54">
        <f>IF('Large Nonlinear Problem'!264:264,"AAAAAH1b77I=",0)</f>
        <v>0</v>
      </c>
      <c r="FX54" t="e">
        <f>AND('Large Nonlinear Problem'!A264,"AAAAAH1b77M=")</f>
        <v>#VALUE!</v>
      </c>
      <c r="FY54" t="e">
        <f>AND('Large Nonlinear Problem'!B264,"AAAAAH1b77Q=")</f>
        <v>#VALUE!</v>
      </c>
      <c r="FZ54" t="e">
        <f>AND('Large Nonlinear Problem'!C264,"AAAAAH1b77U=")</f>
        <v>#VALUE!</v>
      </c>
      <c r="GA54" t="e">
        <f>AND('Large Nonlinear Problem'!D264,"AAAAAH1b77Y=")</f>
        <v>#VALUE!</v>
      </c>
      <c r="GB54" t="e">
        <f>AND('Large Nonlinear Problem'!E264,"AAAAAH1b77c=")</f>
        <v>#VALUE!</v>
      </c>
      <c r="GC54" t="e">
        <f>AND('Large Nonlinear Problem'!F264,"AAAAAH1b77g=")</f>
        <v>#VALUE!</v>
      </c>
      <c r="GD54" t="e">
        <f>AND('Large Nonlinear Problem'!G264,"AAAAAH1b77k=")</f>
        <v>#VALUE!</v>
      </c>
      <c r="GE54">
        <f>IF('Large Nonlinear Problem'!265:265,"AAAAAH1b77o=",0)</f>
        <v>0</v>
      </c>
      <c r="GF54" t="e">
        <f>AND('Large Nonlinear Problem'!A265,"AAAAAH1b77s=")</f>
        <v>#VALUE!</v>
      </c>
      <c r="GG54" t="e">
        <f>AND('Large Nonlinear Problem'!B265,"AAAAAH1b77w=")</f>
        <v>#VALUE!</v>
      </c>
      <c r="GH54" t="e">
        <f>AND('Large Nonlinear Problem'!C265,"AAAAAH1b770=")</f>
        <v>#VALUE!</v>
      </c>
      <c r="GI54" t="e">
        <f>AND('Large Nonlinear Problem'!D265,"AAAAAH1b774=")</f>
        <v>#VALUE!</v>
      </c>
      <c r="GJ54" t="e">
        <f>AND('Large Nonlinear Problem'!E265,"AAAAAH1b778=")</f>
        <v>#VALUE!</v>
      </c>
      <c r="GK54" t="e">
        <f>AND('Large Nonlinear Problem'!F265,"AAAAAH1b78A=")</f>
        <v>#VALUE!</v>
      </c>
      <c r="GL54" t="e">
        <f>AND('Large Nonlinear Problem'!G265,"AAAAAH1b78E=")</f>
        <v>#VALUE!</v>
      </c>
      <c r="GM54">
        <f>IF('Large Nonlinear Problem'!266:266,"AAAAAH1b78I=",0)</f>
        <v>0</v>
      </c>
      <c r="GN54" t="e">
        <f>AND('Large Nonlinear Problem'!A266,"AAAAAH1b78M=")</f>
        <v>#VALUE!</v>
      </c>
      <c r="GO54" t="e">
        <f>AND('Large Nonlinear Problem'!B266,"AAAAAH1b78Q=")</f>
        <v>#VALUE!</v>
      </c>
      <c r="GP54" t="e">
        <f>AND('Large Nonlinear Problem'!C266,"AAAAAH1b78U=")</f>
        <v>#VALUE!</v>
      </c>
      <c r="GQ54" t="e">
        <f>AND('Large Nonlinear Problem'!D266,"AAAAAH1b78Y=")</f>
        <v>#VALUE!</v>
      </c>
      <c r="GR54" t="e">
        <f>AND('Large Nonlinear Problem'!E266,"AAAAAH1b78c=")</f>
        <v>#VALUE!</v>
      </c>
      <c r="GS54" t="e">
        <f>AND('Large Nonlinear Problem'!F266,"AAAAAH1b78g=")</f>
        <v>#VALUE!</v>
      </c>
      <c r="GT54" t="e">
        <f>AND('Large Nonlinear Problem'!G266,"AAAAAH1b78k=")</f>
        <v>#VALUE!</v>
      </c>
      <c r="GU54">
        <f>IF('Large Nonlinear Problem'!267:267,"AAAAAH1b78o=",0)</f>
        <v>0</v>
      </c>
      <c r="GV54" t="e">
        <f>AND('Large Nonlinear Problem'!A267,"AAAAAH1b78s=")</f>
        <v>#VALUE!</v>
      </c>
      <c r="GW54" t="e">
        <f>AND('Large Nonlinear Problem'!B267,"AAAAAH1b78w=")</f>
        <v>#VALUE!</v>
      </c>
      <c r="GX54" t="e">
        <f>AND('Large Nonlinear Problem'!C267,"AAAAAH1b780=")</f>
        <v>#VALUE!</v>
      </c>
      <c r="GY54" t="e">
        <f>AND('Large Nonlinear Problem'!D267,"AAAAAH1b784=")</f>
        <v>#VALUE!</v>
      </c>
      <c r="GZ54" t="e">
        <f>AND('Large Nonlinear Problem'!E267,"AAAAAH1b788=")</f>
        <v>#VALUE!</v>
      </c>
      <c r="HA54" t="e">
        <f>AND('Large Nonlinear Problem'!F267,"AAAAAH1b79A=")</f>
        <v>#VALUE!</v>
      </c>
      <c r="HB54" t="e">
        <f>AND('Large Nonlinear Problem'!G267,"AAAAAH1b79E=")</f>
        <v>#VALUE!</v>
      </c>
      <c r="HC54">
        <f>IF('Large Nonlinear Problem'!268:268,"AAAAAH1b79I=",0)</f>
        <v>0</v>
      </c>
      <c r="HD54" t="e">
        <f>AND('Large Nonlinear Problem'!A268,"AAAAAH1b79M=")</f>
        <v>#VALUE!</v>
      </c>
      <c r="HE54" t="e">
        <f>AND('Large Nonlinear Problem'!B268,"AAAAAH1b79Q=")</f>
        <v>#VALUE!</v>
      </c>
      <c r="HF54" t="e">
        <f>AND('Large Nonlinear Problem'!C268,"AAAAAH1b79U=")</f>
        <v>#VALUE!</v>
      </c>
      <c r="HG54" t="e">
        <f>AND('Large Nonlinear Problem'!D268,"AAAAAH1b79Y=")</f>
        <v>#VALUE!</v>
      </c>
      <c r="HH54" t="e">
        <f>AND('Large Nonlinear Problem'!E268,"AAAAAH1b79c=")</f>
        <v>#VALUE!</v>
      </c>
      <c r="HI54" t="e">
        <f>AND('Large Nonlinear Problem'!F268,"AAAAAH1b79g=")</f>
        <v>#VALUE!</v>
      </c>
      <c r="HJ54" t="e">
        <f>AND('Large Nonlinear Problem'!G268,"AAAAAH1b79k=")</f>
        <v>#VALUE!</v>
      </c>
      <c r="HK54">
        <f>IF('Large Nonlinear Problem'!269:269,"AAAAAH1b79o=",0)</f>
        <v>0</v>
      </c>
      <c r="HL54" t="e">
        <f>AND('Large Nonlinear Problem'!A269,"AAAAAH1b79s=")</f>
        <v>#VALUE!</v>
      </c>
      <c r="HM54" t="e">
        <f>AND('Large Nonlinear Problem'!B269,"AAAAAH1b79w=")</f>
        <v>#VALUE!</v>
      </c>
      <c r="HN54" t="e">
        <f>AND('Large Nonlinear Problem'!C269,"AAAAAH1b790=")</f>
        <v>#VALUE!</v>
      </c>
      <c r="HO54" t="e">
        <f>AND('Large Nonlinear Problem'!D269,"AAAAAH1b794=")</f>
        <v>#VALUE!</v>
      </c>
      <c r="HP54" t="e">
        <f>AND('Large Nonlinear Problem'!E269,"AAAAAH1b798=")</f>
        <v>#VALUE!</v>
      </c>
      <c r="HQ54" t="e">
        <f>AND('Large Nonlinear Problem'!F269,"AAAAAH1b7+A=")</f>
        <v>#VALUE!</v>
      </c>
      <c r="HR54" t="e">
        <f>AND('Large Nonlinear Problem'!G269,"AAAAAH1b7+E=")</f>
        <v>#VALUE!</v>
      </c>
      <c r="HS54">
        <f>IF('Large Nonlinear Problem'!270:270,"AAAAAH1b7+I=",0)</f>
        <v>0</v>
      </c>
      <c r="HT54" t="e">
        <f>AND('Large Nonlinear Problem'!A270,"AAAAAH1b7+M=")</f>
        <v>#VALUE!</v>
      </c>
      <c r="HU54" t="e">
        <f>AND('Large Nonlinear Problem'!B270,"AAAAAH1b7+Q=")</f>
        <v>#VALUE!</v>
      </c>
      <c r="HV54" t="e">
        <f>AND('Large Nonlinear Problem'!C270,"AAAAAH1b7+U=")</f>
        <v>#VALUE!</v>
      </c>
      <c r="HW54" t="e">
        <f>AND('Large Nonlinear Problem'!D270,"AAAAAH1b7+Y=")</f>
        <v>#VALUE!</v>
      </c>
      <c r="HX54" t="e">
        <f>AND('Large Nonlinear Problem'!E270,"AAAAAH1b7+c=")</f>
        <v>#VALUE!</v>
      </c>
      <c r="HY54" t="e">
        <f>AND('Large Nonlinear Problem'!F270,"AAAAAH1b7+g=")</f>
        <v>#VALUE!</v>
      </c>
      <c r="HZ54" t="e">
        <f>AND('Large Nonlinear Problem'!G270,"AAAAAH1b7+k=")</f>
        <v>#VALUE!</v>
      </c>
      <c r="IA54">
        <f>IF('Large Nonlinear Problem'!271:271,"AAAAAH1b7+o=",0)</f>
        <v>0</v>
      </c>
      <c r="IB54" t="e">
        <f>AND('Large Nonlinear Problem'!A271,"AAAAAH1b7+s=")</f>
        <v>#VALUE!</v>
      </c>
      <c r="IC54" t="e">
        <f>AND('Large Nonlinear Problem'!B271,"AAAAAH1b7+w=")</f>
        <v>#VALUE!</v>
      </c>
      <c r="ID54" t="e">
        <f>AND('Large Nonlinear Problem'!C271,"AAAAAH1b7+0=")</f>
        <v>#VALUE!</v>
      </c>
      <c r="IE54" t="e">
        <f>AND('Large Nonlinear Problem'!D271,"AAAAAH1b7+4=")</f>
        <v>#VALUE!</v>
      </c>
      <c r="IF54" t="e">
        <f>AND('Large Nonlinear Problem'!E271,"AAAAAH1b7+8=")</f>
        <v>#VALUE!</v>
      </c>
      <c r="IG54" t="e">
        <f>AND('Large Nonlinear Problem'!F271,"AAAAAH1b7/A=")</f>
        <v>#VALUE!</v>
      </c>
      <c r="IH54" t="e">
        <f>AND('Large Nonlinear Problem'!G271,"AAAAAH1b7/E=")</f>
        <v>#VALUE!</v>
      </c>
      <c r="II54">
        <f>IF('Large Nonlinear Problem'!272:272,"AAAAAH1b7/I=",0)</f>
        <v>0</v>
      </c>
      <c r="IJ54" t="e">
        <f>AND('Large Nonlinear Problem'!A272,"AAAAAH1b7/M=")</f>
        <v>#VALUE!</v>
      </c>
      <c r="IK54" t="e">
        <f>AND('Large Nonlinear Problem'!B272,"AAAAAH1b7/Q=")</f>
        <v>#VALUE!</v>
      </c>
      <c r="IL54" t="e">
        <f>AND('Large Nonlinear Problem'!C272,"AAAAAH1b7/U=")</f>
        <v>#VALUE!</v>
      </c>
      <c r="IM54" t="e">
        <f>AND('Large Nonlinear Problem'!D272,"AAAAAH1b7/Y=")</f>
        <v>#VALUE!</v>
      </c>
      <c r="IN54" t="e">
        <f>AND('Large Nonlinear Problem'!E272,"AAAAAH1b7/c=")</f>
        <v>#VALUE!</v>
      </c>
      <c r="IO54" t="e">
        <f>AND('Large Nonlinear Problem'!F272,"AAAAAH1b7/g=")</f>
        <v>#VALUE!</v>
      </c>
      <c r="IP54" t="e">
        <f>AND('Large Nonlinear Problem'!G272,"AAAAAH1b7/k=")</f>
        <v>#VALUE!</v>
      </c>
      <c r="IQ54">
        <f>IF('Large Nonlinear Problem'!273:273,"AAAAAH1b7/o=",0)</f>
        <v>0</v>
      </c>
      <c r="IR54" t="e">
        <f>AND('Large Nonlinear Problem'!A273,"AAAAAH1b7/s=")</f>
        <v>#VALUE!</v>
      </c>
      <c r="IS54" t="e">
        <f>AND('Large Nonlinear Problem'!B273,"AAAAAH1b7/w=")</f>
        <v>#VALUE!</v>
      </c>
      <c r="IT54" t="e">
        <f>AND('Large Nonlinear Problem'!C273,"AAAAAH1b7/0=")</f>
        <v>#VALUE!</v>
      </c>
      <c r="IU54" t="e">
        <f>AND('Large Nonlinear Problem'!D273,"AAAAAH1b7/4=")</f>
        <v>#VALUE!</v>
      </c>
      <c r="IV54" t="e">
        <f>AND('Large Nonlinear Problem'!E273,"AAAAAH1b7/8=")</f>
        <v>#VALUE!</v>
      </c>
    </row>
    <row r="55" spans="1:256">
      <c r="A55" t="e">
        <f>AND('Large Nonlinear Problem'!F273,"AAAAAFl92QA=")</f>
        <v>#VALUE!</v>
      </c>
      <c r="B55" t="e">
        <f>AND('Large Nonlinear Problem'!G273,"AAAAAFl92QE=")</f>
        <v>#VALUE!</v>
      </c>
      <c r="C55" t="str">
        <f>IF('Large Nonlinear Problem'!274:274,"AAAAAFl92QI=",0)</f>
        <v>AAAAAFl92QI=</v>
      </c>
      <c r="D55" t="e">
        <f>AND('Large Nonlinear Problem'!A274,"AAAAAFl92QM=")</f>
        <v>#VALUE!</v>
      </c>
      <c r="E55" t="e">
        <f>AND('Large Nonlinear Problem'!B274,"AAAAAFl92QQ=")</f>
        <v>#VALUE!</v>
      </c>
      <c r="F55" t="e">
        <f>AND('Large Nonlinear Problem'!C274,"AAAAAFl92QU=")</f>
        <v>#VALUE!</v>
      </c>
      <c r="G55" t="e">
        <f>AND('Large Nonlinear Problem'!D274,"AAAAAFl92QY=")</f>
        <v>#VALUE!</v>
      </c>
      <c r="H55" t="e">
        <f>AND('Large Nonlinear Problem'!E274,"AAAAAFl92Qc=")</f>
        <v>#VALUE!</v>
      </c>
      <c r="I55" t="e">
        <f>AND('Large Nonlinear Problem'!F274,"AAAAAFl92Qg=")</f>
        <v>#VALUE!</v>
      </c>
      <c r="J55" t="e">
        <f>AND('Large Nonlinear Problem'!G274,"AAAAAFl92Qk=")</f>
        <v>#VALUE!</v>
      </c>
      <c r="K55">
        <f>IF('Large Nonlinear Problem'!275:275,"AAAAAFl92Qo=",0)</f>
        <v>0</v>
      </c>
      <c r="L55" t="e">
        <f>AND('Large Nonlinear Problem'!A275,"AAAAAFl92Qs=")</f>
        <v>#VALUE!</v>
      </c>
      <c r="M55" t="e">
        <f>AND('Large Nonlinear Problem'!B275,"AAAAAFl92Qw=")</f>
        <v>#VALUE!</v>
      </c>
      <c r="N55" t="e">
        <f>AND('Large Nonlinear Problem'!C275,"AAAAAFl92Q0=")</f>
        <v>#VALUE!</v>
      </c>
      <c r="O55" t="e">
        <f>AND('Large Nonlinear Problem'!D275,"AAAAAFl92Q4=")</f>
        <v>#VALUE!</v>
      </c>
      <c r="P55" t="e">
        <f>AND('Large Nonlinear Problem'!E275,"AAAAAFl92Q8=")</f>
        <v>#VALUE!</v>
      </c>
      <c r="Q55" t="e">
        <f>AND('Large Nonlinear Problem'!F275,"AAAAAFl92RA=")</f>
        <v>#VALUE!</v>
      </c>
      <c r="R55" t="e">
        <f>AND('Large Nonlinear Problem'!G275,"AAAAAFl92RE=")</f>
        <v>#VALUE!</v>
      </c>
      <c r="S55">
        <f>IF('Large Nonlinear Problem'!276:276,"AAAAAFl92RI=",0)</f>
        <v>0</v>
      </c>
      <c r="T55" t="e">
        <f>AND('Large Nonlinear Problem'!A276,"AAAAAFl92RM=")</f>
        <v>#VALUE!</v>
      </c>
      <c r="U55" t="e">
        <f>AND('Large Nonlinear Problem'!B276,"AAAAAFl92RQ=")</f>
        <v>#VALUE!</v>
      </c>
      <c r="V55" t="e">
        <f>AND('Large Nonlinear Problem'!C276,"AAAAAFl92RU=")</f>
        <v>#VALUE!</v>
      </c>
      <c r="W55" t="e">
        <f>AND('Large Nonlinear Problem'!D276,"AAAAAFl92RY=")</f>
        <v>#VALUE!</v>
      </c>
      <c r="X55" t="e">
        <f>AND('Large Nonlinear Problem'!E276,"AAAAAFl92Rc=")</f>
        <v>#VALUE!</v>
      </c>
      <c r="Y55" t="e">
        <f>AND('Large Nonlinear Problem'!F276,"AAAAAFl92Rg=")</f>
        <v>#VALUE!</v>
      </c>
      <c r="Z55" t="e">
        <f>AND('Large Nonlinear Problem'!G276,"AAAAAFl92Rk=")</f>
        <v>#VALUE!</v>
      </c>
      <c r="AA55">
        <f>IF('Large Nonlinear Problem'!277:277,"AAAAAFl92Ro=",0)</f>
        <v>0</v>
      </c>
      <c r="AB55" t="e">
        <f>AND('Large Nonlinear Problem'!A277,"AAAAAFl92Rs=")</f>
        <v>#VALUE!</v>
      </c>
      <c r="AC55" t="e">
        <f>AND('Large Nonlinear Problem'!B277,"AAAAAFl92Rw=")</f>
        <v>#VALUE!</v>
      </c>
      <c r="AD55" t="e">
        <f>AND('Large Nonlinear Problem'!C277,"AAAAAFl92R0=")</f>
        <v>#VALUE!</v>
      </c>
      <c r="AE55" t="e">
        <f>AND('Large Nonlinear Problem'!D277,"AAAAAFl92R4=")</f>
        <v>#VALUE!</v>
      </c>
      <c r="AF55" t="e">
        <f>AND('Large Nonlinear Problem'!E277,"AAAAAFl92R8=")</f>
        <v>#VALUE!</v>
      </c>
      <c r="AG55" t="e">
        <f>AND('Large Nonlinear Problem'!F277,"AAAAAFl92SA=")</f>
        <v>#VALUE!</v>
      </c>
      <c r="AH55" t="e">
        <f>AND('Large Nonlinear Problem'!G277,"AAAAAFl92SE=")</f>
        <v>#VALUE!</v>
      </c>
      <c r="AI55">
        <f>IF('Large Nonlinear Problem'!278:278,"AAAAAFl92SI=",0)</f>
        <v>0</v>
      </c>
      <c r="AJ55" t="e">
        <f>AND('Large Nonlinear Problem'!A278,"AAAAAFl92SM=")</f>
        <v>#VALUE!</v>
      </c>
      <c r="AK55" t="e">
        <f>AND('Large Nonlinear Problem'!B278,"AAAAAFl92SQ=")</f>
        <v>#VALUE!</v>
      </c>
      <c r="AL55" t="e">
        <f>AND('Large Nonlinear Problem'!C278,"AAAAAFl92SU=")</f>
        <v>#VALUE!</v>
      </c>
      <c r="AM55" t="e">
        <f>AND('Large Nonlinear Problem'!D278,"AAAAAFl92SY=")</f>
        <v>#VALUE!</v>
      </c>
      <c r="AN55" t="e">
        <f>AND('Large Nonlinear Problem'!E278,"AAAAAFl92Sc=")</f>
        <v>#VALUE!</v>
      </c>
      <c r="AO55" t="e">
        <f>AND('Large Nonlinear Problem'!F278,"AAAAAFl92Sg=")</f>
        <v>#VALUE!</v>
      </c>
      <c r="AP55" t="e">
        <f>AND('Large Nonlinear Problem'!G278,"AAAAAFl92Sk=")</f>
        <v>#VALUE!</v>
      </c>
      <c r="AQ55">
        <f>IF('Large Nonlinear Problem'!279:279,"AAAAAFl92So=",0)</f>
        <v>0</v>
      </c>
      <c r="AR55" t="e">
        <f>AND('Large Nonlinear Problem'!A279,"AAAAAFl92Ss=")</f>
        <v>#VALUE!</v>
      </c>
      <c r="AS55" t="e">
        <f>AND('Large Nonlinear Problem'!B279,"AAAAAFl92Sw=")</f>
        <v>#VALUE!</v>
      </c>
      <c r="AT55" t="e">
        <f>AND('Large Nonlinear Problem'!C279,"AAAAAFl92S0=")</f>
        <v>#VALUE!</v>
      </c>
      <c r="AU55" t="e">
        <f>AND('Large Nonlinear Problem'!D279,"AAAAAFl92S4=")</f>
        <v>#VALUE!</v>
      </c>
      <c r="AV55" t="e">
        <f>AND('Large Nonlinear Problem'!E279,"AAAAAFl92S8=")</f>
        <v>#VALUE!</v>
      </c>
      <c r="AW55" t="e">
        <f>AND('Large Nonlinear Problem'!F279,"AAAAAFl92TA=")</f>
        <v>#VALUE!</v>
      </c>
      <c r="AX55" t="e">
        <f>AND('Large Nonlinear Problem'!G279,"AAAAAFl92TE=")</f>
        <v>#VALUE!</v>
      </c>
      <c r="AY55">
        <f>IF('Large Nonlinear Problem'!280:280,"AAAAAFl92TI=",0)</f>
        <v>0</v>
      </c>
      <c r="AZ55" t="e">
        <f>AND('Large Nonlinear Problem'!A280,"AAAAAFl92TM=")</f>
        <v>#VALUE!</v>
      </c>
      <c r="BA55" t="e">
        <f>AND('Large Nonlinear Problem'!B280,"AAAAAFl92TQ=")</f>
        <v>#VALUE!</v>
      </c>
      <c r="BB55" t="e">
        <f>AND('Large Nonlinear Problem'!C280,"AAAAAFl92TU=")</f>
        <v>#VALUE!</v>
      </c>
      <c r="BC55" t="e">
        <f>AND('Large Nonlinear Problem'!D280,"AAAAAFl92TY=")</f>
        <v>#VALUE!</v>
      </c>
      <c r="BD55" t="e">
        <f>AND('Large Nonlinear Problem'!E280,"AAAAAFl92Tc=")</f>
        <v>#VALUE!</v>
      </c>
      <c r="BE55" t="e">
        <f>AND('Large Nonlinear Problem'!F280,"AAAAAFl92Tg=")</f>
        <v>#VALUE!</v>
      </c>
      <c r="BF55" t="e">
        <f>AND('Large Nonlinear Problem'!G280,"AAAAAFl92Tk=")</f>
        <v>#VALUE!</v>
      </c>
      <c r="BG55">
        <f>IF('Large Nonlinear Problem'!281:281,"AAAAAFl92To=",0)</f>
        <v>0</v>
      </c>
      <c r="BH55" t="e">
        <f>AND('Large Nonlinear Problem'!A281,"AAAAAFl92Ts=")</f>
        <v>#VALUE!</v>
      </c>
      <c r="BI55" t="e">
        <f>AND('Large Nonlinear Problem'!B281,"AAAAAFl92Tw=")</f>
        <v>#VALUE!</v>
      </c>
      <c r="BJ55" t="e">
        <f>AND('Large Nonlinear Problem'!C281,"AAAAAFl92T0=")</f>
        <v>#VALUE!</v>
      </c>
      <c r="BK55" t="e">
        <f>AND('Large Nonlinear Problem'!D281,"AAAAAFl92T4=")</f>
        <v>#VALUE!</v>
      </c>
      <c r="BL55" t="e">
        <f>AND('Large Nonlinear Problem'!E281,"AAAAAFl92T8=")</f>
        <v>#VALUE!</v>
      </c>
      <c r="BM55" t="e">
        <f>AND('Large Nonlinear Problem'!F281,"AAAAAFl92UA=")</f>
        <v>#VALUE!</v>
      </c>
      <c r="BN55" t="e">
        <f>AND('Large Nonlinear Problem'!G281,"AAAAAFl92UE=")</f>
        <v>#VALUE!</v>
      </c>
      <c r="BO55">
        <f>IF('Large Nonlinear Problem'!282:282,"AAAAAFl92UI=",0)</f>
        <v>0</v>
      </c>
      <c r="BP55" t="e">
        <f>AND('Large Nonlinear Problem'!A282,"AAAAAFl92UM=")</f>
        <v>#VALUE!</v>
      </c>
      <c r="BQ55" t="e">
        <f>AND('Large Nonlinear Problem'!B282,"AAAAAFl92UQ=")</f>
        <v>#VALUE!</v>
      </c>
      <c r="BR55" t="e">
        <f>AND('Large Nonlinear Problem'!C282,"AAAAAFl92UU=")</f>
        <v>#VALUE!</v>
      </c>
      <c r="BS55" t="e">
        <f>AND('Large Nonlinear Problem'!D282,"AAAAAFl92UY=")</f>
        <v>#VALUE!</v>
      </c>
      <c r="BT55" t="e">
        <f>AND('Large Nonlinear Problem'!E282,"AAAAAFl92Uc=")</f>
        <v>#VALUE!</v>
      </c>
      <c r="BU55" t="e">
        <f>AND('Large Nonlinear Problem'!F282,"AAAAAFl92Ug=")</f>
        <v>#VALUE!</v>
      </c>
      <c r="BV55" t="e">
        <f>AND('Large Nonlinear Problem'!G282,"AAAAAFl92Uk=")</f>
        <v>#VALUE!</v>
      </c>
      <c r="BW55">
        <f>IF('Large Nonlinear Problem'!283:283,"AAAAAFl92Uo=",0)</f>
        <v>0</v>
      </c>
      <c r="BX55" t="e">
        <f>AND('Large Nonlinear Problem'!A283,"AAAAAFl92Us=")</f>
        <v>#VALUE!</v>
      </c>
      <c r="BY55" t="e">
        <f>AND('Large Nonlinear Problem'!B283,"AAAAAFl92Uw=")</f>
        <v>#VALUE!</v>
      </c>
      <c r="BZ55" t="e">
        <f>AND('Large Nonlinear Problem'!C283,"AAAAAFl92U0=")</f>
        <v>#VALUE!</v>
      </c>
      <c r="CA55" t="e">
        <f>AND('Large Nonlinear Problem'!D283,"AAAAAFl92U4=")</f>
        <v>#VALUE!</v>
      </c>
      <c r="CB55" t="e">
        <f>AND('Large Nonlinear Problem'!E283,"AAAAAFl92U8=")</f>
        <v>#VALUE!</v>
      </c>
      <c r="CC55" t="e">
        <f>AND('Large Nonlinear Problem'!F283,"AAAAAFl92VA=")</f>
        <v>#VALUE!</v>
      </c>
      <c r="CD55" t="e">
        <f>AND('Large Nonlinear Problem'!G283,"AAAAAFl92VE=")</f>
        <v>#VALUE!</v>
      </c>
      <c r="CE55">
        <f>IF('Large Nonlinear Problem'!284:284,"AAAAAFl92VI=",0)</f>
        <v>0</v>
      </c>
      <c r="CF55" t="e">
        <f>AND('Large Nonlinear Problem'!A284,"AAAAAFl92VM=")</f>
        <v>#VALUE!</v>
      </c>
      <c r="CG55" t="e">
        <f>AND('Large Nonlinear Problem'!B284,"AAAAAFl92VQ=")</f>
        <v>#VALUE!</v>
      </c>
      <c r="CH55" t="e">
        <f>AND('Large Nonlinear Problem'!C284,"AAAAAFl92VU=")</f>
        <v>#VALUE!</v>
      </c>
      <c r="CI55" t="e">
        <f>AND('Large Nonlinear Problem'!D284,"AAAAAFl92VY=")</f>
        <v>#VALUE!</v>
      </c>
      <c r="CJ55" t="e">
        <f>AND('Large Nonlinear Problem'!E284,"AAAAAFl92Vc=")</f>
        <v>#VALUE!</v>
      </c>
      <c r="CK55" t="e">
        <f>AND('Large Nonlinear Problem'!F284,"AAAAAFl92Vg=")</f>
        <v>#VALUE!</v>
      </c>
      <c r="CL55" t="e">
        <f>AND('Large Nonlinear Problem'!G284,"AAAAAFl92Vk=")</f>
        <v>#VALUE!</v>
      </c>
      <c r="CM55">
        <f>IF('Large Nonlinear Problem'!285:285,"AAAAAFl92Vo=",0)</f>
        <v>0</v>
      </c>
      <c r="CN55" t="e">
        <f>AND('Large Nonlinear Problem'!A285,"AAAAAFl92Vs=")</f>
        <v>#VALUE!</v>
      </c>
      <c r="CO55" t="e">
        <f>AND('Large Nonlinear Problem'!B285,"AAAAAFl92Vw=")</f>
        <v>#VALUE!</v>
      </c>
      <c r="CP55" t="e">
        <f>AND('Large Nonlinear Problem'!C285,"AAAAAFl92V0=")</f>
        <v>#VALUE!</v>
      </c>
      <c r="CQ55" t="e">
        <f>AND('Large Nonlinear Problem'!D285,"AAAAAFl92V4=")</f>
        <v>#VALUE!</v>
      </c>
      <c r="CR55" t="e">
        <f>AND('Large Nonlinear Problem'!E285,"AAAAAFl92V8=")</f>
        <v>#VALUE!</v>
      </c>
      <c r="CS55" t="e">
        <f>AND('Large Nonlinear Problem'!F285,"AAAAAFl92WA=")</f>
        <v>#VALUE!</v>
      </c>
      <c r="CT55" t="e">
        <f>AND('Large Nonlinear Problem'!G285,"AAAAAFl92WE=")</f>
        <v>#VALUE!</v>
      </c>
      <c r="CU55">
        <f>IF('Large Nonlinear Problem'!286:286,"AAAAAFl92WI=",0)</f>
        <v>0</v>
      </c>
      <c r="CV55" t="e">
        <f>AND('Large Nonlinear Problem'!A286,"AAAAAFl92WM=")</f>
        <v>#VALUE!</v>
      </c>
      <c r="CW55" t="e">
        <f>AND('Large Nonlinear Problem'!B286,"AAAAAFl92WQ=")</f>
        <v>#VALUE!</v>
      </c>
      <c r="CX55" t="e">
        <f>AND('Large Nonlinear Problem'!C286,"AAAAAFl92WU=")</f>
        <v>#VALUE!</v>
      </c>
      <c r="CY55" t="e">
        <f>AND('Large Nonlinear Problem'!D286,"AAAAAFl92WY=")</f>
        <v>#VALUE!</v>
      </c>
      <c r="CZ55" t="e">
        <f>AND('Large Nonlinear Problem'!E286,"AAAAAFl92Wc=")</f>
        <v>#VALUE!</v>
      </c>
      <c r="DA55" t="e">
        <f>AND('Large Nonlinear Problem'!F286,"AAAAAFl92Wg=")</f>
        <v>#VALUE!</v>
      </c>
      <c r="DB55" t="e">
        <f>AND('Large Nonlinear Problem'!G286,"AAAAAFl92Wk=")</f>
        <v>#VALUE!</v>
      </c>
      <c r="DC55">
        <f>IF('Large Nonlinear Problem'!287:287,"AAAAAFl92Wo=",0)</f>
        <v>0</v>
      </c>
      <c r="DD55" t="e">
        <f>AND('Large Nonlinear Problem'!A287,"AAAAAFl92Ws=")</f>
        <v>#VALUE!</v>
      </c>
      <c r="DE55" t="e">
        <f>AND('Large Nonlinear Problem'!B287,"AAAAAFl92Ww=")</f>
        <v>#VALUE!</v>
      </c>
      <c r="DF55" t="e">
        <f>AND('Large Nonlinear Problem'!C287,"AAAAAFl92W0=")</f>
        <v>#VALUE!</v>
      </c>
      <c r="DG55" t="e">
        <f>AND('Large Nonlinear Problem'!D287,"AAAAAFl92W4=")</f>
        <v>#VALUE!</v>
      </c>
      <c r="DH55" t="e">
        <f>AND('Large Nonlinear Problem'!E287,"AAAAAFl92W8=")</f>
        <v>#VALUE!</v>
      </c>
      <c r="DI55" t="e">
        <f>AND('Large Nonlinear Problem'!F287,"AAAAAFl92XA=")</f>
        <v>#VALUE!</v>
      </c>
      <c r="DJ55" t="e">
        <f>AND('Large Nonlinear Problem'!G287,"AAAAAFl92XE=")</f>
        <v>#VALUE!</v>
      </c>
      <c r="DK55">
        <f>IF('Large Nonlinear Problem'!288:288,"AAAAAFl92XI=",0)</f>
        <v>0</v>
      </c>
      <c r="DL55" t="e">
        <f>AND('Large Nonlinear Problem'!A288,"AAAAAFl92XM=")</f>
        <v>#VALUE!</v>
      </c>
      <c r="DM55" t="e">
        <f>AND('Large Nonlinear Problem'!B288,"AAAAAFl92XQ=")</f>
        <v>#VALUE!</v>
      </c>
      <c r="DN55" t="e">
        <f>AND('Large Nonlinear Problem'!C288,"AAAAAFl92XU=")</f>
        <v>#VALUE!</v>
      </c>
      <c r="DO55" t="e">
        <f>AND('Large Nonlinear Problem'!D288,"AAAAAFl92XY=")</f>
        <v>#VALUE!</v>
      </c>
      <c r="DP55" t="e">
        <f>AND('Large Nonlinear Problem'!E288,"AAAAAFl92Xc=")</f>
        <v>#VALUE!</v>
      </c>
      <c r="DQ55" t="e">
        <f>AND('Large Nonlinear Problem'!F288,"AAAAAFl92Xg=")</f>
        <v>#VALUE!</v>
      </c>
      <c r="DR55" t="e">
        <f>AND('Large Nonlinear Problem'!G288,"AAAAAFl92Xk=")</f>
        <v>#VALUE!</v>
      </c>
      <c r="DS55">
        <f>IF('Large Nonlinear Problem'!289:289,"AAAAAFl92Xo=",0)</f>
        <v>0</v>
      </c>
      <c r="DT55" t="e">
        <f>AND('Large Nonlinear Problem'!A289,"AAAAAFl92Xs=")</f>
        <v>#VALUE!</v>
      </c>
      <c r="DU55" t="e">
        <f>AND('Large Nonlinear Problem'!B289,"AAAAAFl92Xw=")</f>
        <v>#VALUE!</v>
      </c>
      <c r="DV55" t="e">
        <f>AND('Large Nonlinear Problem'!C289,"AAAAAFl92X0=")</f>
        <v>#VALUE!</v>
      </c>
      <c r="DW55" t="e">
        <f>AND('Large Nonlinear Problem'!D289,"AAAAAFl92X4=")</f>
        <v>#VALUE!</v>
      </c>
      <c r="DX55" t="e">
        <f>AND('Large Nonlinear Problem'!E289,"AAAAAFl92X8=")</f>
        <v>#VALUE!</v>
      </c>
      <c r="DY55" t="e">
        <f>AND('Large Nonlinear Problem'!F289,"AAAAAFl92YA=")</f>
        <v>#VALUE!</v>
      </c>
      <c r="DZ55" t="e">
        <f>AND('Large Nonlinear Problem'!G289,"AAAAAFl92YE=")</f>
        <v>#VALUE!</v>
      </c>
      <c r="EA55">
        <f>IF('Large Nonlinear Problem'!290:290,"AAAAAFl92YI=",0)</f>
        <v>0</v>
      </c>
      <c r="EB55" t="e">
        <f>AND('Large Nonlinear Problem'!A290,"AAAAAFl92YM=")</f>
        <v>#VALUE!</v>
      </c>
      <c r="EC55" t="e">
        <f>AND('Large Nonlinear Problem'!B290,"AAAAAFl92YQ=")</f>
        <v>#VALUE!</v>
      </c>
      <c r="ED55" t="e">
        <f>AND('Large Nonlinear Problem'!C290,"AAAAAFl92YU=")</f>
        <v>#VALUE!</v>
      </c>
      <c r="EE55" t="e">
        <f>AND('Large Nonlinear Problem'!D290,"AAAAAFl92YY=")</f>
        <v>#VALUE!</v>
      </c>
      <c r="EF55" t="e">
        <f>AND('Large Nonlinear Problem'!E290,"AAAAAFl92Yc=")</f>
        <v>#VALUE!</v>
      </c>
      <c r="EG55" t="e">
        <f>AND('Large Nonlinear Problem'!F290,"AAAAAFl92Yg=")</f>
        <v>#VALUE!</v>
      </c>
      <c r="EH55" t="e">
        <f>AND('Large Nonlinear Problem'!G290,"AAAAAFl92Yk=")</f>
        <v>#VALUE!</v>
      </c>
      <c r="EI55">
        <f>IF('Large Nonlinear Problem'!291:291,"AAAAAFl92Yo=",0)</f>
        <v>0</v>
      </c>
      <c r="EJ55" t="e">
        <f>AND('Large Nonlinear Problem'!A291,"AAAAAFl92Ys=")</f>
        <v>#VALUE!</v>
      </c>
      <c r="EK55" t="e">
        <f>AND('Large Nonlinear Problem'!B291,"AAAAAFl92Yw=")</f>
        <v>#VALUE!</v>
      </c>
      <c r="EL55" t="e">
        <f>AND('Large Nonlinear Problem'!C291,"AAAAAFl92Y0=")</f>
        <v>#VALUE!</v>
      </c>
      <c r="EM55" t="e">
        <f>AND('Large Nonlinear Problem'!D291,"AAAAAFl92Y4=")</f>
        <v>#VALUE!</v>
      </c>
      <c r="EN55" t="e">
        <f>AND('Large Nonlinear Problem'!E291,"AAAAAFl92Y8=")</f>
        <v>#VALUE!</v>
      </c>
      <c r="EO55" t="e">
        <f>AND('Large Nonlinear Problem'!F291,"AAAAAFl92ZA=")</f>
        <v>#VALUE!</v>
      </c>
      <c r="EP55" t="e">
        <f>AND('Large Nonlinear Problem'!G291,"AAAAAFl92ZE=")</f>
        <v>#VALUE!</v>
      </c>
      <c r="EQ55">
        <f>IF('Large Nonlinear Problem'!292:292,"AAAAAFl92ZI=",0)</f>
        <v>0</v>
      </c>
      <c r="ER55" t="e">
        <f>AND('Large Nonlinear Problem'!A292,"AAAAAFl92ZM=")</f>
        <v>#VALUE!</v>
      </c>
      <c r="ES55" t="e">
        <f>AND('Large Nonlinear Problem'!B292,"AAAAAFl92ZQ=")</f>
        <v>#VALUE!</v>
      </c>
      <c r="ET55" t="e">
        <f>AND('Large Nonlinear Problem'!C292,"AAAAAFl92ZU=")</f>
        <v>#VALUE!</v>
      </c>
      <c r="EU55" t="e">
        <f>AND('Large Nonlinear Problem'!D292,"AAAAAFl92ZY=")</f>
        <v>#VALUE!</v>
      </c>
      <c r="EV55" t="e">
        <f>AND('Large Nonlinear Problem'!E292,"AAAAAFl92Zc=")</f>
        <v>#VALUE!</v>
      </c>
      <c r="EW55" t="e">
        <f>AND('Large Nonlinear Problem'!F292,"AAAAAFl92Zg=")</f>
        <v>#VALUE!</v>
      </c>
      <c r="EX55" t="e">
        <f>AND('Large Nonlinear Problem'!G292,"AAAAAFl92Zk=")</f>
        <v>#VALUE!</v>
      </c>
      <c r="EY55">
        <f>IF('Large Nonlinear Problem'!293:293,"AAAAAFl92Zo=",0)</f>
        <v>0</v>
      </c>
      <c r="EZ55" t="e">
        <f>AND('Large Nonlinear Problem'!A293,"AAAAAFl92Zs=")</f>
        <v>#VALUE!</v>
      </c>
      <c r="FA55" t="e">
        <f>AND('Large Nonlinear Problem'!B293,"AAAAAFl92Zw=")</f>
        <v>#VALUE!</v>
      </c>
      <c r="FB55" t="e">
        <f>AND('Large Nonlinear Problem'!C293,"AAAAAFl92Z0=")</f>
        <v>#VALUE!</v>
      </c>
      <c r="FC55" t="e">
        <f>AND('Large Nonlinear Problem'!D293,"AAAAAFl92Z4=")</f>
        <v>#VALUE!</v>
      </c>
      <c r="FD55" t="e">
        <f>AND('Large Nonlinear Problem'!E293,"AAAAAFl92Z8=")</f>
        <v>#VALUE!</v>
      </c>
      <c r="FE55" t="e">
        <f>AND('Large Nonlinear Problem'!F293,"AAAAAFl92aA=")</f>
        <v>#VALUE!</v>
      </c>
      <c r="FF55" t="e">
        <f>AND('Large Nonlinear Problem'!G293,"AAAAAFl92aE=")</f>
        <v>#VALUE!</v>
      </c>
      <c r="FG55">
        <f>IF('Large Nonlinear Problem'!294:294,"AAAAAFl92aI=",0)</f>
        <v>0</v>
      </c>
      <c r="FH55" t="e">
        <f>AND('Large Nonlinear Problem'!A294,"AAAAAFl92aM=")</f>
        <v>#VALUE!</v>
      </c>
      <c r="FI55" t="e">
        <f>AND('Large Nonlinear Problem'!B294,"AAAAAFl92aQ=")</f>
        <v>#VALUE!</v>
      </c>
      <c r="FJ55" t="e">
        <f>AND('Large Nonlinear Problem'!C294,"AAAAAFl92aU=")</f>
        <v>#VALUE!</v>
      </c>
      <c r="FK55" t="e">
        <f>AND('Large Nonlinear Problem'!D294,"AAAAAFl92aY=")</f>
        <v>#VALUE!</v>
      </c>
      <c r="FL55" t="e">
        <f>AND('Large Nonlinear Problem'!E294,"AAAAAFl92ac=")</f>
        <v>#VALUE!</v>
      </c>
      <c r="FM55" t="e">
        <f>AND('Large Nonlinear Problem'!F294,"AAAAAFl92ag=")</f>
        <v>#VALUE!</v>
      </c>
      <c r="FN55" t="e">
        <f>AND('Large Nonlinear Problem'!G294,"AAAAAFl92ak=")</f>
        <v>#VALUE!</v>
      </c>
      <c r="FO55">
        <f>IF('Large Nonlinear Problem'!295:295,"AAAAAFl92ao=",0)</f>
        <v>0</v>
      </c>
      <c r="FP55" t="e">
        <f>AND('Large Nonlinear Problem'!A295,"AAAAAFl92as=")</f>
        <v>#VALUE!</v>
      </c>
      <c r="FQ55" t="e">
        <f>AND('Large Nonlinear Problem'!B295,"AAAAAFl92aw=")</f>
        <v>#VALUE!</v>
      </c>
      <c r="FR55" t="e">
        <f>AND('Large Nonlinear Problem'!C295,"AAAAAFl92a0=")</f>
        <v>#VALUE!</v>
      </c>
      <c r="FS55" t="e">
        <f>AND('Large Nonlinear Problem'!D295,"AAAAAFl92a4=")</f>
        <v>#VALUE!</v>
      </c>
      <c r="FT55" t="e">
        <f>AND('Large Nonlinear Problem'!E295,"AAAAAFl92a8=")</f>
        <v>#VALUE!</v>
      </c>
      <c r="FU55" t="e">
        <f>AND('Large Nonlinear Problem'!F295,"AAAAAFl92bA=")</f>
        <v>#VALUE!</v>
      </c>
      <c r="FV55" t="e">
        <f>AND('Large Nonlinear Problem'!G295,"AAAAAFl92bE=")</f>
        <v>#VALUE!</v>
      </c>
      <c r="FW55">
        <f>IF('Large Nonlinear Problem'!296:296,"AAAAAFl92bI=",0)</f>
        <v>0</v>
      </c>
      <c r="FX55" t="e">
        <f>AND('Large Nonlinear Problem'!A296,"AAAAAFl92bM=")</f>
        <v>#VALUE!</v>
      </c>
      <c r="FY55" t="e">
        <f>AND('Large Nonlinear Problem'!B296,"AAAAAFl92bQ=")</f>
        <v>#VALUE!</v>
      </c>
      <c r="FZ55" t="e">
        <f>AND('Large Nonlinear Problem'!C296,"AAAAAFl92bU=")</f>
        <v>#VALUE!</v>
      </c>
      <c r="GA55" t="e">
        <f>AND('Large Nonlinear Problem'!D296,"AAAAAFl92bY=")</f>
        <v>#VALUE!</v>
      </c>
      <c r="GB55" t="e">
        <f>AND('Large Nonlinear Problem'!E296,"AAAAAFl92bc=")</f>
        <v>#VALUE!</v>
      </c>
      <c r="GC55" t="e">
        <f>AND('Large Nonlinear Problem'!F296,"AAAAAFl92bg=")</f>
        <v>#VALUE!</v>
      </c>
      <c r="GD55" t="e">
        <f>AND('Large Nonlinear Problem'!G296,"AAAAAFl92bk=")</f>
        <v>#VALUE!</v>
      </c>
      <c r="GE55">
        <f>IF('Large Nonlinear Problem'!297:297,"AAAAAFl92bo=",0)</f>
        <v>0</v>
      </c>
      <c r="GF55" t="e">
        <f>AND('Large Nonlinear Problem'!A297,"AAAAAFl92bs=")</f>
        <v>#VALUE!</v>
      </c>
      <c r="GG55" t="e">
        <f>AND('Large Nonlinear Problem'!B297,"AAAAAFl92bw=")</f>
        <v>#VALUE!</v>
      </c>
      <c r="GH55" t="e">
        <f>AND('Large Nonlinear Problem'!C297,"AAAAAFl92b0=")</f>
        <v>#VALUE!</v>
      </c>
      <c r="GI55" t="e">
        <f>AND('Large Nonlinear Problem'!D297,"AAAAAFl92b4=")</f>
        <v>#VALUE!</v>
      </c>
      <c r="GJ55" t="e">
        <f>AND('Large Nonlinear Problem'!E297,"AAAAAFl92b8=")</f>
        <v>#VALUE!</v>
      </c>
      <c r="GK55" t="e">
        <f>AND('Large Nonlinear Problem'!F297,"AAAAAFl92cA=")</f>
        <v>#VALUE!</v>
      </c>
      <c r="GL55" t="e">
        <f>AND('Large Nonlinear Problem'!G297,"AAAAAFl92cE=")</f>
        <v>#VALUE!</v>
      </c>
      <c r="GM55">
        <f>IF('Large Nonlinear Problem'!298:298,"AAAAAFl92cI=",0)</f>
        <v>0</v>
      </c>
      <c r="GN55" t="e">
        <f>AND('Large Nonlinear Problem'!A298,"AAAAAFl92cM=")</f>
        <v>#VALUE!</v>
      </c>
      <c r="GO55" t="e">
        <f>AND('Large Nonlinear Problem'!B298,"AAAAAFl92cQ=")</f>
        <v>#VALUE!</v>
      </c>
      <c r="GP55" t="e">
        <f>AND('Large Nonlinear Problem'!C298,"AAAAAFl92cU=")</f>
        <v>#VALUE!</v>
      </c>
      <c r="GQ55" t="e">
        <f>AND('Large Nonlinear Problem'!D298,"AAAAAFl92cY=")</f>
        <v>#VALUE!</v>
      </c>
      <c r="GR55" t="e">
        <f>AND('Large Nonlinear Problem'!E298,"AAAAAFl92cc=")</f>
        <v>#VALUE!</v>
      </c>
      <c r="GS55" t="e">
        <f>AND('Large Nonlinear Problem'!F298,"AAAAAFl92cg=")</f>
        <v>#VALUE!</v>
      </c>
      <c r="GT55" t="e">
        <f>AND('Large Nonlinear Problem'!G298,"AAAAAFl92ck=")</f>
        <v>#VALUE!</v>
      </c>
      <c r="GU55">
        <f>IF('Large Nonlinear Problem'!299:299,"AAAAAFl92co=",0)</f>
        <v>0</v>
      </c>
      <c r="GV55" t="e">
        <f>AND('Large Nonlinear Problem'!A299,"AAAAAFl92cs=")</f>
        <v>#VALUE!</v>
      </c>
      <c r="GW55" t="e">
        <f>AND('Large Nonlinear Problem'!B299,"AAAAAFl92cw=")</f>
        <v>#VALUE!</v>
      </c>
      <c r="GX55" t="e">
        <f>AND('Large Nonlinear Problem'!C299,"AAAAAFl92c0=")</f>
        <v>#VALUE!</v>
      </c>
      <c r="GY55" t="e">
        <f>AND('Large Nonlinear Problem'!D299,"AAAAAFl92c4=")</f>
        <v>#VALUE!</v>
      </c>
      <c r="GZ55" t="e">
        <f>AND('Large Nonlinear Problem'!E299,"AAAAAFl92c8=")</f>
        <v>#VALUE!</v>
      </c>
      <c r="HA55" t="e">
        <f>AND('Large Nonlinear Problem'!F299,"AAAAAFl92dA=")</f>
        <v>#VALUE!</v>
      </c>
      <c r="HB55" t="e">
        <f>AND('Large Nonlinear Problem'!G299,"AAAAAFl92dE=")</f>
        <v>#VALUE!</v>
      </c>
      <c r="HC55">
        <f>IF('Large Nonlinear Problem'!300:300,"AAAAAFl92dI=",0)</f>
        <v>0</v>
      </c>
      <c r="HD55" t="e">
        <f>AND('Large Nonlinear Problem'!A300,"AAAAAFl92dM=")</f>
        <v>#VALUE!</v>
      </c>
      <c r="HE55" t="e">
        <f>AND('Large Nonlinear Problem'!B300,"AAAAAFl92dQ=")</f>
        <v>#VALUE!</v>
      </c>
      <c r="HF55" t="e">
        <f>AND('Large Nonlinear Problem'!C300,"AAAAAFl92dU=")</f>
        <v>#VALUE!</v>
      </c>
      <c r="HG55" t="e">
        <f>AND('Large Nonlinear Problem'!D300,"AAAAAFl92dY=")</f>
        <v>#VALUE!</v>
      </c>
      <c r="HH55" t="e">
        <f>AND('Large Nonlinear Problem'!E300,"AAAAAFl92dc=")</f>
        <v>#VALUE!</v>
      </c>
      <c r="HI55" t="e">
        <f>AND('Large Nonlinear Problem'!F300,"AAAAAFl92dg=")</f>
        <v>#VALUE!</v>
      </c>
      <c r="HJ55" t="e">
        <f>AND('Large Nonlinear Problem'!G300,"AAAAAFl92dk=")</f>
        <v>#VALUE!</v>
      </c>
      <c r="HK55">
        <f>IF('Large Nonlinear Problem'!301:301,"AAAAAFl92do=",0)</f>
        <v>0</v>
      </c>
      <c r="HL55" t="e">
        <f>AND('Large Nonlinear Problem'!A301,"AAAAAFl92ds=")</f>
        <v>#VALUE!</v>
      </c>
      <c r="HM55" t="e">
        <f>AND('Large Nonlinear Problem'!B301,"AAAAAFl92dw=")</f>
        <v>#VALUE!</v>
      </c>
      <c r="HN55" t="e">
        <f>AND('Large Nonlinear Problem'!C301,"AAAAAFl92d0=")</f>
        <v>#VALUE!</v>
      </c>
      <c r="HO55" t="e">
        <f>AND('Large Nonlinear Problem'!D301,"AAAAAFl92d4=")</f>
        <v>#VALUE!</v>
      </c>
      <c r="HP55" t="e">
        <f>AND('Large Nonlinear Problem'!E301,"AAAAAFl92d8=")</f>
        <v>#VALUE!</v>
      </c>
      <c r="HQ55" t="e">
        <f>AND('Large Nonlinear Problem'!F301,"AAAAAFl92eA=")</f>
        <v>#VALUE!</v>
      </c>
      <c r="HR55" t="e">
        <f>AND('Large Nonlinear Problem'!G301,"AAAAAFl92eE=")</f>
        <v>#VALUE!</v>
      </c>
      <c r="HS55">
        <f>IF('Large Nonlinear Problem'!302:302,"AAAAAFl92eI=",0)</f>
        <v>0</v>
      </c>
      <c r="HT55" t="e">
        <f>AND('Large Nonlinear Problem'!A302,"AAAAAFl92eM=")</f>
        <v>#VALUE!</v>
      </c>
      <c r="HU55" t="e">
        <f>AND('Large Nonlinear Problem'!B302,"AAAAAFl92eQ=")</f>
        <v>#VALUE!</v>
      </c>
      <c r="HV55" t="e">
        <f>AND('Large Nonlinear Problem'!C302,"AAAAAFl92eU=")</f>
        <v>#VALUE!</v>
      </c>
      <c r="HW55" t="e">
        <f>AND('Large Nonlinear Problem'!D302,"AAAAAFl92eY=")</f>
        <v>#VALUE!</v>
      </c>
      <c r="HX55" t="e">
        <f>AND('Large Nonlinear Problem'!E302,"AAAAAFl92ec=")</f>
        <v>#VALUE!</v>
      </c>
      <c r="HY55" t="e">
        <f>AND('Large Nonlinear Problem'!F302,"AAAAAFl92eg=")</f>
        <v>#VALUE!</v>
      </c>
      <c r="HZ55" t="e">
        <f>AND('Large Nonlinear Problem'!G302,"AAAAAFl92ek=")</f>
        <v>#VALUE!</v>
      </c>
      <c r="IA55">
        <f>IF('Large Nonlinear Problem'!303:303,"AAAAAFl92eo=",0)</f>
        <v>0</v>
      </c>
      <c r="IB55" t="e">
        <f>AND('Large Nonlinear Problem'!A303,"AAAAAFl92es=")</f>
        <v>#VALUE!</v>
      </c>
      <c r="IC55" t="e">
        <f>AND('Large Nonlinear Problem'!B303,"AAAAAFl92ew=")</f>
        <v>#VALUE!</v>
      </c>
      <c r="ID55" t="e">
        <f>AND('Large Nonlinear Problem'!C303,"AAAAAFl92e0=")</f>
        <v>#VALUE!</v>
      </c>
      <c r="IE55" t="e">
        <f>AND('Large Nonlinear Problem'!D303,"AAAAAFl92e4=")</f>
        <v>#VALUE!</v>
      </c>
      <c r="IF55" t="e">
        <f>AND('Large Nonlinear Problem'!E303,"AAAAAFl92e8=")</f>
        <v>#VALUE!</v>
      </c>
      <c r="IG55" t="e">
        <f>AND('Large Nonlinear Problem'!F303,"AAAAAFl92fA=")</f>
        <v>#VALUE!</v>
      </c>
      <c r="IH55" t="e">
        <f>AND('Large Nonlinear Problem'!G303,"AAAAAFl92fE=")</f>
        <v>#VALUE!</v>
      </c>
      <c r="II55">
        <f>IF('Large Nonlinear Problem'!304:304,"AAAAAFl92fI=",0)</f>
        <v>0</v>
      </c>
      <c r="IJ55" t="e">
        <f>AND('Large Nonlinear Problem'!A304,"AAAAAFl92fM=")</f>
        <v>#VALUE!</v>
      </c>
      <c r="IK55" t="e">
        <f>AND('Large Nonlinear Problem'!B304,"AAAAAFl92fQ=")</f>
        <v>#VALUE!</v>
      </c>
      <c r="IL55" t="e">
        <f>AND('Large Nonlinear Problem'!C304,"AAAAAFl92fU=")</f>
        <v>#VALUE!</v>
      </c>
      <c r="IM55" t="e">
        <f>AND('Large Nonlinear Problem'!D304,"AAAAAFl92fY=")</f>
        <v>#VALUE!</v>
      </c>
      <c r="IN55" t="e">
        <f>AND('Large Nonlinear Problem'!E304,"AAAAAFl92fc=")</f>
        <v>#VALUE!</v>
      </c>
      <c r="IO55" t="e">
        <f>AND('Large Nonlinear Problem'!F304,"AAAAAFl92fg=")</f>
        <v>#VALUE!</v>
      </c>
      <c r="IP55" t="e">
        <f>AND('Large Nonlinear Problem'!G304,"AAAAAFl92fk=")</f>
        <v>#VALUE!</v>
      </c>
      <c r="IQ55">
        <f>IF('Large Nonlinear Problem'!305:305,"AAAAAFl92fo=",0)</f>
        <v>0</v>
      </c>
      <c r="IR55" t="e">
        <f>AND('Large Nonlinear Problem'!A305,"AAAAAFl92fs=")</f>
        <v>#VALUE!</v>
      </c>
      <c r="IS55" t="e">
        <f>AND('Large Nonlinear Problem'!B305,"AAAAAFl92fw=")</f>
        <v>#VALUE!</v>
      </c>
      <c r="IT55" t="e">
        <f>AND('Large Nonlinear Problem'!C305,"AAAAAFl92f0=")</f>
        <v>#VALUE!</v>
      </c>
      <c r="IU55" t="e">
        <f>AND('Large Nonlinear Problem'!D305,"AAAAAFl92f4=")</f>
        <v>#VALUE!</v>
      </c>
      <c r="IV55" t="e">
        <f>AND('Large Nonlinear Problem'!E305,"AAAAAFl92f8=")</f>
        <v>#VALUE!</v>
      </c>
    </row>
    <row r="56" spans="1:256">
      <c r="A56" t="e">
        <f>AND('Large Nonlinear Problem'!F305,"AAAAAH/fnwA=")</f>
        <v>#VALUE!</v>
      </c>
      <c r="B56" t="e">
        <f>AND('Large Nonlinear Problem'!G305,"AAAAAH/fnwE=")</f>
        <v>#VALUE!</v>
      </c>
      <c r="C56" t="str">
        <f>IF('Large Nonlinear Problem'!306:306,"AAAAAH/fnwI=",0)</f>
        <v>AAAAAH/fnwI=</v>
      </c>
      <c r="D56" t="e">
        <f>AND('Large Nonlinear Problem'!A306,"AAAAAH/fnwM=")</f>
        <v>#VALUE!</v>
      </c>
      <c r="E56" t="e">
        <f>AND('Large Nonlinear Problem'!B306,"AAAAAH/fnwQ=")</f>
        <v>#VALUE!</v>
      </c>
      <c r="F56" t="e">
        <f>AND('Large Nonlinear Problem'!C306,"AAAAAH/fnwU=")</f>
        <v>#VALUE!</v>
      </c>
      <c r="G56" t="e">
        <f>AND('Large Nonlinear Problem'!D306,"AAAAAH/fnwY=")</f>
        <v>#VALUE!</v>
      </c>
      <c r="H56" t="e">
        <f>AND('Large Nonlinear Problem'!E306,"AAAAAH/fnwc=")</f>
        <v>#VALUE!</v>
      </c>
      <c r="I56" t="e">
        <f>AND('Large Nonlinear Problem'!F306,"AAAAAH/fnwg=")</f>
        <v>#VALUE!</v>
      </c>
      <c r="J56" t="e">
        <f>AND('Large Nonlinear Problem'!G306,"AAAAAH/fnwk=")</f>
        <v>#VALUE!</v>
      </c>
      <c r="K56">
        <f>IF('Large Nonlinear Problem'!307:307,"AAAAAH/fnwo=",0)</f>
        <v>0</v>
      </c>
      <c r="L56" t="e">
        <f>AND('Large Nonlinear Problem'!A307,"AAAAAH/fnws=")</f>
        <v>#VALUE!</v>
      </c>
      <c r="M56" t="e">
        <f>AND('Large Nonlinear Problem'!B307,"AAAAAH/fnww=")</f>
        <v>#VALUE!</v>
      </c>
      <c r="N56" t="e">
        <f>AND('Large Nonlinear Problem'!C307,"AAAAAH/fnw0=")</f>
        <v>#VALUE!</v>
      </c>
      <c r="O56" t="e">
        <f>AND('Large Nonlinear Problem'!D307,"AAAAAH/fnw4=")</f>
        <v>#VALUE!</v>
      </c>
      <c r="P56" t="e">
        <f>AND('Large Nonlinear Problem'!E307,"AAAAAH/fnw8=")</f>
        <v>#VALUE!</v>
      </c>
      <c r="Q56" t="e">
        <f>AND('Large Nonlinear Problem'!F307,"AAAAAH/fnxA=")</f>
        <v>#VALUE!</v>
      </c>
      <c r="R56" t="e">
        <f>AND('Large Nonlinear Problem'!G307,"AAAAAH/fnxE=")</f>
        <v>#VALUE!</v>
      </c>
      <c r="S56">
        <f>IF('Large Nonlinear Problem'!308:308,"AAAAAH/fnxI=",0)</f>
        <v>0</v>
      </c>
      <c r="T56" t="e">
        <f>AND('Large Nonlinear Problem'!A308,"AAAAAH/fnxM=")</f>
        <v>#VALUE!</v>
      </c>
      <c r="U56" t="e">
        <f>AND('Large Nonlinear Problem'!B308,"AAAAAH/fnxQ=")</f>
        <v>#VALUE!</v>
      </c>
      <c r="V56" t="e">
        <f>AND('Large Nonlinear Problem'!C308,"AAAAAH/fnxU=")</f>
        <v>#VALUE!</v>
      </c>
      <c r="W56" t="e">
        <f>AND('Large Nonlinear Problem'!D308,"AAAAAH/fnxY=")</f>
        <v>#VALUE!</v>
      </c>
      <c r="X56" t="e">
        <f>AND('Large Nonlinear Problem'!E308,"AAAAAH/fnxc=")</f>
        <v>#VALUE!</v>
      </c>
      <c r="Y56" t="e">
        <f>AND('Large Nonlinear Problem'!F308,"AAAAAH/fnxg=")</f>
        <v>#VALUE!</v>
      </c>
      <c r="Z56" t="e">
        <f>AND('Large Nonlinear Problem'!G308,"AAAAAH/fnxk=")</f>
        <v>#VALUE!</v>
      </c>
      <c r="AA56">
        <f>IF('Large Nonlinear Problem'!309:309,"AAAAAH/fnxo=",0)</f>
        <v>0</v>
      </c>
      <c r="AB56" t="e">
        <f>AND('Large Nonlinear Problem'!A309,"AAAAAH/fnxs=")</f>
        <v>#VALUE!</v>
      </c>
      <c r="AC56" t="e">
        <f>AND('Large Nonlinear Problem'!B309,"AAAAAH/fnxw=")</f>
        <v>#VALUE!</v>
      </c>
      <c r="AD56" t="e">
        <f>AND('Large Nonlinear Problem'!C309,"AAAAAH/fnx0=")</f>
        <v>#VALUE!</v>
      </c>
      <c r="AE56" t="e">
        <f>AND('Large Nonlinear Problem'!D309,"AAAAAH/fnx4=")</f>
        <v>#VALUE!</v>
      </c>
      <c r="AF56" t="e">
        <f>AND('Large Nonlinear Problem'!E309,"AAAAAH/fnx8=")</f>
        <v>#VALUE!</v>
      </c>
      <c r="AG56" t="e">
        <f>AND('Large Nonlinear Problem'!F309,"AAAAAH/fnyA=")</f>
        <v>#VALUE!</v>
      </c>
      <c r="AH56" t="e">
        <f>AND('Large Nonlinear Problem'!G309,"AAAAAH/fnyE=")</f>
        <v>#VALUE!</v>
      </c>
      <c r="AI56">
        <f>IF('Large Nonlinear Problem'!310:310,"AAAAAH/fnyI=",0)</f>
        <v>0</v>
      </c>
      <c r="AJ56" t="e">
        <f>AND('Large Nonlinear Problem'!A310,"AAAAAH/fnyM=")</f>
        <v>#VALUE!</v>
      </c>
      <c r="AK56" t="e">
        <f>AND('Large Nonlinear Problem'!B310,"AAAAAH/fnyQ=")</f>
        <v>#VALUE!</v>
      </c>
      <c r="AL56" t="e">
        <f>AND('Large Nonlinear Problem'!C310,"AAAAAH/fnyU=")</f>
        <v>#VALUE!</v>
      </c>
      <c r="AM56" t="e">
        <f>AND('Large Nonlinear Problem'!D310,"AAAAAH/fnyY=")</f>
        <v>#VALUE!</v>
      </c>
      <c r="AN56" t="e">
        <f>AND('Large Nonlinear Problem'!E310,"AAAAAH/fnyc=")</f>
        <v>#VALUE!</v>
      </c>
      <c r="AO56" t="e">
        <f>AND('Large Nonlinear Problem'!F310,"AAAAAH/fnyg=")</f>
        <v>#VALUE!</v>
      </c>
      <c r="AP56" t="e">
        <f>AND('Large Nonlinear Problem'!G310,"AAAAAH/fnyk=")</f>
        <v>#VALUE!</v>
      </c>
      <c r="AQ56">
        <f>IF('Large Nonlinear Problem'!311:311,"AAAAAH/fnyo=",0)</f>
        <v>0</v>
      </c>
      <c r="AR56" t="e">
        <f>AND('Large Nonlinear Problem'!A311,"AAAAAH/fnys=")</f>
        <v>#VALUE!</v>
      </c>
      <c r="AS56" t="e">
        <f>AND('Large Nonlinear Problem'!B311,"AAAAAH/fnyw=")</f>
        <v>#VALUE!</v>
      </c>
      <c r="AT56" t="e">
        <f>AND('Large Nonlinear Problem'!C311,"AAAAAH/fny0=")</f>
        <v>#VALUE!</v>
      </c>
      <c r="AU56" t="e">
        <f>AND('Large Nonlinear Problem'!D311,"AAAAAH/fny4=")</f>
        <v>#VALUE!</v>
      </c>
      <c r="AV56" t="e">
        <f>AND('Large Nonlinear Problem'!E311,"AAAAAH/fny8=")</f>
        <v>#VALUE!</v>
      </c>
      <c r="AW56" t="e">
        <f>AND('Large Nonlinear Problem'!F311,"AAAAAH/fnzA=")</f>
        <v>#VALUE!</v>
      </c>
      <c r="AX56" t="e">
        <f>AND('Large Nonlinear Problem'!G311,"AAAAAH/fnzE=")</f>
        <v>#VALUE!</v>
      </c>
      <c r="AY56">
        <f>IF('Large Nonlinear Problem'!312:312,"AAAAAH/fnzI=",0)</f>
        <v>0</v>
      </c>
      <c r="AZ56" t="e">
        <f>AND('Large Nonlinear Problem'!A312,"AAAAAH/fnzM=")</f>
        <v>#VALUE!</v>
      </c>
      <c r="BA56" t="e">
        <f>AND('Large Nonlinear Problem'!B312,"AAAAAH/fnzQ=")</f>
        <v>#VALUE!</v>
      </c>
      <c r="BB56" t="e">
        <f>AND('Large Nonlinear Problem'!C312,"AAAAAH/fnzU=")</f>
        <v>#VALUE!</v>
      </c>
      <c r="BC56" t="e">
        <f>AND('Large Nonlinear Problem'!D312,"AAAAAH/fnzY=")</f>
        <v>#VALUE!</v>
      </c>
      <c r="BD56" t="e">
        <f>AND('Large Nonlinear Problem'!E312,"AAAAAH/fnzc=")</f>
        <v>#VALUE!</v>
      </c>
      <c r="BE56" t="e">
        <f>AND('Large Nonlinear Problem'!F312,"AAAAAH/fnzg=")</f>
        <v>#VALUE!</v>
      </c>
      <c r="BF56" t="e">
        <f>AND('Large Nonlinear Problem'!G312,"AAAAAH/fnzk=")</f>
        <v>#VALUE!</v>
      </c>
      <c r="BG56">
        <f>IF('Large Nonlinear Problem'!313:313,"AAAAAH/fnzo=",0)</f>
        <v>0</v>
      </c>
      <c r="BH56" t="e">
        <f>AND('Large Nonlinear Problem'!A313,"AAAAAH/fnzs=")</f>
        <v>#VALUE!</v>
      </c>
      <c r="BI56" t="e">
        <f>AND('Large Nonlinear Problem'!B313,"AAAAAH/fnzw=")</f>
        <v>#VALUE!</v>
      </c>
      <c r="BJ56" t="e">
        <f>AND('Large Nonlinear Problem'!C313,"AAAAAH/fnz0=")</f>
        <v>#VALUE!</v>
      </c>
      <c r="BK56" t="e">
        <f>AND('Large Nonlinear Problem'!D313,"AAAAAH/fnz4=")</f>
        <v>#VALUE!</v>
      </c>
      <c r="BL56" t="e">
        <f>AND('Large Nonlinear Problem'!E313,"AAAAAH/fnz8=")</f>
        <v>#VALUE!</v>
      </c>
      <c r="BM56" t="e">
        <f>AND('Large Nonlinear Problem'!F313,"AAAAAH/fn0A=")</f>
        <v>#VALUE!</v>
      </c>
      <c r="BN56" t="e">
        <f>AND('Large Nonlinear Problem'!G313,"AAAAAH/fn0E=")</f>
        <v>#VALUE!</v>
      </c>
      <c r="BO56">
        <f>IF('Large Nonlinear Problem'!314:314,"AAAAAH/fn0I=",0)</f>
        <v>0</v>
      </c>
      <c r="BP56" t="e">
        <f>AND('Large Nonlinear Problem'!A314,"AAAAAH/fn0M=")</f>
        <v>#VALUE!</v>
      </c>
      <c r="BQ56" t="e">
        <f>AND('Large Nonlinear Problem'!B314,"AAAAAH/fn0Q=")</f>
        <v>#VALUE!</v>
      </c>
      <c r="BR56" t="e">
        <f>AND('Large Nonlinear Problem'!C314,"AAAAAH/fn0U=")</f>
        <v>#VALUE!</v>
      </c>
      <c r="BS56" t="e">
        <f>AND('Large Nonlinear Problem'!D314,"AAAAAH/fn0Y=")</f>
        <v>#VALUE!</v>
      </c>
      <c r="BT56" t="e">
        <f>AND('Large Nonlinear Problem'!E314,"AAAAAH/fn0c=")</f>
        <v>#VALUE!</v>
      </c>
      <c r="BU56" t="e">
        <f>AND('Large Nonlinear Problem'!F314,"AAAAAH/fn0g=")</f>
        <v>#VALUE!</v>
      </c>
      <c r="BV56" t="e">
        <f>AND('Large Nonlinear Problem'!G314,"AAAAAH/fn0k=")</f>
        <v>#VALUE!</v>
      </c>
      <c r="BW56">
        <f>IF('Large Nonlinear Problem'!315:315,"AAAAAH/fn0o=",0)</f>
        <v>0</v>
      </c>
      <c r="BX56" t="e">
        <f>AND('Large Nonlinear Problem'!A315,"AAAAAH/fn0s=")</f>
        <v>#VALUE!</v>
      </c>
      <c r="BY56" t="e">
        <f>AND('Large Nonlinear Problem'!B315,"AAAAAH/fn0w=")</f>
        <v>#VALUE!</v>
      </c>
      <c r="BZ56" t="e">
        <f>AND('Large Nonlinear Problem'!C315,"AAAAAH/fn00=")</f>
        <v>#VALUE!</v>
      </c>
      <c r="CA56" t="e">
        <f>AND('Large Nonlinear Problem'!D315,"AAAAAH/fn04=")</f>
        <v>#VALUE!</v>
      </c>
      <c r="CB56" t="e">
        <f>AND('Large Nonlinear Problem'!E315,"AAAAAH/fn08=")</f>
        <v>#VALUE!</v>
      </c>
      <c r="CC56" t="e">
        <f>AND('Large Nonlinear Problem'!F315,"AAAAAH/fn1A=")</f>
        <v>#VALUE!</v>
      </c>
      <c r="CD56" t="e">
        <f>AND('Large Nonlinear Problem'!G315,"AAAAAH/fn1E=")</f>
        <v>#VALUE!</v>
      </c>
      <c r="CE56">
        <f>IF('Large Nonlinear Problem'!316:316,"AAAAAH/fn1I=",0)</f>
        <v>0</v>
      </c>
      <c r="CF56" t="e">
        <f>AND('Large Nonlinear Problem'!A316,"AAAAAH/fn1M=")</f>
        <v>#VALUE!</v>
      </c>
      <c r="CG56" t="e">
        <f>AND('Large Nonlinear Problem'!B316,"AAAAAH/fn1Q=")</f>
        <v>#VALUE!</v>
      </c>
      <c r="CH56" t="e">
        <f>AND('Large Nonlinear Problem'!C316,"AAAAAH/fn1U=")</f>
        <v>#VALUE!</v>
      </c>
      <c r="CI56" t="e">
        <f>AND('Large Nonlinear Problem'!D316,"AAAAAH/fn1Y=")</f>
        <v>#VALUE!</v>
      </c>
      <c r="CJ56" t="e">
        <f>AND('Large Nonlinear Problem'!E316,"AAAAAH/fn1c=")</f>
        <v>#VALUE!</v>
      </c>
      <c r="CK56" t="e">
        <f>AND('Large Nonlinear Problem'!F316,"AAAAAH/fn1g=")</f>
        <v>#VALUE!</v>
      </c>
      <c r="CL56" t="e">
        <f>AND('Large Nonlinear Problem'!G316,"AAAAAH/fn1k=")</f>
        <v>#VALUE!</v>
      </c>
      <c r="CM56">
        <f>IF('Large Nonlinear Problem'!317:317,"AAAAAH/fn1o=",0)</f>
        <v>0</v>
      </c>
      <c r="CN56" t="e">
        <f>AND('Large Nonlinear Problem'!A317,"AAAAAH/fn1s=")</f>
        <v>#VALUE!</v>
      </c>
      <c r="CO56" t="e">
        <f>AND('Large Nonlinear Problem'!B317,"AAAAAH/fn1w=")</f>
        <v>#VALUE!</v>
      </c>
      <c r="CP56" t="e">
        <f>AND('Large Nonlinear Problem'!C317,"AAAAAH/fn10=")</f>
        <v>#VALUE!</v>
      </c>
      <c r="CQ56" t="e">
        <f>AND('Large Nonlinear Problem'!D317,"AAAAAH/fn14=")</f>
        <v>#VALUE!</v>
      </c>
      <c r="CR56" t="e">
        <f>AND('Large Nonlinear Problem'!E317,"AAAAAH/fn18=")</f>
        <v>#VALUE!</v>
      </c>
      <c r="CS56" t="e">
        <f>AND('Large Nonlinear Problem'!F317,"AAAAAH/fn2A=")</f>
        <v>#VALUE!</v>
      </c>
      <c r="CT56" t="e">
        <f>AND('Large Nonlinear Problem'!G317,"AAAAAH/fn2E=")</f>
        <v>#VALUE!</v>
      </c>
      <c r="CU56">
        <f>IF('Large Nonlinear Problem'!318:318,"AAAAAH/fn2I=",0)</f>
        <v>0</v>
      </c>
      <c r="CV56" t="e">
        <f>AND('Large Nonlinear Problem'!A318,"AAAAAH/fn2M=")</f>
        <v>#VALUE!</v>
      </c>
      <c r="CW56" t="e">
        <f>AND('Large Nonlinear Problem'!B318,"AAAAAH/fn2Q=")</f>
        <v>#VALUE!</v>
      </c>
      <c r="CX56" t="e">
        <f>AND('Large Nonlinear Problem'!C318,"AAAAAH/fn2U=")</f>
        <v>#VALUE!</v>
      </c>
      <c r="CY56" t="e">
        <f>AND('Large Nonlinear Problem'!D318,"AAAAAH/fn2Y=")</f>
        <v>#VALUE!</v>
      </c>
      <c r="CZ56" t="e">
        <f>AND('Large Nonlinear Problem'!E318,"AAAAAH/fn2c=")</f>
        <v>#VALUE!</v>
      </c>
      <c r="DA56" t="e">
        <f>AND('Large Nonlinear Problem'!F318,"AAAAAH/fn2g=")</f>
        <v>#VALUE!</v>
      </c>
      <c r="DB56" t="e">
        <f>AND('Large Nonlinear Problem'!G318,"AAAAAH/fn2k=")</f>
        <v>#VALUE!</v>
      </c>
      <c r="DC56">
        <f>IF('Large Nonlinear Problem'!319:319,"AAAAAH/fn2o=",0)</f>
        <v>0</v>
      </c>
      <c r="DD56" t="e">
        <f>AND('Large Nonlinear Problem'!A319,"AAAAAH/fn2s=")</f>
        <v>#VALUE!</v>
      </c>
      <c r="DE56" t="e">
        <f>AND('Large Nonlinear Problem'!B319,"AAAAAH/fn2w=")</f>
        <v>#VALUE!</v>
      </c>
      <c r="DF56" t="e">
        <f>AND('Large Nonlinear Problem'!C319,"AAAAAH/fn20=")</f>
        <v>#VALUE!</v>
      </c>
      <c r="DG56" t="e">
        <f>AND('Large Nonlinear Problem'!D319,"AAAAAH/fn24=")</f>
        <v>#VALUE!</v>
      </c>
      <c r="DH56" t="e">
        <f>AND('Large Nonlinear Problem'!E319,"AAAAAH/fn28=")</f>
        <v>#VALUE!</v>
      </c>
      <c r="DI56" t="e">
        <f>AND('Large Nonlinear Problem'!F319,"AAAAAH/fn3A=")</f>
        <v>#VALUE!</v>
      </c>
      <c r="DJ56" t="e">
        <f>AND('Large Nonlinear Problem'!G319,"AAAAAH/fn3E=")</f>
        <v>#VALUE!</v>
      </c>
      <c r="DK56">
        <f>IF('Large Nonlinear Problem'!320:320,"AAAAAH/fn3I=",0)</f>
        <v>0</v>
      </c>
      <c r="DL56" t="e">
        <f>AND('Large Nonlinear Problem'!A320,"AAAAAH/fn3M=")</f>
        <v>#VALUE!</v>
      </c>
      <c r="DM56" t="e">
        <f>AND('Large Nonlinear Problem'!B320,"AAAAAH/fn3Q=")</f>
        <v>#VALUE!</v>
      </c>
      <c r="DN56" t="e">
        <f>AND('Large Nonlinear Problem'!C320,"AAAAAH/fn3U=")</f>
        <v>#VALUE!</v>
      </c>
      <c r="DO56" t="e">
        <f>AND('Large Nonlinear Problem'!D320,"AAAAAH/fn3Y=")</f>
        <v>#VALUE!</v>
      </c>
      <c r="DP56" t="e">
        <f>AND('Large Nonlinear Problem'!E320,"AAAAAH/fn3c=")</f>
        <v>#VALUE!</v>
      </c>
      <c r="DQ56" t="e">
        <f>AND('Large Nonlinear Problem'!F320,"AAAAAH/fn3g=")</f>
        <v>#VALUE!</v>
      </c>
      <c r="DR56" t="e">
        <f>AND('Large Nonlinear Problem'!G320,"AAAAAH/fn3k=")</f>
        <v>#VALUE!</v>
      </c>
      <c r="DS56">
        <f>IF('Large Nonlinear Problem'!321:321,"AAAAAH/fn3o=",0)</f>
        <v>0</v>
      </c>
      <c r="DT56" t="e">
        <f>AND('Large Nonlinear Problem'!A321,"AAAAAH/fn3s=")</f>
        <v>#VALUE!</v>
      </c>
      <c r="DU56" t="e">
        <f>AND('Large Nonlinear Problem'!B321,"AAAAAH/fn3w=")</f>
        <v>#VALUE!</v>
      </c>
      <c r="DV56" t="e">
        <f>AND('Large Nonlinear Problem'!C321,"AAAAAH/fn30=")</f>
        <v>#VALUE!</v>
      </c>
      <c r="DW56" t="e">
        <f>AND('Large Nonlinear Problem'!D321,"AAAAAH/fn34=")</f>
        <v>#VALUE!</v>
      </c>
      <c r="DX56" t="e">
        <f>AND('Large Nonlinear Problem'!E321,"AAAAAH/fn38=")</f>
        <v>#VALUE!</v>
      </c>
      <c r="DY56" t="e">
        <f>AND('Large Nonlinear Problem'!F321,"AAAAAH/fn4A=")</f>
        <v>#VALUE!</v>
      </c>
      <c r="DZ56" t="e">
        <f>AND('Large Nonlinear Problem'!G321,"AAAAAH/fn4E=")</f>
        <v>#VALUE!</v>
      </c>
      <c r="EA56">
        <f>IF('Large Nonlinear Problem'!322:322,"AAAAAH/fn4I=",0)</f>
        <v>0</v>
      </c>
      <c r="EB56" t="e">
        <f>AND('Large Nonlinear Problem'!A322,"AAAAAH/fn4M=")</f>
        <v>#VALUE!</v>
      </c>
      <c r="EC56" t="e">
        <f>AND('Large Nonlinear Problem'!B322,"AAAAAH/fn4Q=")</f>
        <v>#VALUE!</v>
      </c>
      <c r="ED56" t="e">
        <f>AND('Large Nonlinear Problem'!C322,"AAAAAH/fn4U=")</f>
        <v>#VALUE!</v>
      </c>
      <c r="EE56" t="e">
        <f>AND('Large Nonlinear Problem'!D322,"AAAAAH/fn4Y=")</f>
        <v>#VALUE!</v>
      </c>
      <c r="EF56" t="e">
        <f>AND('Large Nonlinear Problem'!E322,"AAAAAH/fn4c=")</f>
        <v>#VALUE!</v>
      </c>
      <c r="EG56" t="e">
        <f>AND('Large Nonlinear Problem'!F322,"AAAAAH/fn4g=")</f>
        <v>#VALUE!</v>
      </c>
      <c r="EH56" t="e">
        <f>AND('Large Nonlinear Problem'!G322,"AAAAAH/fn4k=")</f>
        <v>#VALUE!</v>
      </c>
      <c r="EI56">
        <f>IF('Large Nonlinear Problem'!323:323,"AAAAAH/fn4o=",0)</f>
        <v>0</v>
      </c>
      <c r="EJ56" t="e">
        <f>AND('Large Nonlinear Problem'!A323,"AAAAAH/fn4s=")</f>
        <v>#VALUE!</v>
      </c>
      <c r="EK56" t="e">
        <f>AND('Large Nonlinear Problem'!B323,"AAAAAH/fn4w=")</f>
        <v>#VALUE!</v>
      </c>
      <c r="EL56" t="e">
        <f>AND('Large Nonlinear Problem'!C323,"AAAAAH/fn40=")</f>
        <v>#VALUE!</v>
      </c>
      <c r="EM56" t="e">
        <f>AND('Large Nonlinear Problem'!D323,"AAAAAH/fn44=")</f>
        <v>#VALUE!</v>
      </c>
      <c r="EN56" t="e">
        <f>AND('Large Nonlinear Problem'!E323,"AAAAAH/fn48=")</f>
        <v>#VALUE!</v>
      </c>
      <c r="EO56" t="e">
        <f>AND('Large Nonlinear Problem'!F323,"AAAAAH/fn5A=")</f>
        <v>#VALUE!</v>
      </c>
      <c r="EP56" t="e">
        <f>AND('Large Nonlinear Problem'!G323,"AAAAAH/fn5E=")</f>
        <v>#VALUE!</v>
      </c>
      <c r="EQ56">
        <f>IF('Large Nonlinear Problem'!324:324,"AAAAAH/fn5I=",0)</f>
        <v>0</v>
      </c>
      <c r="ER56" t="e">
        <f>AND('Large Nonlinear Problem'!A324,"AAAAAH/fn5M=")</f>
        <v>#VALUE!</v>
      </c>
      <c r="ES56" t="e">
        <f>AND('Large Nonlinear Problem'!B324,"AAAAAH/fn5Q=")</f>
        <v>#VALUE!</v>
      </c>
      <c r="ET56" t="e">
        <f>AND('Large Nonlinear Problem'!C324,"AAAAAH/fn5U=")</f>
        <v>#VALUE!</v>
      </c>
      <c r="EU56" t="e">
        <f>AND('Large Nonlinear Problem'!D324,"AAAAAH/fn5Y=")</f>
        <v>#VALUE!</v>
      </c>
      <c r="EV56" t="e">
        <f>AND('Large Nonlinear Problem'!E324,"AAAAAH/fn5c=")</f>
        <v>#VALUE!</v>
      </c>
      <c r="EW56" t="e">
        <f>AND('Large Nonlinear Problem'!F324,"AAAAAH/fn5g=")</f>
        <v>#VALUE!</v>
      </c>
      <c r="EX56" t="e">
        <f>AND('Large Nonlinear Problem'!G324,"AAAAAH/fn5k=")</f>
        <v>#VALUE!</v>
      </c>
      <c r="EY56">
        <f>IF('Large Nonlinear Problem'!325:325,"AAAAAH/fn5o=",0)</f>
        <v>0</v>
      </c>
      <c r="EZ56" t="e">
        <f>AND('Large Nonlinear Problem'!A325,"AAAAAH/fn5s=")</f>
        <v>#VALUE!</v>
      </c>
      <c r="FA56" t="e">
        <f>AND('Large Nonlinear Problem'!B325,"AAAAAH/fn5w=")</f>
        <v>#VALUE!</v>
      </c>
      <c r="FB56" t="e">
        <f>AND('Large Nonlinear Problem'!C325,"AAAAAH/fn50=")</f>
        <v>#VALUE!</v>
      </c>
      <c r="FC56" t="e">
        <f>AND('Large Nonlinear Problem'!D325,"AAAAAH/fn54=")</f>
        <v>#VALUE!</v>
      </c>
      <c r="FD56" t="e">
        <f>AND('Large Nonlinear Problem'!E325,"AAAAAH/fn58=")</f>
        <v>#VALUE!</v>
      </c>
      <c r="FE56" t="e">
        <f>AND('Large Nonlinear Problem'!F325,"AAAAAH/fn6A=")</f>
        <v>#VALUE!</v>
      </c>
      <c r="FF56" t="e">
        <f>AND('Large Nonlinear Problem'!G325,"AAAAAH/fn6E=")</f>
        <v>#VALUE!</v>
      </c>
      <c r="FG56">
        <f>IF('Large Nonlinear Problem'!326:326,"AAAAAH/fn6I=",0)</f>
        <v>0</v>
      </c>
      <c r="FH56" t="e">
        <f>AND('Large Nonlinear Problem'!A326,"AAAAAH/fn6M=")</f>
        <v>#VALUE!</v>
      </c>
      <c r="FI56" t="e">
        <f>AND('Large Nonlinear Problem'!B326,"AAAAAH/fn6Q=")</f>
        <v>#VALUE!</v>
      </c>
      <c r="FJ56" t="e">
        <f>AND('Large Nonlinear Problem'!C326,"AAAAAH/fn6U=")</f>
        <v>#VALUE!</v>
      </c>
      <c r="FK56" t="e">
        <f>AND('Large Nonlinear Problem'!D326,"AAAAAH/fn6Y=")</f>
        <v>#VALUE!</v>
      </c>
      <c r="FL56" t="e">
        <f>AND('Large Nonlinear Problem'!E326,"AAAAAH/fn6c=")</f>
        <v>#VALUE!</v>
      </c>
      <c r="FM56" t="e">
        <f>AND('Large Nonlinear Problem'!F326,"AAAAAH/fn6g=")</f>
        <v>#VALUE!</v>
      </c>
      <c r="FN56" t="e">
        <f>AND('Large Nonlinear Problem'!G326,"AAAAAH/fn6k=")</f>
        <v>#VALUE!</v>
      </c>
      <c r="FO56">
        <f>IF('Large Nonlinear Problem'!327:327,"AAAAAH/fn6o=",0)</f>
        <v>0</v>
      </c>
      <c r="FP56" t="e">
        <f>AND('Large Nonlinear Problem'!A327,"AAAAAH/fn6s=")</f>
        <v>#VALUE!</v>
      </c>
      <c r="FQ56" t="e">
        <f>AND('Large Nonlinear Problem'!B327,"AAAAAH/fn6w=")</f>
        <v>#VALUE!</v>
      </c>
      <c r="FR56" t="e">
        <f>AND('Large Nonlinear Problem'!C327,"AAAAAH/fn60=")</f>
        <v>#VALUE!</v>
      </c>
      <c r="FS56" t="e">
        <f>AND('Large Nonlinear Problem'!D327,"AAAAAH/fn64=")</f>
        <v>#VALUE!</v>
      </c>
      <c r="FT56" t="e">
        <f>AND('Large Nonlinear Problem'!E327,"AAAAAH/fn68=")</f>
        <v>#VALUE!</v>
      </c>
      <c r="FU56" t="e">
        <f>AND('Large Nonlinear Problem'!F327,"AAAAAH/fn7A=")</f>
        <v>#VALUE!</v>
      </c>
      <c r="FV56" t="e">
        <f>AND('Large Nonlinear Problem'!G327,"AAAAAH/fn7E=")</f>
        <v>#VALUE!</v>
      </c>
      <c r="FW56">
        <f>IF('Large Nonlinear Problem'!328:328,"AAAAAH/fn7I=",0)</f>
        <v>0</v>
      </c>
      <c r="FX56" t="e">
        <f>AND('Large Nonlinear Problem'!A328,"AAAAAH/fn7M=")</f>
        <v>#VALUE!</v>
      </c>
      <c r="FY56" t="e">
        <f>AND('Large Nonlinear Problem'!B328,"AAAAAH/fn7Q=")</f>
        <v>#VALUE!</v>
      </c>
      <c r="FZ56" t="e">
        <f>AND('Large Nonlinear Problem'!C328,"AAAAAH/fn7U=")</f>
        <v>#VALUE!</v>
      </c>
      <c r="GA56" t="e">
        <f>AND('Large Nonlinear Problem'!D328,"AAAAAH/fn7Y=")</f>
        <v>#VALUE!</v>
      </c>
      <c r="GB56" t="e">
        <f>AND('Large Nonlinear Problem'!E328,"AAAAAH/fn7c=")</f>
        <v>#VALUE!</v>
      </c>
      <c r="GC56" t="e">
        <f>AND('Large Nonlinear Problem'!F328,"AAAAAH/fn7g=")</f>
        <v>#VALUE!</v>
      </c>
      <c r="GD56" t="e">
        <f>AND('Large Nonlinear Problem'!G328,"AAAAAH/fn7k=")</f>
        <v>#VALUE!</v>
      </c>
      <c r="GE56">
        <f>IF('Large Nonlinear Problem'!329:329,"AAAAAH/fn7o=",0)</f>
        <v>0</v>
      </c>
      <c r="GF56" t="e">
        <f>AND('Large Nonlinear Problem'!A329,"AAAAAH/fn7s=")</f>
        <v>#VALUE!</v>
      </c>
      <c r="GG56" t="e">
        <f>AND('Large Nonlinear Problem'!B329,"AAAAAH/fn7w=")</f>
        <v>#VALUE!</v>
      </c>
      <c r="GH56" t="e">
        <f>AND('Large Nonlinear Problem'!C329,"AAAAAH/fn70=")</f>
        <v>#VALUE!</v>
      </c>
      <c r="GI56" t="e">
        <f>AND('Large Nonlinear Problem'!D329,"AAAAAH/fn74=")</f>
        <v>#VALUE!</v>
      </c>
      <c r="GJ56" t="e">
        <f>AND('Large Nonlinear Problem'!E329,"AAAAAH/fn78=")</f>
        <v>#VALUE!</v>
      </c>
      <c r="GK56" t="e">
        <f>AND('Large Nonlinear Problem'!F329,"AAAAAH/fn8A=")</f>
        <v>#VALUE!</v>
      </c>
      <c r="GL56" t="e">
        <f>AND('Large Nonlinear Problem'!G329,"AAAAAH/fn8E=")</f>
        <v>#VALUE!</v>
      </c>
      <c r="GM56">
        <f>IF('Large Nonlinear Problem'!330:330,"AAAAAH/fn8I=",0)</f>
        <v>0</v>
      </c>
      <c r="GN56" t="e">
        <f>AND('Large Nonlinear Problem'!A330,"AAAAAH/fn8M=")</f>
        <v>#VALUE!</v>
      </c>
      <c r="GO56" t="e">
        <f>AND('Large Nonlinear Problem'!B330,"AAAAAH/fn8Q=")</f>
        <v>#VALUE!</v>
      </c>
      <c r="GP56" t="e">
        <f>AND('Large Nonlinear Problem'!C330,"AAAAAH/fn8U=")</f>
        <v>#VALUE!</v>
      </c>
      <c r="GQ56" t="e">
        <f>AND('Large Nonlinear Problem'!D330,"AAAAAH/fn8Y=")</f>
        <v>#VALUE!</v>
      </c>
      <c r="GR56" t="e">
        <f>AND('Large Nonlinear Problem'!E330,"AAAAAH/fn8c=")</f>
        <v>#VALUE!</v>
      </c>
      <c r="GS56" t="e">
        <f>AND('Large Nonlinear Problem'!F330,"AAAAAH/fn8g=")</f>
        <v>#VALUE!</v>
      </c>
      <c r="GT56" t="e">
        <f>AND('Large Nonlinear Problem'!G330,"AAAAAH/fn8k=")</f>
        <v>#VALUE!</v>
      </c>
      <c r="GU56">
        <f>IF('Large Nonlinear Problem'!331:331,"AAAAAH/fn8o=",0)</f>
        <v>0</v>
      </c>
      <c r="GV56" t="e">
        <f>AND('Large Nonlinear Problem'!A331,"AAAAAH/fn8s=")</f>
        <v>#VALUE!</v>
      </c>
      <c r="GW56" t="e">
        <f>AND('Large Nonlinear Problem'!B331,"AAAAAH/fn8w=")</f>
        <v>#VALUE!</v>
      </c>
      <c r="GX56" t="e">
        <f>AND('Large Nonlinear Problem'!C331,"AAAAAH/fn80=")</f>
        <v>#VALUE!</v>
      </c>
      <c r="GY56" t="e">
        <f>AND('Large Nonlinear Problem'!D331,"AAAAAH/fn84=")</f>
        <v>#VALUE!</v>
      </c>
      <c r="GZ56" t="e">
        <f>AND('Large Nonlinear Problem'!E331,"AAAAAH/fn88=")</f>
        <v>#VALUE!</v>
      </c>
      <c r="HA56" t="e">
        <f>AND('Large Nonlinear Problem'!F331,"AAAAAH/fn9A=")</f>
        <v>#VALUE!</v>
      </c>
      <c r="HB56" t="e">
        <f>AND('Large Nonlinear Problem'!G331,"AAAAAH/fn9E=")</f>
        <v>#VALUE!</v>
      </c>
      <c r="HC56">
        <f>IF('Large Nonlinear Problem'!332:332,"AAAAAH/fn9I=",0)</f>
        <v>0</v>
      </c>
      <c r="HD56" t="e">
        <f>AND('Large Nonlinear Problem'!A332,"AAAAAH/fn9M=")</f>
        <v>#VALUE!</v>
      </c>
      <c r="HE56" t="e">
        <f>AND('Large Nonlinear Problem'!B332,"AAAAAH/fn9Q=")</f>
        <v>#VALUE!</v>
      </c>
      <c r="HF56" t="e">
        <f>AND('Large Nonlinear Problem'!C332,"AAAAAH/fn9U=")</f>
        <v>#VALUE!</v>
      </c>
      <c r="HG56" t="e">
        <f>AND('Large Nonlinear Problem'!D332,"AAAAAH/fn9Y=")</f>
        <v>#VALUE!</v>
      </c>
      <c r="HH56" t="e">
        <f>AND('Large Nonlinear Problem'!E332,"AAAAAH/fn9c=")</f>
        <v>#VALUE!</v>
      </c>
      <c r="HI56" t="e">
        <f>AND('Large Nonlinear Problem'!F332,"AAAAAH/fn9g=")</f>
        <v>#VALUE!</v>
      </c>
      <c r="HJ56" t="e">
        <f>AND('Large Nonlinear Problem'!G332,"AAAAAH/fn9k=")</f>
        <v>#VALUE!</v>
      </c>
      <c r="HK56">
        <f>IF('Large Nonlinear Problem'!333:333,"AAAAAH/fn9o=",0)</f>
        <v>0</v>
      </c>
      <c r="HL56" t="e">
        <f>AND('Large Nonlinear Problem'!A333,"AAAAAH/fn9s=")</f>
        <v>#VALUE!</v>
      </c>
      <c r="HM56" t="e">
        <f>AND('Large Nonlinear Problem'!B333,"AAAAAH/fn9w=")</f>
        <v>#VALUE!</v>
      </c>
      <c r="HN56" t="e">
        <f>AND('Large Nonlinear Problem'!C333,"AAAAAH/fn90=")</f>
        <v>#VALUE!</v>
      </c>
      <c r="HO56" t="e">
        <f>AND('Large Nonlinear Problem'!D333,"AAAAAH/fn94=")</f>
        <v>#VALUE!</v>
      </c>
      <c r="HP56" t="e">
        <f>AND('Large Nonlinear Problem'!E333,"AAAAAH/fn98=")</f>
        <v>#VALUE!</v>
      </c>
      <c r="HQ56" t="e">
        <f>AND('Large Nonlinear Problem'!F333,"AAAAAH/fn+A=")</f>
        <v>#VALUE!</v>
      </c>
      <c r="HR56" t="e">
        <f>AND('Large Nonlinear Problem'!G333,"AAAAAH/fn+E=")</f>
        <v>#VALUE!</v>
      </c>
      <c r="HS56">
        <f>IF('Large Nonlinear Problem'!334:334,"AAAAAH/fn+I=",0)</f>
        <v>0</v>
      </c>
      <c r="HT56" t="e">
        <f>AND('Large Nonlinear Problem'!A334,"AAAAAH/fn+M=")</f>
        <v>#VALUE!</v>
      </c>
      <c r="HU56" t="e">
        <f>AND('Large Nonlinear Problem'!B334,"AAAAAH/fn+Q=")</f>
        <v>#VALUE!</v>
      </c>
      <c r="HV56" t="e">
        <f>AND('Large Nonlinear Problem'!C334,"AAAAAH/fn+U=")</f>
        <v>#VALUE!</v>
      </c>
      <c r="HW56" t="e">
        <f>AND('Large Nonlinear Problem'!D334,"AAAAAH/fn+Y=")</f>
        <v>#VALUE!</v>
      </c>
      <c r="HX56" t="e">
        <f>AND('Large Nonlinear Problem'!E334,"AAAAAH/fn+c=")</f>
        <v>#VALUE!</v>
      </c>
      <c r="HY56" t="e">
        <f>AND('Large Nonlinear Problem'!F334,"AAAAAH/fn+g=")</f>
        <v>#VALUE!</v>
      </c>
      <c r="HZ56" t="e">
        <f>AND('Large Nonlinear Problem'!G334,"AAAAAH/fn+k=")</f>
        <v>#VALUE!</v>
      </c>
      <c r="IA56">
        <f>IF('Large Nonlinear Problem'!335:335,"AAAAAH/fn+o=",0)</f>
        <v>0</v>
      </c>
      <c r="IB56" t="e">
        <f>AND('Large Nonlinear Problem'!A335,"AAAAAH/fn+s=")</f>
        <v>#VALUE!</v>
      </c>
      <c r="IC56" t="e">
        <f>AND('Large Nonlinear Problem'!B335,"AAAAAH/fn+w=")</f>
        <v>#VALUE!</v>
      </c>
      <c r="ID56" t="e">
        <f>AND('Large Nonlinear Problem'!C335,"AAAAAH/fn+0=")</f>
        <v>#VALUE!</v>
      </c>
      <c r="IE56" t="e">
        <f>AND('Large Nonlinear Problem'!D335,"AAAAAH/fn+4=")</f>
        <v>#VALUE!</v>
      </c>
      <c r="IF56" t="e">
        <f>AND('Large Nonlinear Problem'!E335,"AAAAAH/fn+8=")</f>
        <v>#VALUE!</v>
      </c>
      <c r="IG56" t="e">
        <f>AND('Large Nonlinear Problem'!F335,"AAAAAH/fn/A=")</f>
        <v>#VALUE!</v>
      </c>
      <c r="IH56" t="e">
        <f>AND('Large Nonlinear Problem'!G335,"AAAAAH/fn/E=")</f>
        <v>#VALUE!</v>
      </c>
      <c r="II56">
        <f>IF('Large Nonlinear Problem'!336:336,"AAAAAH/fn/I=",0)</f>
        <v>0</v>
      </c>
      <c r="IJ56" t="e">
        <f>AND('Large Nonlinear Problem'!A336,"AAAAAH/fn/M=")</f>
        <v>#VALUE!</v>
      </c>
      <c r="IK56" t="e">
        <f>AND('Large Nonlinear Problem'!B336,"AAAAAH/fn/Q=")</f>
        <v>#VALUE!</v>
      </c>
      <c r="IL56" t="e">
        <f>AND('Large Nonlinear Problem'!C336,"AAAAAH/fn/U=")</f>
        <v>#VALUE!</v>
      </c>
      <c r="IM56" t="e">
        <f>AND('Large Nonlinear Problem'!D336,"AAAAAH/fn/Y=")</f>
        <v>#VALUE!</v>
      </c>
      <c r="IN56" t="e">
        <f>AND('Large Nonlinear Problem'!E336,"AAAAAH/fn/c=")</f>
        <v>#VALUE!</v>
      </c>
      <c r="IO56" t="e">
        <f>AND('Large Nonlinear Problem'!F336,"AAAAAH/fn/g=")</f>
        <v>#VALUE!</v>
      </c>
      <c r="IP56" t="e">
        <f>AND('Large Nonlinear Problem'!G336,"AAAAAH/fn/k=")</f>
        <v>#VALUE!</v>
      </c>
      <c r="IQ56">
        <f>IF('Large Nonlinear Problem'!337:337,"AAAAAH/fn/o=",0)</f>
        <v>0</v>
      </c>
      <c r="IR56" t="e">
        <f>AND('Large Nonlinear Problem'!A337,"AAAAAH/fn/s=")</f>
        <v>#VALUE!</v>
      </c>
      <c r="IS56" t="e">
        <f>AND('Large Nonlinear Problem'!B337,"AAAAAH/fn/w=")</f>
        <v>#VALUE!</v>
      </c>
      <c r="IT56" t="e">
        <f>AND('Large Nonlinear Problem'!C337,"AAAAAH/fn/0=")</f>
        <v>#VALUE!</v>
      </c>
      <c r="IU56" t="e">
        <f>AND('Large Nonlinear Problem'!D337,"AAAAAH/fn/4=")</f>
        <v>#VALUE!</v>
      </c>
      <c r="IV56" t="e">
        <f>AND('Large Nonlinear Problem'!E337,"AAAAAH/fn/8=")</f>
        <v>#VALUE!</v>
      </c>
    </row>
    <row r="57" spans="1:256">
      <c r="A57" t="e">
        <f>AND('Large Nonlinear Problem'!F337,"AAAAAH9bbgA=")</f>
        <v>#VALUE!</v>
      </c>
      <c r="B57" t="e">
        <f>AND('Large Nonlinear Problem'!G337,"AAAAAH9bbgE=")</f>
        <v>#VALUE!</v>
      </c>
      <c r="C57" t="str">
        <f>IF('Large Nonlinear Problem'!338:338,"AAAAAH9bbgI=",0)</f>
        <v>AAAAAH9bbgI=</v>
      </c>
      <c r="D57" t="e">
        <f>AND('Large Nonlinear Problem'!A338,"AAAAAH9bbgM=")</f>
        <v>#VALUE!</v>
      </c>
      <c r="E57" t="e">
        <f>AND('Large Nonlinear Problem'!B338,"AAAAAH9bbgQ=")</f>
        <v>#VALUE!</v>
      </c>
      <c r="F57" t="e">
        <f>AND('Large Nonlinear Problem'!C338,"AAAAAH9bbgU=")</f>
        <v>#VALUE!</v>
      </c>
      <c r="G57" t="e">
        <f>AND('Large Nonlinear Problem'!D338,"AAAAAH9bbgY=")</f>
        <v>#VALUE!</v>
      </c>
      <c r="H57" t="e">
        <f>AND('Large Nonlinear Problem'!E338,"AAAAAH9bbgc=")</f>
        <v>#VALUE!</v>
      </c>
      <c r="I57" t="e">
        <f>AND('Large Nonlinear Problem'!F338,"AAAAAH9bbgg=")</f>
        <v>#VALUE!</v>
      </c>
      <c r="J57" t="e">
        <f>AND('Large Nonlinear Problem'!G338,"AAAAAH9bbgk=")</f>
        <v>#VALUE!</v>
      </c>
      <c r="K57" t="str">
        <f>IF('Large Nonlinear Problem'!339:339,"AAAAAH9bbgo=",0)</f>
        <v>AAAAAH9bbgo=</v>
      </c>
      <c r="L57" t="e">
        <f>AND('Large Nonlinear Problem'!A339,"AAAAAH9bbgs=")</f>
        <v>#VALUE!</v>
      </c>
      <c r="M57" t="e">
        <f>AND('Large Nonlinear Problem'!B339,"AAAAAH9bbgw=")</f>
        <v>#VALUE!</v>
      </c>
      <c r="N57" t="e">
        <f>AND('Large Nonlinear Problem'!C339,"AAAAAH9bbg0=")</f>
        <v>#VALUE!</v>
      </c>
      <c r="O57" t="e">
        <f>AND('Large Nonlinear Problem'!D339,"AAAAAH9bbg4=")</f>
        <v>#VALUE!</v>
      </c>
      <c r="P57" t="e">
        <f>AND('Large Nonlinear Problem'!E339,"AAAAAH9bbg8=")</f>
        <v>#VALUE!</v>
      </c>
      <c r="Q57" t="e">
        <f>AND('Large Nonlinear Problem'!F339,"AAAAAH9bbhA=")</f>
        <v>#VALUE!</v>
      </c>
      <c r="R57" t="e">
        <f>AND('Large Nonlinear Problem'!G339,"AAAAAH9bbhE=")</f>
        <v>#VALUE!</v>
      </c>
      <c r="S57">
        <f>IF('Large Nonlinear Problem'!340:340,"AAAAAH9bbhI=",0)</f>
        <v>0</v>
      </c>
      <c r="T57" t="e">
        <f>AND('Large Nonlinear Problem'!A340,"AAAAAH9bbhM=")</f>
        <v>#VALUE!</v>
      </c>
      <c r="U57" t="e">
        <f>AND('Large Nonlinear Problem'!B340,"AAAAAH9bbhQ=")</f>
        <v>#VALUE!</v>
      </c>
      <c r="V57" t="e">
        <f>AND('Large Nonlinear Problem'!C340,"AAAAAH9bbhU=")</f>
        <v>#VALUE!</v>
      </c>
      <c r="W57" t="e">
        <f>AND('Large Nonlinear Problem'!D340,"AAAAAH9bbhY=")</f>
        <v>#VALUE!</v>
      </c>
      <c r="X57" t="e">
        <f>AND('Large Nonlinear Problem'!E340,"AAAAAH9bbhc=")</f>
        <v>#VALUE!</v>
      </c>
      <c r="Y57" t="e">
        <f>AND('Large Nonlinear Problem'!F340,"AAAAAH9bbhg=")</f>
        <v>#VALUE!</v>
      </c>
      <c r="Z57" t="e">
        <f>AND('Large Nonlinear Problem'!G340,"AAAAAH9bbhk=")</f>
        <v>#VALUE!</v>
      </c>
      <c r="AA57">
        <f>IF('Large Nonlinear Problem'!341:341,"AAAAAH9bbho=",0)</f>
        <v>0</v>
      </c>
      <c r="AB57" t="e">
        <f>AND('Large Nonlinear Problem'!A341,"AAAAAH9bbhs=")</f>
        <v>#VALUE!</v>
      </c>
      <c r="AC57" t="e">
        <f>AND('Large Nonlinear Problem'!B341,"AAAAAH9bbhw=")</f>
        <v>#VALUE!</v>
      </c>
      <c r="AD57" t="e">
        <f>AND('Large Nonlinear Problem'!C341,"AAAAAH9bbh0=")</f>
        <v>#VALUE!</v>
      </c>
      <c r="AE57" t="e">
        <f>AND('Large Nonlinear Problem'!D341,"AAAAAH9bbh4=")</f>
        <v>#VALUE!</v>
      </c>
      <c r="AF57" t="e">
        <f>AND('Large Nonlinear Problem'!E341,"AAAAAH9bbh8=")</f>
        <v>#VALUE!</v>
      </c>
      <c r="AG57" t="e">
        <f>AND('Large Nonlinear Problem'!F341,"AAAAAH9bbiA=")</f>
        <v>#VALUE!</v>
      </c>
      <c r="AH57" t="e">
        <f>AND('Large Nonlinear Problem'!G341,"AAAAAH9bbiE=")</f>
        <v>#VALUE!</v>
      </c>
      <c r="AI57">
        <f>IF('Large Nonlinear Problem'!342:342,"AAAAAH9bbiI=",0)</f>
        <v>0</v>
      </c>
      <c r="AJ57" t="e">
        <f>AND('Large Nonlinear Problem'!A342,"AAAAAH9bbiM=")</f>
        <v>#VALUE!</v>
      </c>
      <c r="AK57" t="e">
        <f>AND('Large Nonlinear Problem'!B342,"AAAAAH9bbiQ=")</f>
        <v>#VALUE!</v>
      </c>
      <c r="AL57" t="e">
        <f>AND('Large Nonlinear Problem'!C342,"AAAAAH9bbiU=")</f>
        <v>#VALUE!</v>
      </c>
      <c r="AM57" t="e">
        <f>AND('Large Nonlinear Problem'!D342,"AAAAAH9bbiY=")</f>
        <v>#VALUE!</v>
      </c>
      <c r="AN57" t="e">
        <f>AND('Large Nonlinear Problem'!E342,"AAAAAH9bbic=")</f>
        <v>#VALUE!</v>
      </c>
      <c r="AO57" t="e">
        <f>AND('Large Nonlinear Problem'!F342,"AAAAAH9bbig=")</f>
        <v>#VALUE!</v>
      </c>
      <c r="AP57" t="e">
        <f>AND('Large Nonlinear Problem'!G342,"AAAAAH9bbik=")</f>
        <v>#VALUE!</v>
      </c>
      <c r="AQ57">
        <f>IF('Large Nonlinear Problem'!343:343,"AAAAAH9bbio=",0)</f>
        <v>0</v>
      </c>
      <c r="AR57" t="e">
        <f>AND('Large Nonlinear Problem'!A343,"AAAAAH9bbis=")</f>
        <v>#VALUE!</v>
      </c>
      <c r="AS57" t="e">
        <f>AND('Large Nonlinear Problem'!B343,"AAAAAH9bbiw=")</f>
        <v>#VALUE!</v>
      </c>
      <c r="AT57" t="e">
        <f>AND('Large Nonlinear Problem'!C343,"AAAAAH9bbi0=")</f>
        <v>#VALUE!</v>
      </c>
      <c r="AU57" t="e">
        <f>AND('Large Nonlinear Problem'!D343,"AAAAAH9bbi4=")</f>
        <v>#VALUE!</v>
      </c>
      <c r="AV57" t="e">
        <f>AND('Large Nonlinear Problem'!E343,"AAAAAH9bbi8=")</f>
        <v>#VALUE!</v>
      </c>
      <c r="AW57" t="e">
        <f>AND('Large Nonlinear Problem'!F343,"AAAAAH9bbjA=")</f>
        <v>#VALUE!</v>
      </c>
      <c r="AX57" t="e">
        <f>AND('Large Nonlinear Problem'!G343,"AAAAAH9bbjE=")</f>
        <v>#VALUE!</v>
      </c>
      <c r="AY57">
        <f>IF('Large Nonlinear Problem'!344:344,"AAAAAH9bbjI=",0)</f>
        <v>0</v>
      </c>
      <c r="AZ57" t="e">
        <f>AND('Large Nonlinear Problem'!A344,"AAAAAH9bbjM=")</f>
        <v>#VALUE!</v>
      </c>
      <c r="BA57" t="e">
        <f>AND('Large Nonlinear Problem'!B344,"AAAAAH9bbjQ=")</f>
        <v>#VALUE!</v>
      </c>
      <c r="BB57" t="e">
        <f>AND('Large Nonlinear Problem'!C344,"AAAAAH9bbjU=")</f>
        <v>#VALUE!</v>
      </c>
      <c r="BC57" t="e">
        <f>AND('Large Nonlinear Problem'!D344,"AAAAAH9bbjY=")</f>
        <v>#VALUE!</v>
      </c>
      <c r="BD57" t="e">
        <f>AND('Large Nonlinear Problem'!E344,"AAAAAH9bbjc=")</f>
        <v>#VALUE!</v>
      </c>
      <c r="BE57" t="e">
        <f>AND('Large Nonlinear Problem'!F344,"AAAAAH9bbjg=")</f>
        <v>#VALUE!</v>
      </c>
      <c r="BF57" t="e">
        <f>AND('Large Nonlinear Problem'!G344,"AAAAAH9bbjk=")</f>
        <v>#VALUE!</v>
      </c>
      <c r="BG57">
        <f>IF('Large Nonlinear Problem'!345:345,"AAAAAH9bbjo=",0)</f>
        <v>0</v>
      </c>
      <c r="BH57" t="e">
        <f>AND('Large Nonlinear Problem'!A345,"AAAAAH9bbjs=")</f>
        <v>#VALUE!</v>
      </c>
      <c r="BI57" t="e">
        <f>AND('Large Nonlinear Problem'!B345,"AAAAAH9bbjw=")</f>
        <v>#VALUE!</v>
      </c>
      <c r="BJ57" t="e">
        <f>AND('Large Nonlinear Problem'!C345,"AAAAAH9bbj0=")</f>
        <v>#VALUE!</v>
      </c>
      <c r="BK57" t="e">
        <f>AND('Large Nonlinear Problem'!D345,"AAAAAH9bbj4=")</f>
        <v>#VALUE!</v>
      </c>
      <c r="BL57" t="e">
        <f>AND('Large Nonlinear Problem'!E345,"AAAAAH9bbj8=")</f>
        <v>#VALUE!</v>
      </c>
      <c r="BM57" t="e">
        <f>AND('Large Nonlinear Problem'!F345,"AAAAAH9bbkA=")</f>
        <v>#VALUE!</v>
      </c>
      <c r="BN57" t="e">
        <f>AND('Large Nonlinear Problem'!G345,"AAAAAH9bbkE=")</f>
        <v>#VALUE!</v>
      </c>
      <c r="BO57">
        <f>IF('Large Nonlinear Problem'!346:346,"AAAAAH9bbkI=",0)</f>
        <v>0</v>
      </c>
      <c r="BP57" t="e">
        <f>AND('Large Nonlinear Problem'!A346,"AAAAAH9bbkM=")</f>
        <v>#VALUE!</v>
      </c>
      <c r="BQ57" t="e">
        <f>AND('Large Nonlinear Problem'!B346,"AAAAAH9bbkQ=")</f>
        <v>#VALUE!</v>
      </c>
      <c r="BR57" t="e">
        <f>AND('Large Nonlinear Problem'!C346,"AAAAAH9bbkU=")</f>
        <v>#VALUE!</v>
      </c>
      <c r="BS57" t="e">
        <f>AND('Large Nonlinear Problem'!D346,"AAAAAH9bbkY=")</f>
        <v>#VALUE!</v>
      </c>
      <c r="BT57" t="e">
        <f>AND('Large Nonlinear Problem'!E346,"AAAAAH9bbkc=")</f>
        <v>#VALUE!</v>
      </c>
      <c r="BU57" t="e">
        <f>AND('Large Nonlinear Problem'!F346,"AAAAAH9bbkg=")</f>
        <v>#VALUE!</v>
      </c>
      <c r="BV57" t="e">
        <f>AND('Large Nonlinear Problem'!G346,"AAAAAH9bbkk=")</f>
        <v>#VALUE!</v>
      </c>
      <c r="BW57">
        <f>IF('Large Nonlinear Problem'!347:347,"AAAAAH9bbko=",0)</f>
        <v>0</v>
      </c>
      <c r="BX57" t="e">
        <f>AND('Large Nonlinear Problem'!A347,"AAAAAH9bbks=")</f>
        <v>#VALUE!</v>
      </c>
      <c r="BY57" t="e">
        <f>AND('Large Nonlinear Problem'!B347,"AAAAAH9bbkw=")</f>
        <v>#VALUE!</v>
      </c>
      <c r="BZ57" t="e">
        <f>AND('Large Nonlinear Problem'!C347,"AAAAAH9bbk0=")</f>
        <v>#VALUE!</v>
      </c>
      <c r="CA57" t="e">
        <f>AND('Large Nonlinear Problem'!D347,"AAAAAH9bbk4=")</f>
        <v>#VALUE!</v>
      </c>
      <c r="CB57" t="e">
        <f>AND('Large Nonlinear Problem'!E347,"AAAAAH9bbk8=")</f>
        <v>#VALUE!</v>
      </c>
      <c r="CC57" t="e">
        <f>AND('Large Nonlinear Problem'!F347,"AAAAAH9bblA=")</f>
        <v>#VALUE!</v>
      </c>
      <c r="CD57" t="e">
        <f>AND('Large Nonlinear Problem'!G347,"AAAAAH9bblE=")</f>
        <v>#VALUE!</v>
      </c>
      <c r="CE57">
        <f>IF('Large Nonlinear Problem'!348:348,"AAAAAH9bblI=",0)</f>
        <v>0</v>
      </c>
      <c r="CF57" t="e">
        <f>AND('Large Nonlinear Problem'!A348,"AAAAAH9bblM=")</f>
        <v>#VALUE!</v>
      </c>
      <c r="CG57" t="e">
        <f>AND('Large Nonlinear Problem'!B348,"AAAAAH9bblQ=")</f>
        <v>#VALUE!</v>
      </c>
      <c r="CH57" t="e">
        <f>AND('Large Nonlinear Problem'!C348,"AAAAAH9bblU=")</f>
        <v>#VALUE!</v>
      </c>
      <c r="CI57" t="e">
        <f>AND('Large Nonlinear Problem'!D348,"AAAAAH9bblY=")</f>
        <v>#VALUE!</v>
      </c>
      <c r="CJ57" t="e">
        <f>AND('Large Nonlinear Problem'!E348,"AAAAAH9bblc=")</f>
        <v>#VALUE!</v>
      </c>
      <c r="CK57" t="e">
        <f>AND('Large Nonlinear Problem'!F348,"AAAAAH9bblg=")</f>
        <v>#VALUE!</v>
      </c>
      <c r="CL57" t="e">
        <f>AND('Large Nonlinear Problem'!G348,"AAAAAH9bblk=")</f>
        <v>#VALUE!</v>
      </c>
      <c r="CM57">
        <f>IF('Large Nonlinear Problem'!349:349,"AAAAAH9bblo=",0)</f>
        <v>0</v>
      </c>
      <c r="CN57" t="e">
        <f>AND('Large Nonlinear Problem'!A349,"AAAAAH9bbls=")</f>
        <v>#VALUE!</v>
      </c>
      <c r="CO57" t="e">
        <f>AND('Large Nonlinear Problem'!B349,"AAAAAH9bblw=")</f>
        <v>#VALUE!</v>
      </c>
      <c r="CP57" t="e">
        <f>AND('Large Nonlinear Problem'!C349,"AAAAAH9bbl0=")</f>
        <v>#VALUE!</v>
      </c>
      <c r="CQ57" t="e">
        <f>AND('Large Nonlinear Problem'!D349,"AAAAAH9bbl4=")</f>
        <v>#VALUE!</v>
      </c>
      <c r="CR57" t="e">
        <f>AND('Large Nonlinear Problem'!E349,"AAAAAH9bbl8=")</f>
        <v>#VALUE!</v>
      </c>
      <c r="CS57" t="e">
        <f>AND('Large Nonlinear Problem'!F349,"AAAAAH9bbmA=")</f>
        <v>#VALUE!</v>
      </c>
      <c r="CT57" t="e">
        <f>AND('Large Nonlinear Problem'!G349,"AAAAAH9bbmE=")</f>
        <v>#VALUE!</v>
      </c>
      <c r="CU57">
        <f>IF('Large Nonlinear Problem'!350:350,"AAAAAH9bbmI=",0)</f>
        <v>0</v>
      </c>
      <c r="CV57" t="e">
        <f>AND('Large Nonlinear Problem'!A350,"AAAAAH9bbmM=")</f>
        <v>#VALUE!</v>
      </c>
      <c r="CW57" t="e">
        <f>AND('Large Nonlinear Problem'!B350,"AAAAAH9bbmQ=")</f>
        <v>#VALUE!</v>
      </c>
      <c r="CX57" t="e">
        <f>AND('Large Nonlinear Problem'!C350,"AAAAAH9bbmU=")</f>
        <v>#VALUE!</v>
      </c>
      <c r="CY57" t="e">
        <f>AND('Large Nonlinear Problem'!D350,"AAAAAH9bbmY=")</f>
        <v>#VALUE!</v>
      </c>
      <c r="CZ57" t="e">
        <f>AND('Large Nonlinear Problem'!E350,"AAAAAH9bbmc=")</f>
        <v>#VALUE!</v>
      </c>
      <c r="DA57" t="e">
        <f>AND('Large Nonlinear Problem'!F350,"AAAAAH9bbmg=")</f>
        <v>#VALUE!</v>
      </c>
      <c r="DB57" t="e">
        <f>AND('Large Nonlinear Problem'!G350,"AAAAAH9bbmk=")</f>
        <v>#VALUE!</v>
      </c>
      <c r="DC57">
        <f>IF('Large Nonlinear Problem'!351:351,"AAAAAH9bbmo=",0)</f>
        <v>0</v>
      </c>
      <c r="DD57" t="e">
        <f>AND('Large Nonlinear Problem'!A351,"AAAAAH9bbms=")</f>
        <v>#VALUE!</v>
      </c>
      <c r="DE57" t="e">
        <f>AND('Large Nonlinear Problem'!B351,"AAAAAH9bbmw=")</f>
        <v>#VALUE!</v>
      </c>
      <c r="DF57" t="e">
        <f>AND('Large Nonlinear Problem'!C351,"AAAAAH9bbm0=")</f>
        <v>#VALUE!</v>
      </c>
      <c r="DG57" t="e">
        <f>AND('Large Nonlinear Problem'!D351,"AAAAAH9bbm4=")</f>
        <v>#VALUE!</v>
      </c>
      <c r="DH57" t="e">
        <f>AND('Large Nonlinear Problem'!E351,"AAAAAH9bbm8=")</f>
        <v>#VALUE!</v>
      </c>
      <c r="DI57" t="e">
        <f>AND('Large Nonlinear Problem'!F351,"AAAAAH9bbnA=")</f>
        <v>#VALUE!</v>
      </c>
      <c r="DJ57" t="e">
        <f>AND('Large Nonlinear Problem'!G351,"AAAAAH9bbnE=")</f>
        <v>#VALUE!</v>
      </c>
      <c r="DK57">
        <f>IF('Large Nonlinear Problem'!352:352,"AAAAAH9bbnI=",0)</f>
        <v>0</v>
      </c>
      <c r="DL57" t="e">
        <f>AND('Large Nonlinear Problem'!A352,"AAAAAH9bbnM=")</f>
        <v>#VALUE!</v>
      </c>
      <c r="DM57" t="e">
        <f>AND('Large Nonlinear Problem'!B352,"AAAAAH9bbnQ=")</f>
        <v>#VALUE!</v>
      </c>
      <c r="DN57" t="e">
        <f>AND('Large Nonlinear Problem'!C352,"AAAAAH9bbnU=")</f>
        <v>#VALUE!</v>
      </c>
      <c r="DO57" t="e">
        <f>AND('Large Nonlinear Problem'!D352,"AAAAAH9bbnY=")</f>
        <v>#VALUE!</v>
      </c>
      <c r="DP57" t="e">
        <f>AND('Large Nonlinear Problem'!E352,"AAAAAH9bbnc=")</f>
        <v>#VALUE!</v>
      </c>
      <c r="DQ57" t="e">
        <f>AND('Large Nonlinear Problem'!F352,"AAAAAH9bbng=")</f>
        <v>#VALUE!</v>
      </c>
      <c r="DR57" t="e">
        <f>AND('Large Nonlinear Problem'!G352,"AAAAAH9bbnk=")</f>
        <v>#VALUE!</v>
      </c>
      <c r="DS57">
        <f>IF('Large Nonlinear Problem'!353:353,"AAAAAH9bbno=",0)</f>
        <v>0</v>
      </c>
      <c r="DT57" t="e">
        <f>AND('Large Nonlinear Problem'!A353,"AAAAAH9bbns=")</f>
        <v>#VALUE!</v>
      </c>
      <c r="DU57" t="e">
        <f>AND('Large Nonlinear Problem'!B353,"AAAAAH9bbnw=")</f>
        <v>#VALUE!</v>
      </c>
      <c r="DV57" t="e">
        <f>AND('Large Nonlinear Problem'!C353,"AAAAAH9bbn0=")</f>
        <v>#VALUE!</v>
      </c>
      <c r="DW57" t="e">
        <f>AND('Large Nonlinear Problem'!D353,"AAAAAH9bbn4=")</f>
        <v>#VALUE!</v>
      </c>
      <c r="DX57" t="e">
        <f>AND('Large Nonlinear Problem'!E353,"AAAAAH9bbn8=")</f>
        <v>#VALUE!</v>
      </c>
      <c r="DY57" t="e">
        <f>AND('Large Nonlinear Problem'!F353,"AAAAAH9bboA=")</f>
        <v>#VALUE!</v>
      </c>
      <c r="DZ57" t="e">
        <f>AND('Large Nonlinear Problem'!G353,"AAAAAH9bboE=")</f>
        <v>#VALUE!</v>
      </c>
      <c r="EA57">
        <f>IF('Large Nonlinear Problem'!354:354,"AAAAAH9bboI=",0)</f>
        <v>0</v>
      </c>
      <c r="EB57" t="e">
        <f>AND('Large Nonlinear Problem'!A354,"AAAAAH9bboM=")</f>
        <v>#VALUE!</v>
      </c>
      <c r="EC57" t="e">
        <f>AND('Large Nonlinear Problem'!B354,"AAAAAH9bboQ=")</f>
        <v>#VALUE!</v>
      </c>
      <c r="ED57" t="e">
        <f>AND('Large Nonlinear Problem'!C354,"AAAAAH9bboU=")</f>
        <v>#VALUE!</v>
      </c>
      <c r="EE57" t="e">
        <f>AND('Large Nonlinear Problem'!D354,"AAAAAH9bboY=")</f>
        <v>#VALUE!</v>
      </c>
      <c r="EF57" t="e">
        <f>AND('Large Nonlinear Problem'!E354,"AAAAAH9bboc=")</f>
        <v>#VALUE!</v>
      </c>
      <c r="EG57" t="e">
        <f>AND('Large Nonlinear Problem'!F354,"AAAAAH9bbog=")</f>
        <v>#VALUE!</v>
      </c>
      <c r="EH57" t="e">
        <f>AND('Large Nonlinear Problem'!G354,"AAAAAH9bbok=")</f>
        <v>#VALUE!</v>
      </c>
      <c r="EI57">
        <f>IF('Large Nonlinear Problem'!355:355,"AAAAAH9bboo=",0)</f>
        <v>0</v>
      </c>
      <c r="EJ57" t="e">
        <f>AND('Large Nonlinear Problem'!A355,"AAAAAH9bbos=")</f>
        <v>#VALUE!</v>
      </c>
      <c r="EK57" t="e">
        <f>AND('Large Nonlinear Problem'!B355,"AAAAAH9bbow=")</f>
        <v>#VALUE!</v>
      </c>
      <c r="EL57" t="e">
        <f>AND('Large Nonlinear Problem'!C355,"AAAAAH9bbo0=")</f>
        <v>#VALUE!</v>
      </c>
      <c r="EM57" t="e">
        <f>AND('Large Nonlinear Problem'!D355,"AAAAAH9bbo4=")</f>
        <v>#VALUE!</v>
      </c>
      <c r="EN57" t="e">
        <f>AND('Large Nonlinear Problem'!E355,"AAAAAH9bbo8=")</f>
        <v>#VALUE!</v>
      </c>
      <c r="EO57" t="e">
        <f>AND('Large Nonlinear Problem'!F355,"AAAAAH9bbpA=")</f>
        <v>#VALUE!</v>
      </c>
      <c r="EP57" t="e">
        <f>AND('Large Nonlinear Problem'!G355,"AAAAAH9bbpE=")</f>
        <v>#VALUE!</v>
      </c>
      <c r="EQ57">
        <f>IF('Large Nonlinear Problem'!356:356,"AAAAAH9bbpI=",0)</f>
        <v>0</v>
      </c>
      <c r="ER57" t="e">
        <f>AND('Large Nonlinear Problem'!A356,"AAAAAH9bbpM=")</f>
        <v>#VALUE!</v>
      </c>
      <c r="ES57" t="e">
        <f>AND('Large Nonlinear Problem'!B356,"AAAAAH9bbpQ=")</f>
        <v>#VALUE!</v>
      </c>
      <c r="ET57" t="e">
        <f>AND('Large Nonlinear Problem'!C356,"AAAAAH9bbpU=")</f>
        <v>#VALUE!</v>
      </c>
      <c r="EU57" t="e">
        <f>AND('Large Nonlinear Problem'!D356,"AAAAAH9bbpY=")</f>
        <v>#VALUE!</v>
      </c>
      <c r="EV57" t="e">
        <f>AND('Large Nonlinear Problem'!E356,"AAAAAH9bbpc=")</f>
        <v>#VALUE!</v>
      </c>
      <c r="EW57" t="e">
        <f>AND('Large Nonlinear Problem'!F356,"AAAAAH9bbpg=")</f>
        <v>#VALUE!</v>
      </c>
      <c r="EX57" t="e">
        <f>AND('Large Nonlinear Problem'!G356,"AAAAAH9bbpk=")</f>
        <v>#VALUE!</v>
      </c>
      <c r="EY57">
        <f>IF('Large Nonlinear Problem'!357:357,"AAAAAH9bbpo=",0)</f>
        <v>0</v>
      </c>
      <c r="EZ57" t="e">
        <f>AND('Large Nonlinear Problem'!A357,"AAAAAH9bbps=")</f>
        <v>#VALUE!</v>
      </c>
      <c r="FA57" t="e">
        <f>AND('Large Nonlinear Problem'!B357,"AAAAAH9bbpw=")</f>
        <v>#VALUE!</v>
      </c>
      <c r="FB57" t="e">
        <f>AND('Large Nonlinear Problem'!C357,"AAAAAH9bbp0=")</f>
        <v>#VALUE!</v>
      </c>
      <c r="FC57" t="e">
        <f>AND('Large Nonlinear Problem'!D357,"AAAAAH9bbp4=")</f>
        <v>#VALUE!</v>
      </c>
      <c r="FD57" t="e">
        <f>AND('Large Nonlinear Problem'!E357,"AAAAAH9bbp8=")</f>
        <v>#VALUE!</v>
      </c>
      <c r="FE57" t="e">
        <f>AND('Large Nonlinear Problem'!F357,"AAAAAH9bbqA=")</f>
        <v>#VALUE!</v>
      </c>
      <c r="FF57" t="e">
        <f>AND('Large Nonlinear Problem'!G357,"AAAAAH9bbqE=")</f>
        <v>#VALUE!</v>
      </c>
      <c r="FG57">
        <f>IF('Large Nonlinear Problem'!358:358,"AAAAAH9bbqI=",0)</f>
        <v>0</v>
      </c>
      <c r="FH57" t="e">
        <f>AND('Large Nonlinear Problem'!A358,"AAAAAH9bbqM=")</f>
        <v>#VALUE!</v>
      </c>
      <c r="FI57" t="e">
        <f>AND('Large Nonlinear Problem'!B358,"AAAAAH9bbqQ=")</f>
        <v>#VALUE!</v>
      </c>
      <c r="FJ57" t="e">
        <f>AND('Large Nonlinear Problem'!C358,"AAAAAH9bbqU=")</f>
        <v>#VALUE!</v>
      </c>
      <c r="FK57" t="e">
        <f>AND('Large Nonlinear Problem'!D358,"AAAAAH9bbqY=")</f>
        <v>#VALUE!</v>
      </c>
      <c r="FL57" t="e">
        <f>AND('Large Nonlinear Problem'!E358,"AAAAAH9bbqc=")</f>
        <v>#VALUE!</v>
      </c>
      <c r="FM57" t="e">
        <f>AND('Large Nonlinear Problem'!F358,"AAAAAH9bbqg=")</f>
        <v>#VALUE!</v>
      </c>
      <c r="FN57" t="e">
        <f>AND('Large Nonlinear Problem'!G358,"AAAAAH9bbqk=")</f>
        <v>#VALUE!</v>
      </c>
      <c r="FO57">
        <f>IF('Large Nonlinear Problem'!359:359,"AAAAAH9bbqo=",0)</f>
        <v>0</v>
      </c>
      <c r="FP57" t="e">
        <f>AND('Large Nonlinear Problem'!A359,"AAAAAH9bbqs=")</f>
        <v>#VALUE!</v>
      </c>
      <c r="FQ57" t="e">
        <f>AND('Large Nonlinear Problem'!B359,"AAAAAH9bbqw=")</f>
        <v>#VALUE!</v>
      </c>
      <c r="FR57" t="e">
        <f>AND('Large Nonlinear Problem'!C359,"AAAAAH9bbq0=")</f>
        <v>#VALUE!</v>
      </c>
      <c r="FS57" t="e">
        <f>AND('Large Nonlinear Problem'!D359,"AAAAAH9bbq4=")</f>
        <v>#VALUE!</v>
      </c>
      <c r="FT57" t="e">
        <f>AND('Large Nonlinear Problem'!E359,"AAAAAH9bbq8=")</f>
        <v>#VALUE!</v>
      </c>
      <c r="FU57" t="e">
        <f>AND('Large Nonlinear Problem'!F359,"AAAAAH9bbrA=")</f>
        <v>#VALUE!</v>
      </c>
      <c r="FV57" t="e">
        <f>AND('Large Nonlinear Problem'!G359,"AAAAAH9bbrE=")</f>
        <v>#VALUE!</v>
      </c>
      <c r="FW57">
        <f>IF('Large Nonlinear Problem'!360:360,"AAAAAH9bbrI=",0)</f>
        <v>0</v>
      </c>
      <c r="FX57" t="e">
        <f>AND('Large Nonlinear Problem'!A360,"AAAAAH9bbrM=")</f>
        <v>#VALUE!</v>
      </c>
      <c r="FY57" t="e">
        <f>AND('Large Nonlinear Problem'!B360,"AAAAAH9bbrQ=")</f>
        <v>#VALUE!</v>
      </c>
      <c r="FZ57" t="e">
        <f>AND('Large Nonlinear Problem'!C360,"AAAAAH9bbrU=")</f>
        <v>#VALUE!</v>
      </c>
      <c r="GA57" t="e">
        <f>AND('Large Nonlinear Problem'!D360,"AAAAAH9bbrY=")</f>
        <v>#VALUE!</v>
      </c>
      <c r="GB57" t="e">
        <f>AND('Large Nonlinear Problem'!E360,"AAAAAH9bbrc=")</f>
        <v>#VALUE!</v>
      </c>
      <c r="GC57" t="e">
        <f>AND('Large Nonlinear Problem'!F360,"AAAAAH9bbrg=")</f>
        <v>#VALUE!</v>
      </c>
      <c r="GD57" t="e">
        <f>AND('Large Nonlinear Problem'!G360,"AAAAAH9bbrk=")</f>
        <v>#VALUE!</v>
      </c>
      <c r="GE57">
        <f>IF('Large Nonlinear Problem'!361:361,"AAAAAH9bbro=",0)</f>
        <v>0</v>
      </c>
      <c r="GF57" t="e">
        <f>AND('Large Nonlinear Problem'!A361,"AAAAAH9bbrs=")</f>
        <v>#VALUE!</v>
      </c>
      <c r="GG57" t="e">
        <f>AND('Large Nonlinear Problem'!B361,"AAAAAH9bbrw=")</f>
        <v>#VALUE!</v>
      </c>
      <c r="GH57" t="e">
        <f>AND('Large Nonlinear Problem'!C361,"AAAAAH9bbr0=")</f>
        <v>#VALUE!</v>
      </c>
      <c r="GI57" t="e">
        <f>AND('Large Nonlinear Problem'!D361,"AAAAAH9bbr4=")</f>
        <v>#VALUE!</v>
      </c>
      <c r="GJ57" t="e">
        <f>AND('Large Nonlinear Problem'!E361,"AAAAAH9bbr8=")</f>
        <v>#VALUE!</v>
      </c>
      <c r="GK57" t="e">
        <f>AND('Large Nonlinear Problem'!F361,"AAAAAH9bbsA=")</f>
        <v>#VALUE!</v>
      </c>
      <c r="GL57" t="e">
        <f>AND('Large Nonlinear Problem'!G361,"AAAAAH9bbsE=")</f>
        <v>#VALUE!</v>
      </c>
      <c r="GM57">
        <f>IF('Large Nonlinear Problem'!362:362,"AAAAAH9bbsI=",0)</f>
        <v>0</v>
      </c>
      <c r="GN57" t="e">
        <f>AND('Large Nonlinear Problem'!A362,"AAAAAH9bbsM=")</f>
        <v>#VALUE!</v>
      </c>
      <c r="GO57" t="e">
        <f>AND('Large Nonlinear Problem'!B362,"AAAAAH9bbsQ=")</f>
        <v>#VALUE!</v>
      </c>
      <c r="GP57" t="e">
        <f>AND('Large Nonlinear Problem'!C362,"AAAAAH9bbsU=")</f>
        <v>#VALUE!</v>
      </c>
      <c r="GQ57" t="e">
        <f>AND('Large Nonlinear Problem'!D362,"AAAAAH9bbsY=")</f>
        <v>#VALUE!</v>
      </c>
      <c r="GR57" t="e">
        <f>AND('Large Nonlinear Problem'!E362,"AAAAAH9bbsc=")</f>
        <v>#VALUE!</v>
      </c>
      <c r="GS57" t="e">
        <f>AND('Large Nonlinear Problem'!F362,"AAAAAH9bbsg=")</f>
        <v>#VALUE!</v>
      </c>
      <c r="GT57" t="e">
        <f>AND('Large Nonlinear Problem'!G362,"AAAAAH9bbsk=")</f>
        <v>#VALUE!</v>
      </c>
      <c r="GU57">
        <f>IF('Large Nonlinear Problem'!363:363,"AAAAAH9bbso=",0)</f>
        <v>0</v>
      </c>
      <c r="GV57" t="e">
        <f>AND('Large Nonlinear Problem'!A363,"AAAAAH9bbss=")</f>
        <v>#VALUE!</v>
      </c>
      <c r="GW57" t="e">
        <f>AND('Large Nonlinear Problem'!B363,"AAAAAH9bbsw=")</f>
        <v>#VALUE!</v>
      </c>
      <c r="GX57" t="e">
        <f>AND('Large Nonlinear Problem'!C363,"AAAAAH9bbs0=")</f>
        <v>#VALUE!</v>
      </c>
      <c r="GY57" t="e">
        <f>AND('Large Nonlinear Problem'!D363,"AAAAAH9bbs4=")</f>
        <v>#VALUE!</v>
      </c>
      <c r="GZ57" t="e">
        <f>AND('Large Nonlinear Problem'!E363,"AAAAAH9bbs8=")</f>
        <v>#VALUE!</v>
      </c>
      <c r="HA57" t="e">
        <f>AND('Large Nonlinear Problem'!F363,"AAAAAH9bbtA=")</f>
        <v>#VALUE!</v>
      </c>
      <c r="HB57" t="e">
        <f>AND('Large Nonlinear Problem'!G363,"AAAAAH9bbtE=")</f>
        <v>#VALUE!</v>
      </c>
      <c r="HC57">
        <f>IF('Large Nonlinear Problem'!364:364,"AAAAAH9bbtI=",0)</f>
        <v>0</v>
      </c>
      <c r="HD57" t="e">
        <f>AND('Large Nonlinear Problem'!A364,"AAAAAH9bbtM=")</f>
        <v>#VALUE!</v>
      </c>
      <c r="HE57" t="e">
        <f>AND('Large Nonlinear Problem'!B364,"AAAAAH9bbtQ=")</f>
        <v>#VALUE!</v>
      </c>
      <c r="HF57" t="e">
        <f>AND('Large Nonlinear Problem'!C364,"AAAAAH9bbtU=")</f>
        <v>#VALUE!</v>
      </c>
      <c r="HG57" t="e">
        <f>AND('Large Nonlinear Problem'!D364,"AAAAAH9bbtY=")</f>
        <v>#VALUE!</v>
      </c>
      <c r="HH57" t="e">
        <f>AND('Large Nonlinear Problem'!E364,"AAAAAH9bbtc=")</f>
        <v>#VALUE!</v>
      </c>
      <c r="HI57" t="e">
        <f>AND('Large Nonlinear Problem'!F364,"AAAAAH9bbtg=")</f>
        <v>#VALUE!</v>
      </c>
      <c r="HJ57" t="e">
        <f>AND('Large Nonlinear Problem'!G364,"AAAAAH9bbtk=")</f>
        <v>#VALUE!</v>
      </c>
      <c r="HK57">
        <f>IF('Large Nonlinear Problem'!365:365,"AAAAAH9bbto=",0)</f>
        <v>0</v>
      </c>
      <c r="HL57" t="e">
        <f>AND('Large Nonlinear Problem'!A365,"AAAAAH9bbts=")</f>
        <v>#VALUE!</v>
      </c>
      <c r="HM57" t="e">
        <f>AND('Large Nonlinear Problem'!B365,"AAAAAH9bbtw=")</f>
        <v>#VALUE!</v>
      </c>
      <c r="HN57" t="e">
        <f>AND('Large Nonlinear Problem'!C365,"AAAAAH9bbt0=")</f>
        <v>#VALUE!</v>
      </c>
      <c r="HO57" t="e">
        <f>AND('Large Nonlinear Problem'!D365,"AAAAAH9bbt4=")</f>
        <v>#VALUE!</v>
      </c>
      <c r="HP57" t="e">
        <f>AND('Large Nonlinear Problem'!E365,"AAAAAH9bbt8=")</f>
        <v>#VALUE!</v>
      </c>
      <c r="HQ57" t="e">
        <f>AND('Large Nonlinear Problem'!F365,"AAAAAH9bbuA=")</f>
        <v>#VALUE!</v>
      </c>
      <c r="HR57" t="e">
        <f>AND('Large Nonlinear Problem'!G365,"AAAAAH9bbuE=")</f>
        <v>#VALUE!</v>
      </c>
      <c r="HS57">
        <f>IF('Large Nonlinear Problem'!366:366,"AAAAAH9bbuI=",0)</f>
        <v>0</v>
      </c>
      <c r="HT57" t="e">
        <f>AND('Large Nonlinear Problem'!A366,"AAAAAH9bbuM=")</f>
        <v>#VALUE!</v>
      </c>
      <c r="HU57" t="e">
        <f>AND('Large Nonlinear Problem'!B366,"AAAAAH9bbuQ=")</f>
        <v>#VALUE!</v>
      </c>
      <c r="HV57" t="e">
        <f>AND('Large Nonlinear Problem'!C366,"AAAAAH9bbuU=")</f>
        <v>#VALUE!</v>
      </c>
      <c r="HW57" t="e">
        <f>AND('Large Nonlinear Problem'!D366,"AAAAAH9bbuY=")</f>
        <v>#VALUE!</v>
      </c>
      <c r="HX57" t="e">
        <f>AND('Large Nonlinear Problem'!E366,"AAAAAH9bbuc=")</f>
        <v>#VALUE!</v>
      </c>
      <c r="HY57" t="e">
        <f>AND('Large Nonlinear Problem'!F366,"AAAAAH9bbug=")</f>
        <v>#VALUE!</v>
      </c>
      <c r="HZ57" t="e">
        <f>AND('Large Nonlinear Problem'!G366,"AAAAAH9bbuk=")</f>
        <v>#VALUE!</v>
      </c>
      <c r="IA57">
        <f>IF('Large Nonlinear Problem'!367:367,"AAAAAH9bbuo=",0)</f>
        <v>0</v>
      </c>
      <c r="IB57" t="e">
        <f>AND('Large Nonlinear Problem'!A367,"AAAAAH9bbus=")</f>
        <v>#VALUE!</v>
      </c>
      <c r="IC57" t="e">
        <f>AND('Large Nonlinear Problem'!B367,"AAAAAH9bbuw=")</f>
        <v>#VALUE!</v>
      </c>
      <c r="ID57" t="e">
        <f>AND('Large Nonlinear Problem'!C367,"AAAAAH9bbu0=")</f>
        <v>#VALUE!</v>
      </c>
      <c r="IE57" t="e">
        <f>AND('Large Nonlinear Problem'!D367,"AAAAAH9bbu4=")</f>
        <v>#VALUE!</v>
      </c>
      <c r="IF57" t="e">
        <f>AND('Large Nonlinear Problem'!E367,"AAAAAH9bbu8=")</f>
        <v>#VALUE!</v>
      </c>
      <c r="IG57" t="e">
        <f>AND('Large Nonlinear Problem'!F367,"AAAAAH9bbvA=")</f>
        <v>#VALUE!</v>
      </c>
      <c r="IH57" t="e">
        <f>AND('Large Nonlinear Problem'!G367,"AAAAAH9bbvE=")</f>
        <v>#VALUE!</v>
      </c>
      <c r="II57">
        <f>IF('Large Nonlinear Problem'!368:368,"AAAAAH9bbvI=",0)</f>
        <v>0</v>
      </c>
      <c r="IJ57" t="e">
        <f>AND('Large Nonlinear Problem'!A368,"AAAAAH9bbvM=")</f>
        <v>#VALUE!</v>
      </c>
      <c r="IK57" t="e">
        <f>AND('Large Nonlinear Problem'!B368,"AAAAAH9bbvQ=")</f>
        <v>#VALUE!</v>
      </c>
      <c r="IL57" t="e">
        <f>AND('Large Nonlinear Problem'!C368,"AAAAAH9bbvU=")</f>
        <v>#VALUE!</v>
      </c>
      <c r="IM57" t="e">
        <f>AND('Large Nonlinear Problem'!D368,"AAAAAH9bbvY=")</f>
        <v>#VALUE!</v>
      </c>
      <c r="IN57" t="e">
        <f>AND('Large Nonlinear Problem'!E368,"AAAAAH9bbvc=")</f>
        <v>#VALUE!</v>
      </c>
      <c r="IO57" t="e">
        <f>AND('Large Nonlinear Problem'!F368,"AAAAAH9bbvg=")</f>
        <v>#VALUE!</v>
      </c>
      <c r="IP57" t="e">
        <f>AND('Large Nonlinear Problem'!G368,"AAAAAH9bbvk=")</f>
        <v>#VALUE!</v>
      </c>
      <c r="IQ57">
        <f>IF('Large Nonlinear Problem'!369:369,"AAAAAH9bbvo=",0)</f>
        <v>0</v>
      </c>
      <c r="IR57" t="e">
        <f>AND('Large Nonlinear Problem'!A369,"AAAAAH9bbvs=")</f>
        <v>#VALUE!</v>
      </c>
      <c r="IS57" t="e">
        <f>AND('Large Nonlinear Problem'!B369,"AAAAAH9bbvw=")</f>
        <v>#VALUE!</v>
      </c>
      <c r="IT57" t="e">
        <f>AND('Large Nonlinear Problem'!C369,"AAAAAH9bbv0=")</f>
        <v>#VALUE!</v>
      </c>
      <c r="IU57" t="e">
        <f>AND('Large Nonlinear Problem'!D369,"AAAAAH9bbv4=")</f>
        <v>#VALUE!</v>
      </c>
      <c r="IV57" t="e">
        <f>AND('Large Nonlinear Problem'!E369,"AAAAAH9bbv8=")</f>
        <v>#VALUE!</v>
      </c>
    </row>
    <row r="58" spans="1:256">
      <c r="A58" t="e">
        <f>AND('Large Nonlinear Problem'!F369,"AAAAAHbe7wA=")</f>
        <v>#VALUE!</v>
      </c>
      <c r="B58" t="e">
        <f>AND('Large Nonlinear Problem'!G369,"AAAAAHbe7wE=")</f>
        <v>#VALUE!</v>
      </c>
      <c r="C58" t="str">
        <f>IF('Large Nonlinear Problem'!370:370,"AAAAAHbe7wI=",0)</f>
        <v>AAAAAHbe7wI=</v>
      </c>
      <c r="D58" t="e">
        <f>AND('Large Nonlinear Problem'!A370,"AAAAAHbe7wM=")</f>
        <v>#VALUE!</v>
      </c>
      <c r="E58" t="e">
        <f>AND('Large Nonlinear Problem'!B370,"AAAAAHbe7wQ=")</f>
        <v>#VALUE!</v>
      </c>
      <c r="F58" t="e">
        <f>AND('Large Nonlinear Problem'!C370,"AAAAAHbe7wU=")</f>
        <v>#VALUE!</v>
      </c>
      <c r="G58" t="e">
        <f>AND('Large Nonlinear Problem'!D370,"AAAAAHbe7wY=")</f>
        <v>#VALUE!</v>
      </c>
      <c r="H58" t="e">
        <f>AND('Large Nonlinear Problem'!E370,"AAAAAHbe7wc=")</f>
        <v>#VALUE!</v>
      </c>
      <c r="I58" t="e">
        <f>AND('Large Nonlinear Problem'!F370,"AAAAAHbe7wg=")</f>
        <v>#VALUE!</v>
      </c>
      <c r="J58" t="e">
        <f>AND('Large Nonlinear Problem'!G370,"AAAAAHbe7wk=")</f>
        <v>#VALUE!</v>
      </c>
      <c r="K58">
        <f>IF('Large Nonlinear Problem'!371:371,"AAAAAHbe7wo=",0)</f>
        <v>0</v>
      </c>
      <c r="L58" t="e">
        <f>AND('Large Nonlinear Problem'!A371,"AAAAAHbe7ws=")</f>
        <v>#VALUE!</v>
      </c>
      <c r="M58" t="e">
        <f>AND('Large Nonlinear Problem'!B371,"AAAAAHbe7ww=")</f>
        <v>#VALUE!</v>
      </c>
      <c r="N58" t="e">
        <f>AND('Large Nonlinear Problem'!C371,"AAAAAHbe7w0=")</f>
        <v>#VALUE!</v>
      </c>
      <c r="O58" t="e">
        <f>AND('Large Nonlinear Problem'!D371,"AAAAAHbe7w4=")</f>
        <v>#VALUE!</v>
      </c>
      <c r="P58" t="e">
        <f>AND('Large Nonlinear Problem'!E371,"AAAAAHbe7w8=")</f>
        <v>#VALUE!</v>
      </c>
      <c r="Q58" t="e">
        <f>AND('Large Nonlinear Problem'!F371,"AAAAAHbe7xA=")</f>
        <v>#VALUE!</v>
      </c>
      <c r="R58" t="e">
        <f>AND('Large Nonlinear Problem'!G371,"AAAAAHbe7xE=")</f>
        <v>#VALUE!</v>
      </c>
      <c r="S58">
        <f>IF('Large Nonlinear Problem'!372:372,"AAAAAHbe7xI=",0)</f>
        <v>0</v>
      </c>
      <c r="T58" t="e">
        <f>AND('Large Nonlinear Problem'!A372,"AAAAAHbe7xM=")</f>
        <v>#VALUE!</v>
      </c>
      <c r="U58" t="e">
        <f>AND('Large Nonlinear Problem'!B372,"AAAAAHbe7xQ=")</f>
        <v>#VALUE!</v>
      </c>
      <c r="V58" t="e">
        <f>AND('Large Nonlinear Problem'!C372,"AAAAAHbe7xU=")</f>
        <v>#VALUE!</v>
      </c>
      <c r="W58" t="e">
        <f>AND('Large Nonlinear Problem'!D372,"AAAAAHbe7xY=")</f>
        <v>#VALUE!</v>
      </c>
      <c r="X58" t="e">
        <f>AND('Large Nonlinear Problem'!E372,"AAAAAHbe7xc=")</f>
        <v>#VALUE!</v>
      </c>
      <c r="Y58" t="e">
        <f>AND('Large Nonlinear Problem'!F372,"AAAAAHbe7xg=")</f>
        <v>#VALUE!</v>
      </c>
      <c r="Z58" t="e">
        <f>AND('Large Nonlinear Problem'!G372,"AAAAAHbe7xk=")</f>
        <v>#VALUE!</v>
      </c>
      <c r="AA58">
        <f>IF('Large Nonlinear Problem'!373:373,"AAAAAHbe7xo=",0)</f>
        <v>0</v>
      </c>
      <c r="AB58" t="e">
        <f>AND('Large Nonlinear Problem'!A373,"AAAAAHbe7xs=")</f>
        <v>#VALUE!</v>
      </c>
      <c r="AC58" t="e">
        <f>AND('Large Nonlinear Problem'!B373,"AAAAAHbe7xw=")</f>
        <v>#VALUE!</v>
      </c>
      <c r="AD58" t="e">
        <f>AND('Large Nonlinear Problem'!C373,"AAAAAHbe7x0=")</f>
        <v>#VALUE!</v>
      </c>
      <c r="AE58" t="e">
        <f>AND('Large Nonlinear Problem'!D373,"AAAAAHbe7x4=")</f>
        <v>#VALUE!</v>
      </c>
      <c r="AF58" t="e">
        <f>AND('Large Nonlinear Problem'!E373,"AAAAAHbe7x8=")</f>
        <v>#VALUE!</v>
      </c>
      <c r="AG58" t="e">
        <f>AND('Large Nonlinear Problem'!F373,"AAAAAHbe7yA=")</f>
        <v>#VALUE!</v>
      </c>
      <c r="AH58" t="e">
        <f>AND('Large Nonlinear Problem'!G373,"AAAAAHbe7yE=")</f>
        <v>#VALUE!</v>
      </c>
      <c r="AI58">
        <f>IF('Large Nonlinear Problem'!374:374,"AAAAAHbe7yI=",0)</f>
        <v>0</v>
      </c>
      <c r="AJ58" t="e">
        <f>AND('Large Nonlinear Problem'!A374,"AAAAAHbe7yM=")</f>
        <v>#VALUE!</v>
      </c>
      <c r="AK58" t="e">
        <f>AND('Large Nonlinear Problem'!B374,"AAAAAHbe7yQ=")</f>
        <v>#VALUE!</v>
      </c>
      <c r="AL58" t="e">
        <f>AND('Large Nonlinear Problem'!C374,"AAAAAHbe7yU=")</f>
        <v>#VALUE!</v>
      </c>
      <c r="AM58" t="e">
        <f>AND('Large Nonlinear Problem'!D374,"AAAAAHbe7yY=")</f>
        <v>#VALUE!</v>
      </c>
      <c r="AN58" t="e">
        <f>AND('Large Nonlinear Problem'!E374,"AAAAAHbe7yc=")</f>
        <v>#VALUE!</v>
      </c>
      <c r="AO58" t="e">
        <f>AND('Large Nonlinear Problem'!F374,"AAAAAHbe7yg=")</f>
        <v>#VALUE!</v>
      </c>
      <c r="AP58" t="e">
        <f>AND('Large Nonlinear Problem'!G374,"AAAAAHbe7yk=")</f>
        <v>#VALUE!</v>
      </c>
      <c r="AQ58">
        <f>IF('Large Nonlinear Problem'!375:375,"AAAAAHbe7yo=",0)</f>
        <v>0</v>
      </c>
      <c r="AR58" t="e">
        <f>AND('Large Nonlinear Problem'!A375,"AAAAAHbe7ys=")</f>
        <v>#VALUE!</v>
      </c>
      <c r="AS58" t="e">
        <f>AND('Large Nonlinear Problem'!B375,"AAAAAHbe7yw=")</f>
        <v>#VALUE!</v>
      </c>
      <c r="AT58" t="e">
        <f>AND('Large Nonlinear Problem'!C375,"AAAAAHbe7y0=")</f>
        <v>#VALUE!</v>
      </c>
      <c r="AU58" t="e">
        <f>AND('Large Nonlinear Problem'!D375,"AAAAAHbe7y4=")</f>
        <v>#VALUE!</v>
      </c>
      <c r="AV58" t="e">
        <f>AND('Large Nonlinear Problem'!E375,"AAAAAHbe7y8=")</f>
        <v>#VALUE!</v>
      </c>
      <c r="AW58" t="e">
        <f>AND('Large Nonlinear Problem'!F375,"AAAAAHbe7zA=")</f>
        <v>#VALUE!</v>
      </c>
      <c r="AX58" t="e">
        <f>AND('Large Nonlinear Problem'!G375,"AAAAAHbe7zE=")</f>
        <v>#VALUE!</v>
      </c>
      <c r="AY58">
        <f>IF('Large Nonlinear Problem'!376:376,"AAAAAHbe7zI=",0)</f>
        <v>0</v>
      </c>
      <c r="AZ58" t="e">
        <f>AND('Large Nonlinear Problem'!A376,"AAAAAHbe7zM=")</f>
        <v>#VALUE!</v>
      </c>
      <c r="BA58" t="e">
        <f>AND('Large Nonlinear Problem'!B376,"AAAAAHbe7zQ=")</f>
        <v>#VALUE!</v>
      </c>
      <c r="BB58" t="e">
        <f>AND('Large Nonlinear Problem'!C376,"AAAAAHbe7zU=")</f>
        <v>#VALUE!</v>
      </c>
      <c r="BC58" t="e">
        <f>AND('Large Nonlinear Problem'!D376,"AAAAAHbe7zY=")</f>
        <v>#VALUE!</v>
      </c>
      <c r="BD58" t="e">
        <f>AND('Large Nonlinear Problem'!E376,"AAAAAHbe7zc=")</f>
        <v>#VALUE!</v>
      </c>
      <c r="BE58" t="e">
        <f>AND('Large Nonlinear Problem'!F376,"AAAAAHbe7zg=")</f>
        <v>#VALUE!</v>
      </c>
      <c r="BF58" t="e">
        <f>AND('Large Nonlinear Problem'!G376,"AAAAAHbe7zk=")</f>
        <v>#VALUE!</v>
      </c>
      <c r="BG58">
        <f>IF('Large Nonlinear Problem'!377:377,"AAAAAHbe7zo=",0)</f>
        <v>0</v>
      </c>
      <c r="BH58" t="e">
        <f>AND('Large Nonlinear Problem'!A377,"AAAAAHbe7zs=")</f>
        <v>#VALUE!</v>
      </c>
      <c r="BI58" t="e">
        <f>AND('Large Nonlinear Problem'!B377,"AAAAAHbe7zw=")</f>
        <v>#VALUE!</v>
      </c>
      <c r="BJ58" t="e">
        <f>AND('Large Nonlinear Problem'!C377,"AAAAAHbe7z0=")</f>
        <v>#VALUE!</v>
      </c>
      <c r="BK58" t="e">
        <f>AND('Large Nonlinear Problem'!D377,"AAAAAHbe7z4=")</f>
        <v>#VALUE!</v>
      </c>
      <c r="BL58" t="e">
        <f>AND('Large Nonlinear Problem'!E377,"AAAAAHbe7z8=")</f>
        <v>#VALUE!</v>
      </c>
      <c r="BM58" t="e">
        <f>AND('Large Nonlinear Problem'!F377,"AAAAAHbe70A=")</f>
        <v>#VALUE!</v>
      </c>
      <c r="BN58" t="e">
        <f>AND('Large Nonlinear Problem'!G377,"AAAAAHbe70E=")</f>
        <v>#VALUE!</v>
      </c>
      <c r="BO58">
        <f>IF('Large Nonlinear Problem'!378:378,"AAAAAHbe70I=",0)</f>
        <v>0</v>
      </c>
      <c r="BP58" t="e">
        <f>AND('Large Nonlinear Problem'!A378,"AAAAAHbe70M=")</f>
        <v>#VALUE!</v>
      </c>
      <c r="BQ58" t="e">
        <f>AND('Large Nonlinear Problem'!B378,"AAAAAHbe70Q=")</f>
        <v>#VALUE!</v>
      </c>
      <c r="BR58" t="e">
        <f>AND('Large Nonlinear Problem'!C378,"AAAAAHbe70U=")</f>
        <v>#VALUE!</v>
      </c>
      <c r="BS58" t="e">
        <f>AND('Large Nonlinear Problem'!D378,"AAAAAHbe70Y=")</f>
        <v>#VALUE!</v>
      </c>
      <c r="BT58" t="e">
        <f>AND('Large Nonlinear Problem'!E378,"AAAAAHbe70c=")</f>
        <v>#VALUE!</v>
      </c>
      <c r="BU58" t="e">
        <f>AND('Large Nonlinear Problem'!F378,"AAAAAHbe70g=")</f>
        <v>#VALUE!</v>
      </c>
      <c r="BV58" t="e">
        <f>AND('Large Nonlinear Problem'!G378,"AAAAAHbe70k=")</f>
        <v>#VALUE!</v>
      </c>
      <c r="BW58">
        <f>IF('Large Nonlinear Problem'!379:379,"AAAAAHbe70o=",0)</f>
        <v>0</v>
      </c>
      <c r="BX58" t="e">
        <f>AND('Large Nonlinear Problem'!A379,"AAAAAHbe70s=")</f>
        <v>#VALUE!</v>
      </c>
      <c r="BY58" t="e">
        <f>AND('Large Nonlinear Problem'!B379,"AAAAAHbe70w=")</f>
        <v>#VALUE!</v>
      </c>
      <c r="BZ58" t="e">
        <f>AND('Large Nonlinear Problem'!C379,"AAAAAHbe700=")</f>
        <v>#VALUE!</v>
      </c>
      <c r="CA58" t="e">
        <f>AND('Large Nonlinear Problem'!D379,"AAAAAHbe704=")</f>
        <v>#VALUE!</v>
      </c>
      <c r="CB58" t="e">
        <f>AND('Large Nonlinear Problem'!E379,"AAAAAHbe708=")</f>
        <v>#VALUE!</v>
      </c>
      <c r="CC58" t="e">
        <f>AND('Large Nonlinear Problem'!F379,"AAAAAHbe71A=")</f>
        <v>#VALUE!</v>
      </c>
      <c r="CD58" t="e">
        <f>AND('Large Nonlinear Problem'!G379,"AAAAAHbe71E=")</f>
        <v>#VALUE!</v>
      </c>
      <c r="CE58">
        <f>IF('Large Nonlinear Problem'!380:380,"AAAAAHbe71I=",0)</f>
        <v>0</v>
      </c>
      <c r="CF58" t="e">
        <f>AND('Large Nonlinear Problem'!A380,"AAAAAHbe71M=")</f>
        <v>#VALUE!</v>
      </c>
      <c r="CG58" t="e">
        <f>AND('Large Nonlinear Problem'!B380,"AAAAAHbe71Q=")</f>
        <v>#VALUE!</v>
      </c>
      <c r="CH58" t="e">
        <f>AND('Large Nonlinear Problem'!C380,"AAAAAHbe71U=")</f>
        <v>#VALUE!</v>
      </c>
      <c r="CI58" t="e">
        <f>AND('Large Nonlinear Problem'!D380,"AAAAAHbe71Y=")</f>
        <v>#VALUE!</v>
      </c>
      <c r="CJ58" t="e">
        <f>AND('Large Nonlinear Problem'!E380,"AAAAAHbe71c=")</f>
        <v>#VALUE!</v>
      </c>
      <c r="CK58" t="e">
        <f>AND('Large Nonlinear Problem'!F380,"AAAAAHbe71g=")</f>
        <v>#VALUE!</v>
      </c>
      <c r="CL58" t="e">
        <f>AND('Large Nonlinear Problem'!G380,"AAAAAHbe71k=")</f>
        <v>#VALUE!</v>
      </c>
      <c r="CM58">
        <f>IF('Large Nonlinear Problem'!381:381,"AAAAAHbe71o=",0)</f>
        <v>0</v>
      </c>
      <c r="CN58" t="e">
        <f>AND('Large Nonlinear Problem'!A381,"AAAAAHbe71s=")</f>
        <v>#VALUE!</v>
      </c>
      <c r="CO58" t="e">
        <f>AND('Large Nonlinear Problem'!B381,"AAAAAHbe71w=")</f>
        <v>#VALUE!</v>
      </c>
      <c r="CP58" t="e">
        <f>AND('Large Nonlinear Problem'!C381,"AAAAAHbe710=")</f>
        <v>#VALUE!</v>
      </c>
      <c r="CQ58" t="e">
        <f>AND('Large Nonlinear Problem'!D381,"AAAAAHbe714=")</f>
        <v>#VALUE!</v>
      </c>
      <c r="CR58" t="e">
        <f>AND('Large Nonlinear Problem'!E381,"AAAAAHbe718=")</f>
        <v>#VALUE!</v>
      </c>
      <c r="CS58" t="e">
        <f>AND('Large Nonlinear Problem'!F381,"AAAAAHbe72A=")</f>
        <v>#VALUE!</v>
      </c>
      <c r="CT58" t="e">
        <f>AND('Large Nonlinear Problem'!G381,"AAAAAHbe72E=")</f>
        <v>#VALUE!</v>
      </c>
      <c r="CU58">
        <f>IF('Large Nonlinear Problem'!382:382,"AAAAAHbe72I=",0)</f>
        <v>0</v>
      </c>
      <c r="CV58" t="e">
        <f>AND('Large Nonlinear Problem'!A382,"AAAAAHbe72M=")</f>
        <v>#VALUE!</v>
      </c>
      <c r="CW58" t="e">
        <f>AND('Large Nonlinear Problem'!B382,"AAAAAHbe72Q=")</f>
        <v>#VALUE!</v>
      </c>
      <c r="CX58" t="e">
        <f>AND('Large Nonlinear Problem'!C382,"AAAAAHbe72U=")</f>
        <v>#VALUE!</v>
      </c>
      <c r="CY58" t="e">
        <f>AND('Large Nonlinear Problem'!D382,"AAAAAHbe72Y=")</f>
        <v>#VALUE!</v>
      </c>
      <c r="CZ58" t="e">
        <f>AND('Large Nonlinear Problem'!E382,"AAAAAHbe72c=")</f>
        <v>#VALUE!</v>
      </c>
      <c r="DA58" t="e">
        <f>AND('Large Nonlinear Problem'!F382,"AAAAAHbe72g=")</f>
        <v>#VALUE!</v>
      </c>
      <c r="DB58" t="e">
        <f>AND('Large Nonlinear Problem'!G382,"AAAAAHbe72k=")</f>
        <v>#VALUE!</v>
      </c>
      <c r="DC58">
        <f>IF('Large Nonlinear Problem'!383:383,"AAAAAHbe72o=",0)</f>
        <v>0</v>
      </c>
      <c r="DD58" t="e">
        <f>AND('Large Nonlinear Problem'!A383,"AAAAAHbe72s=")</f>
        <v>#VALUE!</v>
      </c>
      <c r="DE58" t="e">
        <f>AND('Large Nonlinear Problem'!B383,"AAAAAHbe72w=")</f>
        <v>#VALUE!</v>
      </c>
      <c r="DF58" t="e">
        <f>AND('Large Nonlinear Problem'!C383,"AAAAAHbe720=")</f>
        <v>#VALUE!</v>
      </c>
      <c r="DG58" t="e">
        <f>AND('Large Nonlinear Problem'!D383,"AAAAAHbe724=")</f>
        <v>#VALUE!</v>
      </c>
      <c r="DH58" t="e">
        <f>AND('Large Nonlinear Problem'!E383,"AAAAAHbe728=")</f>
        <v>#VALUE!</v>
      </c>
      <c r="DI58" t="e">
        <f>AND('Large Nonlinear Problem'!F383,"AAAAAHbe73A=")</f>
        <v>#VALUE!</v>
      </c>
      <c r="DJ58" t="e">
        <f>AND('Large Nonlinear Problem'!G383,"AAAAAHbe73E=")</f>
        <v>#VALUE!</v>
      </c>
      <c r="DK58">
        <f>IF('Large Nonlinear Problem'!384:384,"AAAAAHbe73I=",0)</f>
        <v>0</v>
      </c>
      <c r="DL58" t="e">
        <f>AND('Large Nonlinear Problem'!A384,"AAAAAHbe73M=")</f>
        <v>#VALUE!</v>
      </c>
      <c r="DM58" t="e">
        <f>AND('Large Nonlinear Problem'!B384,"AAAAAHbe73Q=")</f>
        <v>#VALUE!</v>
      </c>
      <c r="DN58" t="e">
        <f>AND('Large Nonlinear Problem'!C384,"AAAAAHbe73U=")</f>
        <v>#VALUE!</v>
      </c>
      <c r="DO58" t="e">
        <f>AND('Large Nonlinear Problem'!D384,"AAAAAHbe73Y=")</f>
        <v>#VALUE!</v>
      </c>
      <c r="DP58" t="e">
        <f>AND('Large Nonlinear Problem'!E384,"AAAAAHbe73c=")</f>
        <v>#VALUE!</v>
      </c>
      <c r="DQ58" t="e">
        <f>AND('Large Nonlinear Problem'!F384,"AAAAAHbe73g=")</f>
        <v>#VALUE!</v>
      </c>
      <c r="DR58" t="e">
        <f>AND('Large Nonlinear Problem'!G384,"AAAAAHbe73k=")</f>
        <v>#VALUE!</v>
      </c>
      <c r="DS58">
        <f>IF('Large Nonlinear Problem'!385:385,"AAAAAHbe73o=",0)</f>
        <v>0</v>
      </c>
      <c r="DT58" t="e">
        <f>AND('Large Nonlinear Problem'!A385,"AAAAAHbe73s=")</f>
        <v>#VALUE!</v>
      </c>
      <c r="DU58" t="e">
        <f>AND('Large Nonlinear Problem'!B385,"AAAAAHbe73w=")</f>
        <v>#VALUE!</v>
      </c>
      <c r="DV58" t="e">
        <f>AND('Large Nonlinear Problem'!C385,"AAAAAHbe730=")</f>
        <v>#VALUE!</v>
      </c>
      <c r="DW58" t="e">
        <f>AND('Large Nonlinear Problem'!D385,"AAAAAHbe734=")</f>
        <v>#VALUE!</v>
      </c>
      <c r="DX58" t="e">
        <f>AND('Large Nonlinear Problem'!E385,"AAAAAHbe738=")</f>
        <v>#VALUE!</v>
      </c>
      <c r="DY58" t="e">
        <f>AND('Large Nonlinear Problem'!F385,"AAAAAHbe74A=")</f>
        <v>#VALUE!</v>
      </c>
      <c r="DZ58" t="e">
        <f>AND('Large Nonlinear Problem'!G385,"AAAAAHbe74E=")</f>
        <v>#VALUE!</v>
      </c>
      <c r="EA58">
        <f>IF('Large Nonlinear Problem'!386:386,"AAAAAHbe74I=",0)</f>
        <v>0</v>
      </c>
      <c r="EB58" t="e">
        <f>AND('Large Nonlinear Problem'!A386,"AAAAAHbe74M=")</f>
        <v>#VALUE!</v>
      </c>
      <c r="EC58" t="e">
        <f>AND('Large Nonlinear Problem'!B386,"AAAAAHbe74Q=")</f>
        <v>#VALUE!</v>
      </c>
      <c r="ED58" t="e">
        <f>AND('Large Nonlinear Problem'!C386,"AAAAAHbe74U=")</f>
        <v>#VALUE!</v>
      </c>
      <c r="EE58" t="e">
        <f>AND('Large Nonlinear Problem'!D386,"AAAAAHbe74Y=")</f>
        <v>#VALUE!</v>
      </c>
      <c r="EF58" t="e">
        <f>AND('Large Nonlinear Problem'!E386,"AAAAAHbe74c=")</f>
        <v>#VALUE!</v>
      </c>
      <c r="EG58" t="e">
        <f>AND('Large Nonlinear Problem'!F386,"AAAAAHbe74g=")</f>
        <v>#VALUE!</v>
      </c>
      <c r="EH58" t="e">
        <f>AND('Large Nonlinear Problem'!G386,"AAAAAHbe74k=")</f>
        <v>#VALUE!</v>
      </c>
      <c r="EI58">
        <f>IF('Large Nonlinear Problem'!387:387,"AAAAAHbe74o=",0)</f>
        <v>0</v>
      </c>
      <c r="EJ58" t="e">
        <f>AND('Large Nonlinear Problem'!A387,"AAAAAHbe74s=")</f>
        <v>#VALUE!</v>
      </c>
      <c r="EK58" t="e">
        <f>AND('Large Nonlinear Problem'!B387,"AAAAAHbe74w=")</f>
        <v>#VALUE!</v>
      </c>
      <c r="EL58" t="e">
        <f>AND('Large Nonlinear Problem'!C387,"AAAAAHbe740=")</f>
        <v>#VALUE!</v>
      </c>
      <c r="EM58" t="e">
        <f>AND('Large Nonlinear Problem'!D387,"AAAAAHbe744=")</f>
        <v>#VALUE!</v>
      </c>
      <c r="EN58" t="e">
        <f>AND('Large Nonlinear Problem'!E387,"AAAAAHbe748=")</f>
        <v>#VALUE!</v>
      </c>
      <c r="EO58" t="e">
        <f>AND('Large Nonlinear Problem'!F387,"AAAAAHbe75A=")</f>
        <v>#VALUE!</v>
      </c>
      <c r="EP58" t="e">
        <f>AND('Large Nonlinear Problem'!G387,"AAAAAHbe75E=")</f>
        <v>#VALUE!</v>
      </c>
      <c r="EQ58">
        <f>IF('Large Nonlinear Problem'!388:388,"AAAAAHbe75I=",0)</f>
        <v>0</v>
      </c>
      <c r="ER58" t="e">
        <f>AND('Large Nonlinear Problem'!A388,"AAAAAHbe75M=")</f>
        <v>#VALUE!</v>
      </c>
      <c r="ES58" t="e">
        <f>AND('Large Nonlinear Problem'!B388,"AAAAAHbe75Q=")</f>
        <v>#VALUE!</v>
      </c>
      <c r="ET58" t="e">
        <f>AND('Large Nonlinear Problem'!C388,"AAAAAHbe75U=")</f>
        <v>#VALUE!</v>
      </c>
      <c r="EU58" t="e">
        <f>AND('Large Nonlinear Problem'!D388,"AAAAAHbe75Y=")</f>
        <v>#VALUE!</v>
      </c>
      <c r="EV58" t="e">
        <f>AND('Large Nonlinear Problem'!E388,"AAAAAHbe75c=")</f>
        <v>#VALUE!</v>
      </c>
      <c r="EW58" t="e">
        <f>AND('Large Nonlinear Problem'!F388,"AAAAAHbe75g=")</f>
        <v>#VALUE!</v>
      </c>
      <c r="EX58" t="e">
        <f>AND('Large Nonlinear Problem'!G388,"AAAAAHbe75k=")</f>
        <v>#VALUE!</v>
      </c>
      <c r="EY58">
        <f>IF('Large Nonlinear Problem'!389:389,"AAAAAHbe75o=",0)</f>
        <v>0</v>
      </c>
      <c r="EZ58" t="e">
        <f>AND('Large Nonlinear Problem'!A389,"AAAAAHbe75s=")</f>
        <v>#VALUE!</v>
      </c>
      <c r="FA58" t="e">
        <f>AND('Large Nonlinear Problem'!B389,"AAAAAHbe75w=")</f>
        <v>#VALUE!</v>
      </c>
      <c r="FB58" t="e">
        <f>AND('Large Nonlinear Problem'!C389,"AAAAAHbe750=")</f>
        <v>#VALUE!</v>
      </c>
      <c r="FC58" t="e">
        <f>AND('Large Nonlinear Problem'!D389,"AAAAAHbe754=")</f>
        <v>#VALUE!</v>
      </c>
      <c r="FD58" t="e">
        <f>AND('Large Nonlinear Problem'!E389,"AAAAAHbe758=")</f>
        <v>#VALUE!</v>
      </c>
      <c r="FE58" t="e">
        <f>AND('Large Nonlinear Problem'!F389,"AAAAAHbe76A=")</f>
        <v>#VALUE!</v>
      </c>
      <c r="FF58" t="e">
        <f>AND('Large Nonlinear Problem'!G389,"AAAAAHbe76E=")</f>
        <v>#VALUE!</v>
      </c>
      <c r="FG58">
        <f>IF('Large Nonlinear Problem'!390:390,"AAAAAHbe76I=",0)</f>
        <v>0</v>
      </c>
      <c r="FH58" t="e">
        <f>AND('Large Nonlinear Problem'!A390,"AAAAAHbe76M=")</f>
        <v>#VALUE!</v>
      </c>
      <c r="FI58" t="e">
        <f>AND('Large Nonlinear Problem'!B390,"AAAAAHbe76Q=")</f>
        <v>#VALUE!</v>
      </c>
      <c r="FJ58" t="e">
        <f>AND('Large Nonlinear Problem'!C390,"AAAAAHbe76U=")</f>
        <v>#VALUE!</v>
      </c>
      <c r="FK58" t="e">
        <f>AND('Large Nonlinear Problem'!D390,"AAAAAHbe76Y=")</f>
        <v>#VALUE!</v>
      </c>
      <c r="FL58" t="e">
        <f>AND('Large Nonlinear Problem'!E390,"AAAAAHbe76c=")</f>
        <v>#VALUE!</v>
      </c>
      <c r="FM58" t="e">
        <f>AND('Large Nonlinear Problem'!F390,"AAAAAHbe76g=")</f>
        <v>#VALUE!</v>
      </c>
      <c r="FN58" t="e">
        <f>AND('Large Nonlinear Problem'!G390,"AAAAAHbe76k=")</f>
        <v>#VALUE!</v>
      </c>
      <c r="FO58">
        <f>IF('Large Nonlinear Problem'!391:391,"AAAAAHbe76o=",0)</f>
        <v>0</v>
      </c>
      <c r="FP58" t="e">
        <f>AND('Large Nonlinear Problem'!A391,"AAAAAHbe76s=")</f>
        <v>#VALUE!</v>
      </c>
      <c r="FQ58" t="e">
        <f>AND('Large Nonlinear Problem'!B391,"AAAAAHbe76w=")</f>
        <v>#VALUE!</v>
      </c>
      <c r="FR58" t="e">
        <f>AND('Large Nonlinear Problem'!C391,"AAAAAHbe760=")</f>
        <v>#VALUE!</v>
      </c>
      <c r="FS58" t="e">
        <f>AND('Large Nonlinear Problem'!D391,"AAAAAHbe764=")</f>
        <v>#VALUE!</v>
      </c>
      <c r="FT58" t="e">
        <f>AND('Large Nonlinear Problem'!E391,"AAAAAHbe768=")</f>
        <v>#VALUE!</v>
      </c>
      <c r="FU58" t="e">
        <f>AND('Large Nonlinear Problem'!F391,"AAAAAHbe77A=")</f>
        <v>#VALUE!</v>
      </c>
      <c r="FV58" t="e">
        <f>AND('Large Nonlinear Problem'!G391,"AAAAAHbe77E=")</f>
        <v>#VALUE!</v>
      </c>
      <c r="FW58">
        <f>IF('Large Nonlinear Problem'!392:392,"AAAAAHbe77I=",0)</f>
        <v>0</v>
      </c>
      <c r="FX58" t="e">
        <f>AND('Large Nonlinear Problem'!A392,"AAAAAHbe77M=")</f>
        <v>#VALUE!</v>
      </c>
      <c r="FY58" t="e">
        <f>AND('Large Nonlinear Problem'!B392,"AAAAAHbe77Q=")</f>
        <v>#VALUE!</v>
      </c>
      <c r="FZ58" t="e">
        <f>AND('Large Nonlinear Problem'!C392,"AAAAAHbe77U=")</f>
        <v>#VALUE!</v>
      </c>
      <c r="GA58" t="e">
        <f>AND('Large Nonlinear Problem'!D392,"AAAAAHbe77Y=")</f>
        <v>#VALUE!</v>
      </c>
      <c r="GB58" t="e">
        <f>AND('Large Nonlinear Problem'!E392,"AAAAAHbe77c=")</f>
        <v>#VALUE!</v>
      </c>
      <c r="GC58" t="e">
        <f>AND('Large Nonlinear Problem'!F392,"AAAAAHbe77g=")</f>
        <v>#VALUE!</v>
      </c>
      <c r="GD58" t="e">
        <f>AND('Large Nonlinear Problem'!G392,"AAAAAHbe77k=")</f>
        <v>#VALUE!</v>
      </c>
      <c r="GE58">
        <f>IF('Large Nonlinear Problem'!393:393,"AAAAAHbe77o=",0)</f>
        <v>0</v>
      </c>
      <c r="GF58" t="e">
        <f>AND('Large Nonlinear Problem'!A393,"AAAAAHbe77s=")</f>
        <v>#VALUE!</v>
      </c>
      <c r="GG58" t="e">
        <f>AND('Large Nonlinear Problem'!B393,"AAAAAHbe77w=")</f>
        <v>#VALUE!</v>
      </c>
      <c r="GH58" t="e">
        <f>AND('Large Nonlinear Problem'!C393,"AAAAAHbe770=")</f>
        <v>#VALUE!</v>
      </c>
      <c r="GI58" t="e">
        <f>AND('Large Nonlinear Problem'!D393,"AAAAAHbe774=")</f>
        <v>#VALUE!</v>
      </c>
      <c r="GJ58" t="e">
        <f>AND('Large Nonlinear Problem'!E393,"AAAAAHbe778=")</f>
        <v>#VALUE!</v>
      </c>
      <c r="GK58" t="e">
        <f>AND('Large Nonlinear Problem'!F393,"AAAAAHbe78A=")</f>
        <v>#VALUE!</v>
      </c>
      <c r="GL58" t="e">
        <f>AND('Large Nonlinear Problem'!G393,"AAAAAHbe78E=")</f>
        <v>#VALUE!</v>
      </c>
      <c r="GM58">
        <f>IF('Large Nonlinear Problem'!394:394,"AAAAAHbe78I=",0)</f>
        <v>0</v>
      </c>
      <c r="GN58" t="e">
        <f>AND('Large Nonlinear Problem'!A394,"AAAAAHbe78M=")</f>
        <v>#VALUE!</v>
      </c>
      <c r="GO58" t="e">
        <f>AND('Large Nonlinear Problem'!B394,"AAAAAHbe78Q=")</f>
        <v>#VALUE!</v>
      </c>
      <c r="GP58" t="e">
        <f>AND('Large Nonlinear Problem'!C394,"AAAAAHbe78U=")</f>
        <v>#VALUE!</v>
      </c>
      <c r="GQ58" t="e">
        <f>AND('Large Nonlinear Problem'!D394,"AAAAAHbe78Y=")</f>
        <v>#VALUE!</v>
      </c>
      <c r="GR58" t="e">
        <f>AND('Large Nonlinear Problem'!E394,"AAAAAHbe78c=")</f>
        <v>#VALUE!</v>
      </c>
      <c r="GS58" t="e">
        <f>AND('Large Nonlinear Problem'!F394,"AAAAAHbe78g=")</f>
        <v>#VALUE!</v>
      </c>
      <c r="GT58" t="e">
        <f>AND('Large Nonlinear Problem'!G394,"AAAAAHbe78k=")</f>
        <v>#VALUE!</v>
      </c>
      <c r="GU58">
        <f>IF('Large Nonlinear Problem'!395:395,"AAAAAHbe78o=",0)</f>
        <v>0</v>
      </c>
      <c r="GV58" t="e">
        <f>AND('Large Nonlinear Problem'!A395,"AAAAAHbe78s=")</f>
        <v>#VALUE!</v>
      </c>
      <c r="GW58" t="e">
        <f>AND('Large Nonlinear Problem'!B395,"AAAAAHbe78w=")</f>
        <v>#VALUE!</v>
      </c>
      <c r="GX58" t="e">
        <f>AND('Large Nonlinear Problem'!C395,"AAAAAHbe780=")</f>
        <v>#VALUE!</v>
      </c>
      <c r="GY58" t="e">
        <f>AND('Large Nonlinear Problem'!D395,"AAAAAHbe784=")</f>
        <v>#VALUE!</v>
      </c>
      <c r="GZ58" t="e">
        <f>AND('Large Nonlinear Problem'!E395,"AAAAAHbe788=")</f>
        <v>#VALUE!</v>
      </c>
      <c r="HA58" t="e">
        <f>AND('Large Nonlinear Problem'!F395,"AAAAAHbe79A=")</f>
        <v>#VALUE!</v>
      </c>
      <c r="HB58" t="e">
        <f>AND('Large Nonlinear Problem'!G395,"AAAAAHbe79E=")</f>
        <v>#VALUE!</v>
      </c>
      <c r="HC58">
        <f>IF('Large Nonlinear Problem'!396:396,"AAAAAHbe79I=",0)</f>
        <v>0</v>
      </c>
      <c r="HD58" t="e">
        <f>AND('Large Nonlinear Problem'!A396,"AAAAAHbe79M=")</f>
        <v>#VALUE!</v>
      </c>
      <c r="HE58" t="e">
        <f>AND('Large Nonlinear Problem'!B396,"AAAAAHbe79Q=")</f>
        <v>#VALUE!</v>
      </c>
      <c r="HF58" t="e">
        <f>AND('Large Nonlinear Problem'!C396,"AAAAAHbe79U=")</f>
        <v>#VALUE!</v>
      </c>
      <c r="HG58" t="e">
        <f>AND('Large Nonlinear Problem'!D396,"AAAAAHbe79Y=")</f>
        <v>#VALUE!</v>
      </c>
      <c r="HH58" t="e">
        <f>AND('Large Nonlinear Problem'!E396,"AAAAAHbe79c=")</f>
        <v>#VALUE!</v>
      </c>
      <c r="HI58" t="e">
        <f>AND('Large Nonlinear Problem'!F396,"AAAAAHbe79g=")</f>
        <v>#VALUE!</v>
      </c>
      <c r="HJ58" t="e">
        <f>AND('Large Nonlinear Problem'!G396,"AAAAAHbe79k=")</f>
        <v>#VALUE!</v>
      </c>
      <c r="HK58">
        <f>IF('Large Nonlinear Problem'!397:397,"AAAAAHbe79o=",0)</f>
        <v>0</v>
      </c>
      <c r="HL58" t="e">
        <f>AND('Large Nonlinear Problem'!A397,"AAAAAHbe79s=")</f>
        <v>#VALUE!</v>
      </c>
      <c r="HM58" t="e">
        <f>AND('Large Nonlinear Problem'!B397,"AAAAAHbe79w=")</f>
        <v>#VALUE!</v>
      </c>
      <c r="HN58" t="e">
        <f>AND('Large Nonlinear Problem'!C397,"AAAAAHbe790=")</f>
        <v>#VALUE!</v>
      </c>
      <c r="HO58" t="e">
        <f>AND('Large Nonlinear Problem'!D397,"AAAAAHbe794=")</f>
        <v>#VALUE!</v>
      </c>
      <c r="HP58" t="e">
        <f>AND('Large Nonlinear Problem'!E397,"AAAAAHbe798=")</f>
        <v>#VALUE!</v>
      </c>
      <c r="HQ58" t="e">
        <f>AND('Large Nonlinear Problem'!F397,"AAAAAHbe7+A=")</f>
        <v>#VALUE!</v>
      </c>
      <c r="HR58" t="e">
        <f>AND('Large Nonlinear Problem'!G397,"AAAAAHbe7+E=")</f>
        <v>#VALUE!</v>
      </c>
      <c r="HS58">
        <f>IF('Large Nonlinear Problem'!398:398,"AAAAAHbe7+I=",0)</f>
        <v>0</v>
      </c>
      <c r="HT58" t="e">
        <f>AND('Large Nonlinear Problem'!A398,"AAAAAHbe7+M=")</f>
        <v>#VALUE!</v>
      </c>
      <c r="HU58" t="e">
        <f>AND('Large Nonlinear Problem'!B398,"AAAAAHbe7+Q=")</f>
        <v>#VALUE!</v>
      </c>
      <c r="HV58" t="e">
        <f>AND('Large Nonlinear Problem'!C398,"AAAAAHbe7+U=")</f>
        <v>#VALUE!</v>
      </c>
      <c r="HW58" t="e">
        <f>AND('Large Nonlinear Problem'!D398,"AAAAAHbe7+Y=")</f>
        <v>#VALUE!</v>
      </c>
      <c r="HX58" t="e">
        <f>AND('Large Nonlinear Problem'!E398,"AAAAAHbe7+c=")</f>
        <v>#VALUE!</v>
      </c>
      <c r="HY58" t="e">
        <f>AND('Large Nonlinear Problem'!F398,"AAAAAHbe7+g=")</f>
        <v>#VALUE!</v>
      </c>
      <c r="HZ58" t="e">
        <f>AND('Large Nonlinear Problem'!G398,"AAAAAHbe7+k=")</f>
        <v>#VALUE!</v>
      </c>
      <c r="IA58">
        <f>IF('Large Nonlinear Problem'!399:399,"AAAAAHbe7+o=",0)</f>
        <v>0</v>
      </c>
      <c r="IB58" t="e">
        <f>AND('Large Nonlinear Problem'!A399,"AAAAAHbe7+s=")</f>
        <v>#VALUE!</v>
      </c>
      <c r="IC58" t="e">
        <f>AND('Large Nonlinear Problem'!B399,"AAAAAHbe7+w=")</f>
        <v>#VALUE!</v>
      </c>
      <c r="ID58" t="e">
        <f>AND('Large Nonlinear Problem'!C399,"AAAAAHbe7+0=")</f>
        <v>#VALUE!</v>
      </c>
      <c r="IE58" t="e">
        <f>AND('Large Nonlinear Problem'!D399,"AAAAAHbe7+4=")</f>
        <v>#VALUE!</v>
      </c>
      <c r="IF58" t="e">
        <f>AND('Large Nonlinear Problem'!E399,"AAAAAHbe7+8=")</f>
        <v>#VALUE!</v>
      </c>
      <c r="IG58" t="e">
        <f>AND('Large Nonlinear Problem'!F399,"AAAAAHbe7/A=")</f>
        <v>#VALUE!</v>
      </c>
      <c r="IH58" t="e">
        <f>AND('Large Nonlinear Problem'!G399,"AAAAAHbe7/E=")</f>
        <v>#VALUE!</v>
      </c>
      <c r="II58">
        <f>IF('Large Nonlinear Problem'!400:400,"AAAAAHbe7/I=",0)</f>
        <v>0</v>
      </c>
      <c r="IJ58" t="e">
        <f>AND('Large Nonlinear Problem'!A400,"AAAAAHbe7/M=")</f>
        <v>#VALUE!</v>
      </c>
      <c r="IK58" t="e">
        <f>AND('Large Nonlinear Problem'!B400,"AAAAAHbe7/Q=")</f>
        <v>#VALUE!</v>
      </c>
      <c r="IL58" t="e">
        <f>AND('Large Nonlinear Problem'!C400,"AAAAAHbe7/U=")</f>
        <v>#VALUE!</v>
      </c>
      <c r="IM58" t="e">
        <f>AND('Large Nonlinear Problem'!D400,"AAAAAHbe7/Y=")</f>
        <v>#VALUE!</v>
      </c>
      <c r="IN58" t="e">
        <f>AND('Large Nonlinear Problem'!E400,"AAAAAHbe7/c=")</f>
        <v>#VALUE!</v>
      </c>
      <c r="IO58" t="e">
        <f>AND('Large Nonlinear Problem'!F400,"AAAAAHbe7/g=")</f>
        <v>#VALUE!</v>
      </c>
      <c r="IP58" t="e">
        <f>AND('Large Nonlinear Problem'!G400,"AAAAAHbe7/k=")</f>
        <v>#VALUE!</v>
      </c>
      <c r="IQ58">
        <f>IF('Large Nonlinear Problem'!401:401,"AAAAAHbe7/o=",0)</f>
        <v>0</v>
      </c>
      <c r="IR58" t="e">
        <f>AND('Large Nonlinear Problem'!A401,"AAAAAHbe7/s=")</f>
        <v>#VALUE!</v>
      </c>
      <c r="IS58" t="e">
        <f>AND('Large Nonlinear Problem'!B401,"AAAAAHbe7/w=")</f>
        <v>#VALUE!</v>
      </c>
      <c r="IT58" t="e">
        <f>AND('Large Nonlinear Problem'!C401,"AAAAAHbe7/0=")</f>
        <v>#VALUE!</v>
      </c>
      <c r="IU58" t="e">
        <f>AND('Large Nonlinear Problem'!D401,"AAAAAHbe7/4=")</f>
        <v>#VALUE!</v>
      </c>
      <c r="IV58" t="e">
        <f>AND('Large Nonlinear Problem'!E401,"AAAAAHbe7/8=")</f>
        <v>#VALUE!</v>
      </c>
    </row>
    <row r="59" spans="1:256">
      <c r="A59" t="e">
        <f>AND('Large Nonlinear Problem'!F401,"AAAAAD/f2wA=")</f>
        <v>#VALUE!</v>
      </c>
      <c r="B59" t="e">
        <f>AND('Large Nonlinear Problem'!G401,"AAAAAD/f2wE=")</f>
        <v>#VALUE!</v>
      </c>
      <c r="C59" t="str">
        <f>IF('Large Nonlinear Problem'!402:402,"AAAAAD/f2wI=",0)</f>
        <v>AAAAAD/f2wI=</v>
      </c>
      <c r="D59" t="e">
        <f>AND('Large Nonlinear Problem'!A402,"AAAAAD/f2wM=")</f>
        <v>#VALUE!</v>
      </c>
      <c r="E59" t="e">
        <f>AND('Large Nonlinear Problem'!B402,"AAAAAD/f2wQ=")</f>
        <v>#VALUE!</v>
      </c>
      <c r="F59" t="e">
        <f>AND('Large Nonlinear Problem'!C402,"AAAAAD/f2wU=")</f>
        <v>#VALUE!</v>
      </c>
      <c r="G59" t="e">
        <f>AND('Large Nonlinear Problem'!D402,"AAAAAD/f2wY=")</f>
        <v>#VALUE!</v>
      </c>
      <c r="H59" t="e">
        <f>AND('Large Nonlinear Problem'!E402,"AAAAAD/f2wc=")</f>
        <v>#VALUE!</v>
      </c>
      <c r="I59" t="e">
        <f>AND('Large Nonlinear Problem'!F402,"AAAAAD/f2wg=")</f>
        <v>#VALUE!</v>
      </c>
      <c r="J59" t="e">
        <f>AND('Large Nonlinear Problem'!G402,"AAAAAD/f2wk=")</f>
        <v>#VALUE!</v>
      </c>
      <c r="K59">
        <f>IF('Large Nonlinear Problem'!403:403,"AAAAAD/f2wo=",0)</f>
        <v>0</v>
      </c>
      <c r="L59" t="e">
        <f>AND('Large Nonlinear Problem'!A403,"AAAAAD/f2ws=")</f>
        <v>#VALUE!</v>
      </c>
      <c r="M59" t="e">
        <f>AND('Large Nonlinear Problem'!B403,"AAAAAD/f2ww=")</f>
        <v>#VALUE!</v>
      </c>
      <c r="N59" t="e">
        <f>AND('Large Nonlinear Problem'!C403,"AAAAAD/f2w0=")</f>
        <v>#VALUE!</v>
      </c>
      <c r="O59" t="e">
        <f>AND('Large Nonlinear Problem'!D403,"AAAAAD/f2w4=")</f>
        <v>#VALUE!</v>
      </c>
      <c r="P59" t="e">
        <f>AND('Large Nonlinear Problem'!E403,"AAAAAD/f2w8=")</f>
        <v>#VALUE!</v>
      </c>
      <c r="Q59" t="e">
        <f>AND('Large Nonlinear Problem'!F403,"AAAAAD/f2xA=")</f>
        <v>#VALUE!</v>
      </c>
      <c r="R59" t="e">
        <f>AND('Large Nonlinear Problem'!G403,"AAAAAD/f2xE=")</f>
        <v>#VALUE!</v>
      </c>
      <c r="S59">
        <f>IF('Large Nonlinear Problem'!404:404,"AAAAAD/f2xI=",0)</f>
        <v>0</v>
      </c>
      <c r="T59" t="e">
        <f>AND('Large Nonlinear Problem'!A404,"AAAAAD/f2xM=")</f>
        <v>#VALUE!</v>
      </c>
      <c r="U59" t="e">
        <f>AND('Large Nonlinear Problem'!B404,"AAAAAD/f2xQ=")</f>
        <v>#VALUE!</v>
      </c>
      <c r="V59" t="e">
        <f>AND('Large Nonlinear Problem'!C404,"AAAAAD/f2xU=")</f>
        <v>#VALUE!</v>
      </c>
      <c r="W59" t="e">
        <f>AND('Large Nonlinear Problem'!D404,"AAAAAD/f2xY=")</f>
        <v>#VALUE!</v>
      </c>
      <c r="X59" t="e">
        <f>AND('Large Nonlinear Problem'!E404,"AAAAAD/f2xc=")</f>
        <v>#VALUE!</v>
      </c>
      <c r="Y59" t="e">
        <f>AND('Large Nonlinear Problem'!F404,"AAAAAD/f2xg=")</f>
        <v>#VALUE!</v>
      </c>
      <c r="Z59" t="e">
        <f>AND('Large Nonlinear Problem'!G404,"AAAAAD/f2xk=")</f>
        <v>#VALUE!</v>
      </c>
      <c r="AA59">
        <f>IF('Large Nonlinear Problem'!405:405,"AAAAAD/f2xo=",0)</f>
        <v>0</v>
      </c>
      <c r="AB59" t="e">
        <f>AND('Large Nonlinear Problem'!A405,"AAAAAD/f2xs=")</f>
        <v>#VALUE!</v>
      </c>
      <c r="AC59" t="e">
        <f>AND('Large Nonlinear Problem'!B405,"AAAAAD/f2xw=")</f>
        <v>#VALUE!</v>
      </c>
      <c r="AD59" t="e">
        <f>AND('Large Nonlinear Problem'!C405,"AAAAAD/f2x0=")</f>
        <v>#VALUE!</v>
      </c>
      <c r="AE59" t="e">
        <f>AND('Large Nonlinear Problem'!D405,"AAAAAD/f2x4=")</f>
        <v>#VALUE!</v>
      </c>
      <c r="AF59" t="e">
        <f>AND('Large Nonlinear Problem'!E405,"AAAAAD/f2x8=")</f>
        <v>#VALUE!</v>
      </c>
      <c r="AG59" t="e">
        <f>AND('Large Nonlinear Problem'!F405,"AAAAAD/f2yA=")</f>
        <v>#VALUE!</v>
      </c>
      <c r="AH59" t="e">
        <f>AND('Large Nonlinear Problem'!G405,"AAAAAD/f2yE=")</f>
        <v>#VALUE!</v>
      </c>
      <c r="AI59">
        <f>IF('Large Nonlinear Problem'!406:406,"AAAAAD/f2yI=",0)</f>
        <v>0</v>
      </c>
      <c r="AJ59" t="e">
        <f>AND('Large Nonlinear Problem'!A406,"AAAAAD/f2yM=")</f>
        <v>#VALUE!</v>
      </c>
      <c r="AK59" t="e">
        <f>AND('Large Nonlinear Problem'!B406,"AAAAAD/f2yQ=")</f>
        <v>#VALUE!</v>
      </c>
      <c r="AL59" t="e">
        <f>AND('Large Nonlinear Problem'!C406,"AAAAAD/f2yU=")</f>
        <v>#VALUE!</v>
      </c>
      <c r="AM59" t="e">
        <f>AND('Large Nonlinear Problem'!D406,"AAAAAD/f2yY=")</f>
        <v>#VALUE!</v>
      </c>
      <c r="AN59" t="e">
        <f>AND('Large Nonlinear Problem'!E406,"AAAAAD/f2yc=")</f>
        <v>#VALUE!</v>
      </c>
      <c r="AO59" t="e">
        <f>AND('Large Nonlinear Problem'!F406,"AAAAAD/f2yg=")</f>
        <v>#VALUE!</v>
      </c>
      <c r="AP59" t="e">
        <f>AND('Large Nonlinear Problem'!G406,"AAAAAD/f2yk=")</f>
        <v>#VALUE!</v>
      </c>
      <c r="AQ59">
        <f>IF('Large Nonlinear Problem'!407:407,"AAAAAD/f2yo=",0)</f>
        <v>0</v>
      </c>
      <c r="AR59" t="e">
        <f>AND('Large Nonlinear Problem'!A407,"AAAAAD/f2ys=")</f>
        <v>#VALUE!</v>
      </c>
      <c r="AS59" t="e">
        <f>AND('Large Nonlinear Problem'!B407,"AAAAAD/f2yw=")</f>
        <v>#VALUE!</v>
      </c>
      <c r="AT59" t="e">
        <f>AND('Large Nonlinear Problem'!C407,"AAAAAD/f2y0=")</f>
        <v>#VALUE!</v>
      </c>
      <c r="AU59" t="e">
        <f>AND('Large Nonlinear Problem'!D407,"AAAAAD/f2y4=")</f>
        <v>#VALUE!</v>
      </c>
      <c r="AV59" t="e">
        <f>AND('Large Nonlinear Problem'!E407,"AAAAAD/f2y8=")</f>
        <v>#VALUE!</v>
      </c>
      <c r="AW59" t="e">
        <f>AND('Large Nonlinear Problem'!F407,"AAAAAD/f2zA=")</f>
        <v>#VALUE!</v>
      </c>
      <c r="AX59" t="e">
        <f>AND('Large Nonlinear Problem'!G407,"AAAAAD/f2zE=")</f>
        <v>#VALUE!</v>
      </c>
      <c r="AY59">
        <f>IF('Large Nonlinear Problem'!408:408,"AAAAAD/f2zI=",0)</f>
        <v>0</v>
      </c>
      <c r="AZ59" t="e">
        <f>AND('Large Nonlinear Problem'!A408,"AAAAAD/f2zM=")</f>
        <v>#VALUE!</v>
      </c>
      <c r="BA59" t="e">
        <f>AND('Large Nonlinear Problem'!B408,"AAAAAD/f2zQ=")</f>
        <v>#VALUE!</v>
      </c>
      <c r="BB59" t="e">
        <f>AND('Large Nonlinear Problem'!C408,"AAAAAD/f2zU=")</f>
        <v>#VALUE!</v>
      </c>
      <c r="BC59" t="e">
        <f>AND('Large Nonlinear Problem'!D408,"AAAAAD/f2zY=")</f>
        <v>#VALUE!</v>
      </c>
      <c r="BD59" t="e">
        <f>AND('Large Nonlinear Problem'!E408,"AAAAAD/f2zc=")</f>
        <v>#VALUE!</v>
      </c>
      <c r="BE59" t="e">
        <f>AND('Large Nonlinear Problem'!F408,"AAAAAD/f2zg=")</f>
        <v>#VALUE!</v>
      </c>
      <c r="BF59" t="e">
        <f>AND('Large Nonlinear Problem'!G408,"AAAAAD/f2zk=")</f>
        <v>#VALUE!</v>
      </c>
      <c r="BG59">
        <f>IF('Large Nonlinear Problem'!409:409,"AAAAAD/f2zo=",0)</f>
        <v>0</v>
      </c>
      <c r="BH59" t="e">
        <f>AND('Large Nonlinear Problem'!A409,"AAAAAD/f2zs=")</f>
        <v>#VALUE!</v>
      </c>
      <c r="BI59" t="e">
        <f>AND('Large Nonlinear Problem'!B409,"AAAAAD/f2zw=")</f>
        <v>#VALUE!</v>
      </c>
      <c r="BJ59" t="e">
        <f>AND('Large Nonlinear Problem'!C409,"AAAAAD/f2z0=")</f>
        <v>#VALUE!</v>
      </c>
      <c r="BK59" t="e">
        <f>AND('Large Nonlinear Problem'!D409,"AAAAAD/f2z4=")</f>
        <v>#VALUE!</v>
      </c>
      <c r="BL59" t="e">
        <f>AND('Large Nonlinear Problem'!E409,"AAAAAD/f2z8=")</f>
        <v>#VALUE!</v>
      </c>
      <c r="BM59" t="e">
        <f>AND('Large Nonlinear Problem'!F409,"AAAAAD/f20A=")</f>
        <v>#VALUE!</v>
      </c>
      <c r="BN59" t="e">
        <f>AND('Large Nonlinear Problem'!G409,"AAAAAD/f20E=")</f>
        <v>#VALUE!</v>
      </c>
      <c r="BO59">
        <f>IF('Large Nonlinear Problem'!410:410,"AAAAAD/f20I=",0)</f>
        <v>0</v>
      </c>
      <c r="BP59" t="e">
        <f>AND('Large Nonlinear Problem'!A410,"AAAAAD/f20M=")</f>
        <v>#VALUE!</v>
      </c>
      <c r="BQ59" t="e">
        <f>AND('Large Nonlinear Problem'!B410,"AAAAAD/f20Q=")</f>
        <v>#VALUE!</v>
      </c>
      <c r="BR59" t="e">
        <f>AND('Large Nonlinear Problem'!C410,"AAAAAD/f20U=")</f>
        <v>#VALUE!</v>
      </c>
      <c r="BS59" t="e">
        <f>AND('Large Nonlinear Problem'!D410,"AAAAAD/f20Y=")</f>
        <v>#VALUE!</v>
      </c>
      <c r="BT59" t="e">
        <f>AND('Large Nonlinear Problem'!E410,"AAAAAD/f20c=")</f>
        <v>#VALUE!</v>
      </c>
      <c r="BU59" t="e">
        <f>AND('Large Nonlinear Problem'!F410,"AAAAAD/f20g=")</f>
        <v>#VALUE!</v>
      </c>
      <c r="BV59" t="e">
        <f>AND('Large Nonlinear Problem'!G410,"AAAAAD/f20k=")</f>
        <v>#VALUE!</v>
      </c>
      <c r="BW59">
        <f>IF('Large Nonlinear Problem'!411:411,"AAAAAD/f20o=",0)</f>
        <v>0</v>
      </c>
      <c r="BX59" t="e">
        <f>AND('Large Nonlinear Problem'!A411,"AAAAAD/f20s=")</f>
        <v>#VALUE!</v>
      </c>
      <c r="BY59" t="e">
        <f>AND('Large Nonlinear Problem'!B411,"AAAAAD/f20w=")</f>
        <v>#VALUE!</v>
      </c>
      <c r="BZ59" t="e">
        <f>AND('Large Nonlinear Problem'!C411,"AAAAAD/f200=")</f>
        <v>#VALUE!</v>
      </c>
      <c r="CA59" t="e">
        <f>AND('Large Nonlinear Problem'!D411,"AAAAAD/f204=")</f>
        <v>#VALUE!</v>
      </c>
      <c r="CB59" t="e">
        <f>AND('Large Nonlinear Problem'!E411,"AAAAAD/f208=")</f>
        <v>#VALUE!</v>
      </c>
      <c r="CC59" t="e">
        <f>AND('Large Nonlinear Problem'!F411,"AAAAAD/f21A=")</f>
        <v>#VALUE!</v>
      </c>
      <c r="CD59" t="e">
        <f>AND('Large Nonlinear Problem'!G411,"AAAAAD/f21E=")</f>
        <v>#VALUE!</v>
      </c>
      <c r="CE59">
        <f>IF('Large Nonlinear Problem'!412:412,"AAAAAD/f21I=",0)</f>
        <v>0</v>
      </c>
      <c r="CF59" t="e">
        <f>AND('Large Nonlinear Problem'!A412,"AAAAAD/f21M=")</f>
        <v>#VALUE!</v>
      </c>
      <c r="CG59" t="e">
        <f>AND('Large Nonlinear Problem'!B412,"AAAAAD/f21Q=")</f>
        <v>#VALUE!</v>
      </c>
      <c r="CH59" t="e">
        <f>AND('Large Nonlinear Problem'!C412,"AAAAAD/f21U=")</f>
        <v>#VALUE!</v>
      </c>
      <c r="CI59" t="e">
        <f>AND('Large Nonlinear Problem'!D412,"AAAAAD/f21Y=")</f>
        <v>#VALUE!</v>
      </c>
      <c r="CJ59" t="e">
        <f>AND('Large Nonlinear Problem'!E412,"AAAAAD/f21c=")</f>
        <v>#VALUE!</v>
      </c>
      <c r="CK59" t="e">
        <f>AND('Large Nonlinear Problem'!F412,"AAAAAD/f21g=")</f>
        <v>#VALUE!</v>
      </c>
      <c r="CL59" t="e">
        <f>AND('Large Nonlinear Problem'!G412,"AAAAAD/f21k=")</f>
        <v>#VALUE!</v>
      </c>
      <c r="CM59">
        <f>IF('Large Nonlinear Problem'!413:413,"AAAAAD/f21o=",0)</f>
        <v>0</v>
      </c>
      <c r="CN59" t="e">
        <f>AND('Large Nonlinear Problem'!A413,"AAAAAD/f21s=")</f>
        <v>#VALUE!</v>
      </c>
      <c r="CO59" t="e">
        <f>AND('Large Nonlinear Problem'!B413,"AAAAAD/f21w=")</f>
        <v>#VALUE!</v>
      </c>
      <c r="CP59" t="e">
        <f>AND('Large Nonlinear Problem'!C413,"AAAAAD/f210=")</f>
        <v>#VALUE!</v>
      </c>
      <c r="CQ59" t="e">
        <f>AND('Large Nonlinear Problem'!D413,"AAAAAD/f214=")</f>
        <v>#VALUE!</v>
      </c>
      <c r="CR59" t="e">
        <f>AND('Large Nonlinear Problem'!E413,"AAAAAD/f218=")</f>
        <v>#VALUE!</v>
      </c>
      <c r="CS59" t="e">
        <f>AND('Large Nonlinear Problem'!F413,"AAAAAD/f22A=")</f>
        <v>#VALUE!</v>
      </c>
      <c r="CT59" t="e">
        <f>AND('Large Nonlinear Problem'!G413,"AAAAAD/f22E=")</f>
        <v>#VALUE!</v>
      </c>
      <c r="CU59">
        <f>IF('Large Nonlinear Problem'!414:414,"AAAAAD/f22I=",0)</f>
        <v>0</v>
      </c>
      <c r="CV59" t="e">
        <f>AND('Large Nonlinear Problem'!A414,"AAAAAD/f22M=")</f>
        <v>#VALUE!</v>
      </c>
      <c r="CW59" t="e">
        <f>AND('Large Nonlinear Problem'!B414,"AAAAAD/f22Q=")</f>
        <v>#VALUE!</v>
      </c>
      <c r="CX59" t="e">
        <f>AND('Large Nonlinear Problem'!C414,"AAAAAD/f22U=")</f>
        <v>#VALUE!</v>
      </c>
      <c r="CY59" t="e">
        <f>AND('Large Nonlinear Problem'!D414,"AAAAAD/f22Y=")</f>
        <v>#VALUE!</v>
      </c>
      <c r="CZ59" t="e">
        <f>AND('Large Nonlinear Problem'!E414,"AAAAAD/f22c=")</f>
        <v>#VALUE!</v>
      </c>
      <c r="DA59" t="e">
        <f>AND('Large Nonlinear Problem'!F414,"AAAAAD/f22g=")</f>
        <v>#VALUE!</v>
      </c>
      <c r="DB59" t="e">
        <f>AND('Large Nonlinear Problem'!G414,"AAAAAD/f22k=")</f>
        <v>#VALUE!</v>
      </c>
      <c r="DC59">
        <f>IF('Large Nonlinear Problem'!415:415,"AAAAAD/f22o=",0)</f>
        <v>0</v>
      </c>
      <c r="DD59" t="e">
        <f>AND('Large Nonlinear Problem'!A415,"AAAAAD/f22s=")</f>
        <v>#VALUE!</v>
      </c>
      <c r="DE59" t="e">
        <f>AND('Large Nonlinear Problem'!B415,"AAAAAD/f22w=")</f>
        <v>#VALUE!</v>
      </c>
      <c r="DF59" t="e">
        <f>AND('Large Nonlinear Problem'!C415,"AAAAAD/f220=")</f>
        <v>#VALUE!</v>
      </c>
      <c r="DG59" t="e">
        <f>AND('Large Nonlinear Problem'!D415,"AAAAAD/f224=")</f>
        <v>#VALUE!</v>
      </c>
      <c r="DH59" t="e">
        <f>AND('Large Nonlinear Problem'!E415,"AAAAAD/f228=")</f>
        <v>#VALUE!</v>
      </c>
      <c r="DI59" t="e">
        <f>AND('Large Nonlinear Problem'!F415,"AAAAAD/f23A=")</f>
        <v>#VALUE!</v>
      </c>
      <c r="DJ59" t="e">
        <f>AND('Large Nonlinear Problem'!G415,"AAAAAD/f23E=")</f>
        <v>#VALUE!</v>
      </c>
      <c r="DK59">
        <f>IF('Large Nonlinear Problem'!416:416,"AAAAAD/f23I=",0)</f>
        <v>0</v>
      </c>
      <c r="DL59" t="e">
        <f>AND('Large Nonlinear Problem'!A416,"AAAAAD/f23M=")</f>
        <v>#VALUE!</v>
      </c>
      <c r="DM59" t="e">
        <f>AND('Large Nonlinear Problem'!B416,"AAAAAD/f23Q=")</f>
        <v>#VALUE!</v>
      </c>
      <c r="DN59" t="e">
        <f>AND('Large Nonlinear Problem'!C416,"AAAAAD/f23U=")</f>
        <v>#VALUE!</v>
      </c>
      <c r="DO59" t="e">
        <f>AND('Large Nonlinear Problem'!D416,"AAAAAD/f23Y=")</f>
        <v>#VALUE!</v>
      </c>
      <c r="DP59" t="e">
        <f>AND('Large Nonlinear Problem'!E416,"AAAAAD/f23c=")</f>
        <v>#VALUE!</v>
      </c>
      <c r="DQ59" t="e">
        <f>AND('Large Nonlinear Problem'!F416,"AAAAAD/f23g=")</f>
        <v>#VALUE!</v>
      </c>
      <c r="DR59" t="e">
        <f>AND('Large Nonlinear Problem'!G416,"AAAAAD/f23k=")</f>
        <v>#VALUE!</v>
      </c>
      <c r="DS59">
        <f>IF('Large Nonlinear Problem'!417:417,"AAAAAD/f23o=",0)</f>
        <v>0</v>
      </c>
      <c r="DT59" t="e">
        <f>AND('Large Nonlinear Problem'!A417,"AAAAAD/f23s=")</f>
        <v>#VALUE!</v>
      </c>
      <c r="DU59" t="e">
        <f>AND('Large Nonlinear Problem'!B417,"AAAAAD/f23w=")</f>
        <v>#VALUE!</v>
      </c>
      <c r="DV59" t="e">
        <f>AND('Large Nonlinear Problem'!C417,"AAAAAD/f230=")</f>
        <v>#VALUE!</v>
      </c>
      <c r="DW59" t="e">
        <f>AND('Large Nonlinear Problem'!D417,"AAAAAD/f234=")</f>
        <v>#VALUE!</v>
      </c>
      <c r="DX59" t="e">
        <f>AND('Large Nonlinear Problem'!E417,"AAAAAD/f238=")</f>
        <v>#VALUE!</v>
      </c>
      <c r="DY59" t="e">
        <f>AND('Large Nonlinear Problem'!F417,"AAAAAD/f24A=")</f>
        <v>#VALUE!</v>
      </c>
      <c r="DZ59" t="e">
        <f>AND('Large Nonlinear Problem'!G417,"AAAAAD/f24E=")</f>
        <v>#VALUE!</v>
      </c>
      <c r="EA59">
        <f>IF('Large Nonlinear Problem'!418:418,"AAAAAD/f24I=",0)</f>
        <v>0</v>
      </c>
      <c r="EB59" t="e">
        <f>AND('Large Nonlinear Problem'!A418,"AAAAAD/f24M=")</f>
        <v>#VALUE!</v>
      </c>
      <c r="EC59" t="e">
        <f>AND('Large Nonlinear Problem'!B418,"AAAAAD/f24Q=")</f>
        <v>#VALUE!</v>
      </c>
      <c r="ED59" t="e">
        <f>AND('Large Nonlinear Problem'!C418,"AAAAAD/f24U=")</f>
        <v>#VALUE!</v>
      </c>
      <c r="EE59" t="e">
        <f>AND('Large Nonlinear Problem'!D418,"AAAAAD/f24Y=")</f>
        <v>#VALUE!</v>
      </c>
      <c r="EF59" t="e">
        <f>AND('Large Nonlinear Problem'!E418,"AAAAAD/f24c=")</f>
        <v>#VALUE!</v>
      </c>
      <c r="EG59" t="e">
        <f>AND('Large Nonlinear Problem'!F418,"AAAAAD/f24g=")</f>
        <v>#VALUE!</v>
      </c>
      <c r="EH59" t="e">
        <f>AND('Large Nonlinear Problem'!G418,"AAAAAD/f24k=")</f>
        <v>#VALUE!</v>
      </c>
      <c r="EI59">
        <f>IF('Large Nonlinear Problem'!419:419,"AAAAAD/f24o=",0)</f>
        <v>0</v>
      </c>
      <c r="EJ59" t="e">
        <f>AND('Large Nonlinear Problem'!A419,"AAAAAD/f24s=")</f>
        <v>#VALUE!</v>
      </c>
      <c r="EK59" t="e">
        <f>AND('Large Nonlinear Problem'!B419,"AAAAAD/f24w=")</f>
        <v>#VALUE!</v>
      </c>
      <c r="EL59" t="e">
        <f>AND('Large Nonlinear Problem'!C419,"AAAAAD/f240=")</f>
        <v>#VALUE!</v>
      </c>
      <c r="EM59" t="e">
        <f>AND('Large Nonlinear Problem'!D419,"AAAAAD/f244=")</f>
        <v>#VALUE!</v>
      </c>
      <c r="EN59" t="e">
        <f>AND('Large Nonlinear Problem'!E419,"AAAAAD/f248=")</f>
        <v>#VALUE!</v>
      </c>
      <c r="EO59" t="e">
        <f>AND('Large Nonlinear Problem'!F419,"AAAAAD/f25A=")</f>
        <v>#VALUE!</v>
      </c>
      <c r="EP59" t="e">
        <f>AND('Large Nonlinear Problem'!G419,"AAAAAD/f25E=")</f>
        <v>#VALUE!</v>
      </c>
      <c r="EQ59">
        <f>IF('Large Nonlinear Problem'!420:420,"AAAAAD/f25I=",0)</f>
        <v>0</v>
      </c>
      <c r="ER59" t="e">
        <f>AND('Large Nonlinear Problem'!A420,"AAAAAD/f25M=")</f>
        <v>#VALUE!</v>
      </c>
      <c r="ES59" t="e">
        <f>AND('Large Nonlinear Problem'!B420,"AAAAAD/f25Q=")</f>
        <v>#VALUE!</v>
      </c>
      <c r="ET59" t="e">
        <f>AND('Large Nonlinear Problem'!C420,"AAAAAD/f25U=")</f>
        <v>#VALUE!</v>
      </c>
      <c r="EU59" t="e">
        <f>AND('Large Nonlinear Problem'!D420,"AAAAAD/f25Y=")</f>
        <v>#VALUE!</v>
      </c>
      <c r="EV59" t="e">
        <f>AND('Large Nonlinear Problem'!E420,"AAAAAD/f25c=")</f>
        <v>#VALUE!</v>
      </c>
      <c r="EW59" t="e">
        <f>AND('Large Nonlinear Problem'!F420,"AAAAAD/f25g=")</f>
        <v>#VALUE!</v>
      </c>
      <c r="EX59" t="e">
        <f>AND('Large Nonlinear Problem'!G420,"AAAAAD/f25k=")</f>
        <v>#VALUE!</v>
      </c>
      <c r="EY59">
        <f>IF('Large Nonlinear Problem'!421:421,"AAAAAD/f25o=",0)</f>
        <v>0</v>
      </c>
      <c r="EZ59" t="e">
        <f>AND('Large Nonlinear Problem'!A421,"AAAAAD/f25s=")</f>
        <v>#VALUE!</v>
      </c>
      <c r="FA59" t="e">
        <f>AND('Large Nonlinear Problem'!B421,"AAAAAD/f25w=")</f>
        <v>#VALUE!</v>
      </c>
      <c r="FB59" t="e">
        <f>AND('Large Nonlinear Problem'!C421,"AAAAAD/f250=")</f>
        <v>#VALUE!</v>
      </c>
      <c r="FC59" t="e">
        <f>AND('Large Nonlinear Problem'!D421,"AAAAAD/f254=")</f>
        <v>#VALUE!</v>
      </c>
      <c r="FD59" t="e">
        <f>AND('Large Nonlinear Problem'!E421,"AAAAAD/f258=")</f>
        <v>#VALUE!</v>
      </c>
      <c r="FE59" t="e">
        <f>AND('Large Nonlinear Problem'!F421,"AAAAAD/f26A=")</f>
        <v>#VALUE!</v>
      </c>
      <c r="FF59" t="e">
        <f>AND('Large Nonlinear Problem'!G421,"AAAAAD/f26E=")</f>
        <v>#VALUE!</v>
      </c>
      <c r="FG59">
        <f>IF('Large Nonlinear Problem'!422:422,"AAAAAD/f26I=",0)</f>
        <v>0</v>
      </c>
      <c r="FH59" t="e">
        <f>AND('Large Nonlinear Problem'!A422,"AAAAAD/f26M=")</f>
        <v>#VALUE!</v>
      </c>
      <c r="FI59" t="e">
        <f>AND('Large Nonlinear Problem'!B422,"AAAAAD/f26Q=")</f>
        <v>#VALUE!</v>
      </c>
      <c r="FJ59" t="e">
        <f>AND('Large Nonlinear Problem'!C422,"AAAAAD/f26U=")</f>
        <v>#VALUE!</v>
      </c>
      <c r="FK59" t="e">
        <f>AND('Large Nonlinear Problem'!D422,"AAAAAD/f26Y=")</f>
        <v>#VALUE!</v>
      </c>
      <c r="FL59" t="e">
        <f>AND('Large Nonlinear Problem'!E422,"AAAAAD/f26c=")</f>
        <v>#VALUE!</v>
      </c>
      <c r="FM59" t="e">
        <f>AND('Large Nonlinear Problem'!F422,"AAAAAD/f26g=")</f>
        <v>#VALUE!</v>
      </c>
      <c r="FN59" t="e">
        <f>AND('Large Nonlinear Problem'!G422,"AAAAAD/f26k=")</f>
        <v>#VALUE!</v>
      </c>
      <c r="FO59">
        <f>IF('Large Nonlinear Problem'!423:423,"AAAAAD/f26o=",0)</f>
        <v>0</v>
      </c>
      <c r="FP59" t="e">
        <f>AND('Large Nonlinear Problem'!A423,"AAAAAD/f26s=")</f>
        <v>#VALUE!</v>
      </c>
      <c r="FQ59" t="e">
        <f>AND('Large Nonlinear Problem'!B423,"AAAAAD/f26w=")</f>
        <v>#VALUE!</v>
      </c>
      <c r="FR59" t="e">
        <f>AND('Large Nonlinear Problem'!C423,"AAAAAD/f260=")</f>
        <v>#VALUE!</v>
      </c>
      <c r="FS59" t="e">
        <f>AND('Large Nonlinear Problem'!D423,"AAAAAD/f264=")</f>
        <v>#VALUE!</v>
      </c>
      <c r="FT59" t="e">
        <f>AND('Large Nonlinear Problem'!E423,"AAAAAD/f268=")</f>
        <v>#VALUE!</v>
      </c>
      <c r="FU59" t="e">
        <f>AND('Large Nonlinear Problem'!F423,"AAAAAD/f27A=")</f>
        <v>#VALUE!</v>
      </c>
      <c r="FV59" t="e">
        <f>AND('Large Nonlinear Problem'!G423,"AAAAAD/f27E=")</f>
        <v>#VALUE!</v>
      </c>
      <c r="FW59">
        <f>IF('Large Nonlinear Problem'!424:424,"AAAAAD/f27I=",0)</f>
        <v>0</v>
      </c>
      <c r="FX59" t="e">
        <f>AND('Large Nonlinear Problem'!A424,"AAAAAD/f27M=")</f>
        <v>#VALUE!</v>
      </c>
      <c r="FY59" t="e">
        <f>AND('Large Nonlinear Problem'!B424,"AAAAAD/f27Q=")</f>
        <v>#VALUE!</v>
      </c>
      <c r="FZ59" t="e">
        <f>AND('Large Nonlinear Problem'!C424,"AAAAAD/f27U=")</f>
        <v>#VALUE!</v>
      </c>
      <c r="GA59" t="e">
        <f>AND('Large Nonlinear Problem'!D424,"AAAAAD/f27Y=")</f>
        <v>#VALUE!</v>
      </c>
      <c r="GB59" t="e">
        <f>AND('Large Nonlinear Problem'!E424,"AAAAAD/f27c=")</f>
        <v>#VALUE!</v>
      </c>
      <c r="GC59" t="e">
        <f>AND('Large Nonlinear Problem'!F424,"AAAAAD/f27g=")</f>
        <v>#VALUE!</v>
      </c>
      <c r="GD59" t="e">
        <f>AND('Large Nonlinear Problem'!G424,"AAAAAD/f27k=")</f>
        <v>#VALUE!</v>
      </c>
      <c r="GE59">
        <f>IF('Large Nonlinear Problem'!425:425,"AAAAAD/f27o=",0)</f>
        <v>0</v>
      </c>
      <c r="GF59" t="e">
        <f>AND('Large Nonlinear Problem'!A425,"AAAAAD/f27s=")</f>
        <v>#VALUE!</v>
      </c>
      <c r="GG59" t="e">
        <f>AND('Large Nonlinear Problem'!B425,"AAAAAD/f27w=")</f>
        <v>#VALUE!</v>
      </c>
      <c r="GH59" t="e">
        <f>AND('Large Nonlinear Problem'!C425,"AAAAAD/f270=")</f>
        <v>#VALUE!</v>
      </c>
      <c r="GI59" t="e">
        <f>AND('Large Nonlinear Problem'!D425,"AAAAAD/f274=")</f>
        <v>#VALUE!</v>
      </c>
      <c r="GJ59" t="e">
        <f>AND('Large Nonlinear Problem'!E425,"AAAAAD/f278=")</f>
        <v>#VALUE!</v>
      </c>
      <c r="GK59" t="e">
        <f>AND('Large Nonlinear Problem'!F425,"AAAAAD/f28A=")</f>
        <v>#VALUE!</v>
      </c>
      <c r="GL59" t="e">
        <f>AND('Large Nonlinear Problem'!G425,"AAAAAD/f28E=")</f>
        <v>#VALUE!</v>
      </c>
      <c r="GM59">
        <f>IF('Large Nonlinear Problem'!426:426,"AAAAAD/f28I=",0)</f>
        <v>0</v>
      </c>
      <c r="GN59" t="e">
        <f>AND('Large Nonlinear Problem'!A426,"AAAAAD/f28M=")</f>
        <v>#VALUE!</v>
      </c>
      <c r="GO59" t="e">
        <f>AND('Large Nonlinear Problem'!B426,"AAAAAD/f28Q=")</f>
        <v>#VALUE!</v>
      </c>
      <c r="GP59" t="e">
        <f>AND('Large Nonlinear Problem'!C426,"AAAAAD/f28U=")</f>
        <v>#VALUE!</v>
      </c>
      <c r="GQ59" t="e">
        <f>AND('Large Nonlinear Problem'!D426,"AAAAAD/f28Y=")</f>
        <v>#VALUE!</v>
      </c>
      <c r="GR59" t="e">
        <f>AND('Large Nonlinear Problem'!E426,"AAAAAD/f28c=")</f>
        <v>#VALUE!</v>
      </c>
      <c r="GS59" t="e">
        <f>AND('Large Nonlinear Problem'!F426,"AAAAAD/f28g=")</f>
        <v>#VALUE!</v>
      </c>
      <c r="GT59" t="e">
        <f>AND('Large Nonlinear Problem'!G426,"AAAAAD/f28k=")</f>
        <v>#VALUE!</v>
      </c>
      <c r="GU59">
        <f>IF('Large Nonlinear Problem'!427:427,"AAAAAD/f28o=",0)</f>
        <v>0</v>
      </c>
      <c r="GV59" t="e">
        <f>AND('Large Nonlinear Problem'!A427,"AAAAAD/f28s=")</f>
        <v>#VALUE!</v>
      </c>
      <c r="GW59" t="e">
        <f>AND('Large Nonlinear Problem'!B427,"AAAAAD/f28w=")</f>
        <v>#VALUE!</v>
      </c>
      <c r="GX59" t="e">
        <f>AND('Large Nonlinear Problem'!C427,"AAAAAD/f280=")</f>
        <v>#VALUE!</v>
      </c>
      <c r="GY59" t="e">
        <f>AND('Large Nonlinear Problem'!D427,"AAAAAD/f284=")</f>
        <v>#VALUE!</v>
      </c>
      <c r="GZ59" t="e">
        <f>AND('Large Nonlinear Problem'!E427,"AAAAAD/f288=")</f>
        <v>#VALUE!</v>
      </c>
      <c r="HA59" t="e">
        <f>AND('Large Nonlinear Problem'!F427,"AAAAAD/f29A=")</f>
        <v>#VALUE!</v>
      </c>
      <c r="HB59" t="e">
        <f>AND('Large Nonlinear Problem'!G427,"AAAAAD/f29E=")</f>
        <v>#VALUE!</v>
      </c>
      <c r="HC59">
        <f>IF('Large Nonlinear Problem'!428:428,"AAAAAD/f29I=",0)</f>
        <v>0</v>
      </c>
      <c r="HD59" t="e">
        <f>AND('Large Nonlinear Problem'!A428,"AAAAAD/f29M=")</f>
        <v>#VALUE!</v>
      </c>
      <c r="HE59" t="e">
        <f>AND('Large Nonlinear Problem'!B428,"AAAAAD/f29Q=")</f>
        <v>#VALUE!</v>
      </c>
      <c r="HF59" t="e">
        <f>AND('Large Nonlinear Problem'!C428,"AAAAAD/f29U=")</f>
        <v>#VALUE!</v>
      </c>
      <c r="HG59" t="e">
        <f>AND('Large Nonlinear Problem'!D428,"AAAAAD/f29Y=")</f>
        <v>#VALUE!</v>
      </c>
      <c r="HH59" t="e">
        <f>AND('Large Nonlinear Problem'!E428,"AAAAAD/f29c=")</f>
        <v>#VALUE!</v>
      </c>
      <c r="HI59" t="e">
        <f>AND('Large Nonlinear Problem'!F428,"AAAAAD/f29g=")</f>
        <v>#VALUE!</v>
      </c>
      <c r="HJ59" t="e">
        <f>AND('Large Nonlinear Problem'!G428,"AAAAAD/f29k=")</f>
        <v>#VALUE!</v>
      </c>
      <c r="HK59">
        <f>IF('Large Nonlinear Problem'!429:429,"AAAAAD/f29o=",0)</f>
        <v>0</v>
      </c>
      <c r="HL59" t="e">
        <f>AND('Large Nonlinear Problem'!A429,"AAAAAD/f29s=")</f>
        <v>#VALUE!</v>
      </c>
      <c r="HM59" t="e">
        <f>AND('Large Nonlinear Problem'!B429,"AAAAAD/f29w=")</f>
        <v>#VALUE!</v>
      </c>
      <c r="HN59" t="e">
        <f>AND('Large Nonlinear Problem'!C429,"AAAAAD/f290=")</f>
        <v>#VALUE!</v>
      </c>
      <c r="HO59" t="e">
        <f>AND('Large Nonlinear Problem'!D429,"AAAAAD/f294=")</f>
        <v>#VALUE!</v>
      </c>
      <c r="HP59" t="e">
        <f>AND('Large Nonlinear Problem'!E429,"AAAAAD/f298=")</f>
        <v>#VALUE!</v>
      </c>
      <c r="HQ59" t="e">
        <f>AND('Large Nonlinear Problem'!F429,"AAAAAD/f2+A=")</f>
        <v>#VALUE!</v>
      </c>
      <c r="HR59" t="e">
        <f>AND('Large Nonlinear Problem'!G429,"AAAAAD/f2+E=")</f>
        <v>#VALUE!</v>
      </c>
      <c r="HS59">
        <f>IF('Large Nonlinear Problem'!430:430,"AAAAAD/f2+I=",0)</f>
        <v>0</v>
      </c>
      <c r="HT59" t="e">
        <f>AND('Large Nonlinear Problem'!A430,"AAAAAD/f2+M=")</f>
        <v>#VALUE!</v>
      </c>
      <c r="HU59" t="e">
        <f>AND('Large Nonlinear Problem'!B430,"AAAAAD/f2+Q=")</f>
        <v>#VALUE!</v>
      </c>
      <c r="HV59" t="e">
        <f>AND('Large Nonlinear Problem'!C430,"AAAAAD/f2+U=")</f>
        <v>#VALUE!</v>
      </c>
      <c r="HW59" t="e">
        <f>AND('Large Nonlinear Problem'!D430,"AAAAAD/f2+Y=")</f>
        <v>#VALUE!</v>
      </c>
      <c r="HX59" t="e">
        <f>AND('Large Nonlinear Problem'!E430,"AAAAAD/f2+c=")</f>
        <v>#VALUE!</v>
      </c>
      <c r="HY59" t="e">
        <f>AND('Large Nonlinear Problem'!F430,"AAAAAD/f2+g=")</f>
        <v>#VALUE!</v>
      </c>
      <c r="HZ59" t="e">
        <f>AND('Large Nonlinear Problem'!G430,"AAAAAD/f2+k=")</f>
        <v>#VALUE!</v>
      </c>
      <c r="IA59">
        <f>IF('Large Nonlinear Problem'!431:431,"AAAAAD/f2+o=",0)</f>
        <v>0</v>
      </c>
      <c r="IB59" t="e">
        <f>AND('Large Nonlinear Problem'!A431,"AAAAAD/f2+s=")</f>
        <v>#VALUE!</v>
      </c>
      <c r="IC59" t="e">
        <f>AND('Large Nonlinear Problem'!B431,"AAAAAD/f2+w=")</f>
        <v>#VALUE!</v>
      </c>
      <c r="ID59" t="e">
        <f>AND('Large Nonlinear Problem'!C431,"AAAAAD/f2+0=")</f>
        <v>#VALUE!</v>
      </c>
      <c r="IE59" t="e">
        <f>AND('Large Nonlinear Problem'!D431,"AAAAAD/f2+4=")</f>
        <v>#VALUE!</v>
      </c>
      <c r="IF59" t="e">
        <f>AND('Large Nonlinear Problem'!E431,"AAAAAD/f2+8=")</f>
        <v>#VALUE!</v>
      </c>
      <c r="IG59" t="e">
        <f>AND('Large Nonlinear Problem'!F431,"AAAAAD/f2/A=")</f>
        <v>#VALUE!</v>
      </c>
      <c r="IH59" t="e">
        <f>AND('Large Nonlinear Problem'!G431,"AAAAAD/f2/E=")</f>
        <v>#VALUE!</v>
      </c>
      <c r="II59">
        <f>IF('Large Nonlinear Problem'!432:432,"AAAAAD/f2/I=",0)</f>
        <v>0</v>
      </c>
      <c r="IJ59" t="e">
        <f>AND('Large Nonlinear Problem'!A432,"AAAAAD/f2/M=")</f>
        <v>#VALUE!</v>
      </c>
      <c r="IK59" t="e">
        <f>AND('Large Nonlinear Problem'!B432,"AAAAAD/f2/Q=")</f>
        <v>#VALUE!</v>
      </c>
      <c r="IL59" t="e">
        <f>AND('Large Nonlinear Problem'!C432,"AAAAAD/f2/U=")</f>
        <v>#VALUE!</v>
      </c>
      <c r="IM59" t="e">
        <f>AND('Large Nonlinear Problem'!D432,"AAAAAD/f2/Y=")</f>
        <v>#VALUE!</v>
      </c>
      <c r="IN59" t="e">
        <f>AND('Large Nonlinear Problem'!E432,"AAAAAD/f2/c=")</f>
        <v>#VALUE!</v>
      </c>
      <c r="IO59" t="e">
        <f>AND('Large Nonlinear Problem'!F432,"AAAAAD/f2/g=")</f>
        <v>#VALUE!</v>
      </c>
      <c r="IP59" t="e">
        <f>AND('Large Nonlinear Problem'!G432,"AAAAAD/f2/k=")</f>
        <v>#VALUE!</v>
      </c>
      <c r="IQ59">
        <f>IF('Large Nonlinear Problem'!433:433,"AAAAAD/f2/o=",0)</f>
        <v>0</v>
      </c>
      <c r="IR59" t="e">
        <f>AND('Large Nonlinear Problem'!A433,"AAAAAD/f2/s=")</f>
        <v>#VALUE!</v>
      </c>
      <c r="IS59" t="e">
        <f>AND('Large Nonlinear Problem'!B433,"AAAAAD/f2/w=")</f>
        <v>#VALUE!</v>
      </c>
      <c r="IT59" t="e">
        <f>AND('Large Nonlinear Problem'!C433,"AAAAAD/f2/0=")</f>
        <v>#VALUE!</v>
      </c>
      <c r="IU59" t="e">
        <f>AND('Large Nonlinear Problem'!D433,"AAAAAD/f2/4=")</f>
        <v>#VALUE!</v>
      </c>
      <c r="IV59" t="e">
        <f>AND('Large Nonlinear Problem'!E433,"AAAAAD/f2/8=")</f>
        <v>#VALUE!</v>
      </c>
    </row>
    <row r="60" spans="1:256">
      <c r="A60" t="e">
        <f>AND('Large Nonlinear Problem'!F433,"AAAAADnr/wA=")</f>
        <v>#VALUE!</v>
      </c>
      <c r="B60" t="e">
        <f>AND('Large Nonlinear Problem'!G433,"AAAAADnr/wE=")</f>
        <v>#VALUE!</v>
      </c>
      <c r="C60" t="str">
        <f>IF('Large Nonlinear Problem'!434:434,"AAAAADnr/wI=",0)</f>
        <v>AAAAADnr/wI=</v>
      </c>
      <c r="D60" t="e">
        <f>AND('Large Nonlinear Problem'!A434,"AAAAADnr/wM=")</f>
        <v>#VALUE!</v>
      </c>
      <c r="E60" t="e">
        <f>AND('Large Nonlinear Problem'!B434,"AAAAADnr/wQ=")</f>
        <v>#VALUE!</v>
      </c>
      <c r="F60" t="e">
        <f>AND('Large Nonlinear Problem'!C434,"AAAAADnr/wU=")</f>
        <v>#VALUE!</v>
      </c>
      <c r="G60" t="e">
        <f>AND('Large Nonlinear Problem'!D434,"AAAAADnr/wY=")</f>
        <v>#VALUE!</v>
      </c>
      <c r="H60" t="e">
        <f>AND('Large Nonlinear Problem'!E434,"AAAAADnr/wc=")</f>
        <v>#VALUE!</v>
      </c>
      <c r="I60" t="e">
        <f>AND('Large Nonlinear Problem'!F434,"AAAAADnr/wg=")</f>
        <v>#VALUE!</v>
      </c>
      <c r="J60" t="e">
        <f>AND('Large Nonlinear Problem'!G434,"AAAAADnr/wk=")</f>
        <v>#VALUE!</v>
      </c>
      <c r="K60" t="str">
        <f>IF('Large Nonlinear Problem'!435:435,"AAAAADnr/wo=",0)</f>
        <v>AAAAADnr/wo=</v>
      </c>
      <c r="L60" t="e">
        <f>AND('Large Nonlinear Problem'!A435,"AAAAADnr/ws=")</f>
        <v>#VALUE!</v>
      </c>
      <c r="M60" t="e">
        <f>AND('Large Nonlinear Problem'!B435,"AAAAADnr/ww=")</f>
        <v>#VALUE!</v>
      </c>
      <c r="N60" t="e">
        <f>AND('Large Nonlinear Problem'!C435,"AAAAADnr/w0=")</f>
        <v>#VALUE!</v>
      </c>
      <c r="O60" t="e">
        <f>AND('Large Nonlinear Problem'!D435,"AAAAADnr/w4=")</f>
        <v>#VALUE!</v>
      </c>
      <c r="P60" t="e">
        <f>AND('Large Nonlinear Problem'!E435,"AAAAADnr/w8=")</f>
        <v>#VALUE!</v>
      </c>
      <c r="Q60" t="e">
        <f>AND('Large Nonlinear Problem'!F435,"AAAAADnr/xA=")</f>
        <v>#VALUE!</v>
      </c>
      <c r="R60" t="e">
        <f>AND('Large Nonlinear Problem'!G435,"AAAAADnr/xE=")</f>
        <v>#VALUE!</v>
      </c>
      <c r="S60">
        <f>IF('Large Nonlinear Problem'!436:436,"AAAAADnr/xI=",0)</f>
        <v>0</v>
      </c>
      <c r="T60" t="e">
        <f>AND('Large Nonlinear Problem'!A436,"AAAAADnr/xM=")</f>
        <v>#VALUE!</v>
      </c>
      <c r="U60" t="e">
        <f>AND('Large Nonlinear Problem'!B436,"AAAAADnr/xQ=")</f>
        <v>#VALUE!</v>
      </c>
      <c r="V60" t="e">
        <f>AND('Large Nonlinear Problem'!C436,"AAAAADnr/xU=")</f>
        <v>#VALUE!</v>
      </c>
      <c r="W60" t="e">
        <f>AND('Large Nonlinear Problem'!D436,"AAAAADnr/xY=")</f>
        <v>#VALUE!</v>
      </c>
      <c r="X60" t="e">
        <f>AND('Large Nonlinear Problem'!E436,"AAAAADnr/xc=")</f>
        <v>#VALUE!</v>
      </c>
      <c r="Y60" t="e">
        <f>AND('Large Nonlinear Problem'!F436,"AAAAADnr/xg=")</f>
        <v>#VALUE!</v>
      </c>
      <c r="Z60" t="e">
        <f>AND('Large Nonlinear Problem'!G436,"AAAAADnr/xk=")</f>
        <v>#VALUE!</v>
      </c>
      <c r="AA60">
        <f>IF('Large Nonlinear Problem'!437:437,"AAAAADnr/xo=",0)</f>
        <v>0</v>
      </c>
      <c r="AB60" t="e">
        <f>AND('Large Nonlinear Problem'!A437,"AAAAADnr/xs=")</f>
        <v>#VALUE!</v>
      </c>
      <c r="AC60" t="e">
        <f>AND('Large Nonlinear Problem'!B437,"AAAAADnr/xw=")</f>
        <v>#VALUE!</v>
      </c>
      <c r="AD60" t="e">
        <f>AND('Large Nonlinear Problem'!C437,"AAAAADnr/x0=")</f>
        <v>#VALUE!</v>
      </c>
      <c r="AE60" t="e">
        <f>AND('Large Nonlinear Problem'!D437,"AAAAADnr/x4=")</f>
        <v>#VALUE!</v>
      </c>
      <c r="AF60" t="e">
        <f>AND('Large Nonlinear Problem'!E437,"AAAAADnr/x8=")</f>
        <v>#VALUE!</v>
      </c>
      <c r="AG60" t="e">
        <f>AND('Large Nonlinear Problem'!F437,"AAAAADnr/yA=")</f>
        <v>#VALUE!</v>
      </c>
      <c r="AH60" t="e">
        <f>AND('Large Nonlinear Problem'!G437,"AAAAADnr/yE=")</f>
        <v>#VALUE!</v>
      </c>
      <c r="AI60">
        <f>IF('Large Nonlinear Problem'!438:438,"AAAAADnr/yI=",0)</f>
        <v>0</v>
      </c>
      <c r="AJ60" t="e">
        <f>AND('Large Nonlinear Problem'!A438,"AAAAADnr/yM=")</f>
        <v>#VALUE!</v>
      </c>
      <c r="AK60" t="e">
        <f>AND('Large Nonlinear Problem'!B438,"AAAAADnr/yQ=")</f>
        <v>#VALUE!</v>
      </c>
      <c r="AL60" t="e">
        <f>AND('Large Nonlinear Problem'!C438,"AAAAADnr/yU=")</f>
        <v>#VALUE!</v>
      </c>
      <c r="AM60" t="e">
        <f>AND('Large Nonlinear Problem'!D438,"AAAAADnr/yY=")</f>
        <v>#VALUE!</v>
      </c>
      <c r="AN60" t="e">
        <f>AND('Large Nonlinear Problem'!E438,"AAAAADnr/yc=")</f>
        <v>#VALUE!</v>
      </c>
      <c r="AO60" t="e">
        <f>AND('Large Nonlinear Problem'!F438,"AAAAADnr/yg=")</f>
        <v>#VALUE!</v>
      </c>
      <c r="AP60" t="e">
        <f>AND('Large Nonlinear Problem'!G438,"AAAAADnr/yk=")</f>
        <v>#VALUE!</v>
      </c>
      <c r="AQ60">
        <f>IF('Large Nonlinear Problem'!439:439,"AAAAADnr/yo=",0)</f>
        <v>0</v>
      </c>
      <c r="AR60" t="e">
        <f>AND('Large Nonlinear Problem'!A439,"AAAAADnr/ys=")</f>
        <v>#VALUE!</v>
      </c>
      <c r="AS60" t="e">
        <f>AND('Large Nonlinear Problem'!B439,"AAAAADnr/yw=")</f>
        <v>#VALUE!</v>
      </c>
      <c r="AT60" t="e">
        <f>AND('Large Nonlinear Problem'!C439,"AAAAADnr/y0=")</f>
        <v>#VALUE!</v>
      </c>
      <c r="AU60" t="e">
        <f>AND('Large Nonlinear Problem'!D439,"AAAAADnr/y4=")</f>
        <v>#VALUE!</v>
      </c>
      <c r="AV60" t="e">
        <f>AND('Large Nonlinear Problem'!E439,"AAAAADnr/y8=")</f>
        <v>#VALUE!</v>
      </c>
      <c r="AW60" t="e">
        <f>AND('Large Nonlinear Problem'!F439,"AAAAADnr/zA=")</f>
        <v>#VALUE!</v>
      </c>
      <c r="AX60" t="e">
        <f>AND('Large Nonlinear Problem'!G439,"AAAAADnr/zE=")</f>
        <v>#VALUE!</v>
      </c>
      <c r="AY60">
        <f>IF('Large Nonlinear Problem'!440:440,"AAAAADnr/zI=",0)</f>
        <v>0</v>
      </c>
      <c r="AZ60" t="e">
        <f>AND('Large Nonlinear Problem'!A440,"AAAAADnr/zM=")</f>
        <v>#VALUE!</v>
      </c>
      <c r="BA60" t="e">
        <f>AND('Large Nonlinear Problem'!B440,"AAAAADnr/zQ=")</f>
        <v>#VALUE!</v>
      </c>
      <c r="BB60" t="e">
        <f>AND('Large Nonlinear Problem'!C440,"AAAAADnr/zU=")</f>
        <v>#VALUE!</v>
      </c>
      <c r="BC60" t="e">
        <f>AND('Large Nonlinear Problem'!D440,"AAAAADnr/zY=")</f>
        <v>#VALUE!</v>
      </c>
      <c r="BD60" t="e">
        <f>AND('Large Nonlinear Problem'!E440,"AAAAADnr/zc=")</f>
        <v>#VALUE!</v>
      </c>
      <c r="BE60" t="e">
        <f>AND('Large Nonlinear Problem'!F440,"AAAAADnr/zg=")</f>
        <v>#VALUE!</v>
      </c>
      <c r="BF60" t="e">
        <f>AND('Large Nonlinear Problem'!G440,"AAAAADnr/zk=")</f>
        <v>#VALUE!</v>
      </c>
      <c r="BG60">
        <f>IF('Large Nonlinear Problem'!441:441,"AAAAADnr/zo=",0)</f>
        <v>0</v>
      </c>
      <c r="BH60" t="e">
        <f>AND('Large Nonlinear Problem'!A441,"AAAAADnr/zs=")</f>
        <v>#VALUE!</v>
      </c>
      <c r="BI60" t="e">
        <f>AND('Large Nonlinear Problem'!B441,"AAAAADnr/zw=")</f>
        <v>#VALUE!</v>
      </c>
      <c r="BJ60" t="e">
        <f>AND('Large Nonlinear Problem'!C441,"AAAAADnr/z0=")</f>
        <v>#VALUE!</v>
      </c>
      <c r="BK60" t="e">
        <f>AND('Large Nonlinear Problem'!D441,"AAAAADnr/z4=")</f>
        <v>#VALUE!</v>
      </c>
      <c r="BL60" t="e">
        <f>AND('Large Nonlinear Problem'!E441,"AAAAADnr/z8=")</f>
        <v>#VALUE!</v>
      </c>
      <c r="BM60" t="e">
        <f>AND('Large Nonlinear Problem'!F441,"AAAAADnr/0A=")</f>
        <v>#VALUE!</v>
      </c>
      <c r="BN60" t="e">
        <f>AND('Large Nonlinear Problem'!G441,"AAAAADnr/0E=")</f>
        <v>#VALUE!</v>
      </c>
      <c r="BO60">
        <f>IF('Large Nonlinear Problem'!442:442,"AAAAADnr/0I=",0)</f>
        <v>0</v>
      </c>
      <c r="BP60" t="e">
        <f>AND('Large Nonlinear Problem'!A442,"AAAAADnr/0M=")</f>
        <v>#VALUE!</v>
      </c>
      <c r="BQ60" t="e">
        <f>AND('Large Nonlinear Problem'!B442,"AAAAADnr/0Q=")</f>
        <v>#VALUE!</v>
      </c>
      <c r="BR60" t="e">
        <f>AND('Large Nonlinear Problem'!C442,"AAAAADnr/0U=")</f>
        <v>#VALUE!</v>
      </c>
      <c r="BS60" t="e">
        <f>AND('Large Nonlinear Problem'!D442,"AAAAADnr/0Y=")</f>
        <v>#VALUE!</v>
      </c>
      <c r="BT60" t="e">
        <f>AND('Large Nonlinear Problem'!E442,"AAAAADnr/0c=")</f>
        <v>#VALUE!</v>
      </c>
      <c r="BU60" t="e">
        <f>AND('Large Nonlinear Problem'!F442,"AAAAADnr/0g=")</f>
        <v>#VALUE!</v>
      </c>
      <c r="BV60" t="e">
        <f>AND('Large Nonlinear Problem'!G442,"AAAAADnr/0k=")</f>
        <v>#VALUE!</v>
      </c>
      <c r="BW60">
        <f>IF('Large Nonlinear Problem'!443:443,"AAAAADnr/0o=",0)</f>
        <v>0</v>
      </c>
      <c r="BX60" t="e">
        <f>AND('Large Nonlinear Problem'!A443,"AAAAADnr/0s=")</f>
        <v>#VALUE!</v>
      </c>
      <c r="BY60" t="e">
        <f>AND('Large Nonlinear Problem'!B443,"AAAAADnr/0w=")</f>
        <v>#VALUE!</v>
      </c>
      <c r="BZ60" t="e">
        <f>AND('Large Nonlinear Problem'!C443,"AAAAADnr/00=")</f>
        <v>#VALUE!</v>
      </c>
      <c r="CA60" t="e">
        <f>AND('Large Nonlinear Problem'!D443,"AAAAADnr/04=")</f>
        <v>#VALUE!</v>
      </c>
      <c r="CB60" t="e">
        <f>AND('Large Nonlinear Problem'!E443,"AAAAADnr/08=")</f>
        <v>#VALUE!</v>
      </c>
      <c r="CC60" t="e">
        <f>AND('Large Nonlinear Problem'!F443,"AAAAADnr/1A=")</f>
        <v>#VALUE!</v>
      </c>
      <c r="CD60" t="e">
        <f>AND('Large Nonlinear Problem'!G443,"AAAAADnr/1E=")</f>
        <v>#VALUE!</v>
      </c>
      <c r="CE60">
        <f>IF('Large Nonlinear Problem'!444:444,"AAAAADnr/1I=",0)</f>
        <v>0</v>
      </c>
      <c r="CF60" t="e">
        <f>AND('Large Nonlinear Problem'!A444,"AAAAADnr/1M=")</f>
        <v>#VALUE!</v>
      </c>
      <c r="CG60" t="e">
        <f>AND('Large Nonlinear Problem'!B444,"AAAAADnr/1Q=")</f>
        <v>#VALUE!</v>
      </c>
      <c r="CH60" t="e">
        <f>AND('Large Nonlinear Problem'!C444,"AAAAADnr/1U=")</f>
        <v>#VALUE!</v>
      </c>
      <c r="CI60" t="e">
        <f>AND('Large Nonlinear Problem'!D444,"AAAAADnr/1Y=")</f>
        <v>#VALUE!</v>
      </c>
      <c r="CJ60" t="e">
        <f>AND('Large Nonlinear Problem'!E444,"AAAAADnr/1c=")</f>
        <v>#VALUE!</v>
      </c>
      <c r="CK60" t="e">
        <f>AND('Large Nonlinear Problem'!F444,"AAAAADnr/1g=")</f>
        <v>#VALUE!</v>
      </c>
      <c r="CL60" t="e">
        <f>AND('Large Nonlinear Problem'!G444,"AAAAADnr/1k=")</f>
        <v>#VALUE!</v>
      </c>
      <c r="CM60">
        <f>IF('Large Nonlinear Problem'!445:445,"AAAAADnr/1o=",0)</f>
        <v>0</v>
      </c>
      <c r="CN60" t="e">
        <f>AND('Large Nonlinear Problem'!A445,"AAAAADnr/1s=")</f>
        <v>#VALUE!</v>
      </c>
      <c r="CO60" t="e">
        <f>AND('Large Nonlinear Problem'!B445,"AAAAADnr/1w=")</f>
        <v>#VALUE!</v>
      </c>
      <c r="CP60" t="e">
        <f>AND('Large Nonlinear Problem'!C445,"AAAAADnr/10=")</f>
        <v>#VALUE!</v>
      </c>
      <c r="CQ60" t="e">
        <f>AND('Large Nonlinear Problem'!D445,"AAAAADnr/14=")</f>
        <v>#VALUE!</v>
      </c>
      <c r="CR60" t="e">
        <f>AND('Large Nonlinear Problem'!E445,"AAAAADnr/18=")</f>
        <v>#VALUE!</v>
      </c>
      <c r="CS60" t="e">
        <f>AND('Large Nonlinear Problem'!F445,"AAAAADnr/2A=")</f>
        <v>#VALUE!</v>
      </c>
      <c r="CT60" t="e">
        <f>AND('Large Nonlinear Problem'!G445,"AAAAADnr/2E=")</f>
        <v>#VALUE!</v>
      </c>
      <c r="CU60">
        <f>IF('Large Nonlinear Problem'!446:446,"AAAAADnr/2I=",0)</f>
        <v>0</v>
      </c>
      <c r="CV60" t="e">
        <f>AND('Large Nonlinear Problem'!A446,"AAAAADnr/2M=")</f>
        <v>#VALUE!</v>
      </c>
      <c r="CW60" t="e">
        <f>AND('Large Nonlinear Problem'!B446,"AAAAADnr/2Q=")</f>
        <v>#VALUE!</v>
      </c>
      <c r="CX60" t="e">
        <f>AND('Large Nonlinear Problem'!C446,"AAAAADnr/2U=")</f>
        <v>#VALUE!</v>
      </c>
      <c r="CY60" t="e">
        <f>AND('Large Nonlinear Problem'!D446,"AAAAADnr/2Y=")</f>
        <v>#VALUE!</v>
      </c>
      <c r="CZ60" t="e">
        <f>AND('Large Nonlinear Problem'!E446,"AAAAADnr/2c=")</f>
        <v>#VALUE!</v>
      </c>
      <c r="DA60" t="e">
        <f>AND('Large Nonlinear Problem'!F446,"AAAAADnr/2g=")</f>
        <v>#VALUE!</v>
      </c>
      <c r="DB60" t="e">
        <f>AND('Large Nonlinear Problem'!G446,"AAAAADnr/2k=")</f>
        <v>#VALUE!</v>
      </c>
      <c r="DC60">
        <f>IF('Large Nonlinear Problem'!447:447,"AAAAADnr/2o=",0)</f>
        <v>0</v>
      </c>
      <c r="DD60" t="e">
        <f>AND('Large Nonlinear Problem'!A447,"AAAAADnr/2s=")</f>
        <v>#VALUE!</v>
      </c>
      <c r="DE60" t="e">
        <f>AND('Large Nonlinear Problem'!B447,"AAAAADnr/2w=")</f>
        <v>#VALUE!</v>
      </c>
      <c r="DF60" t="e">
        <f>AND('Large Nonlinear Problem'!C447,"AAAAADnr/20=")</f>
        <v>#VALUE!</v>
      </c>
      <c r="DG60" t="e">
        <f>AND('Large Nonlinear Problem'!D447,"AAAAADnr/24=")</f>
        <v>#VALUE!</v>
      </c>
      <c r="DH60" t="e">
        <f>AND('Large Nonlinear Problem'!E447,"AAAAADnr/28=")</f>
        <v>#VALUE!</v>
      </c>
      <c r="DI60" t="e">
        <f>AND('Large Nonlinear Problem'!F447,"AAAAADnr/3A=")</f>
        <v>#VALUE!</v>
      </c>
      <c r="DJ60" t="e">
        <f>AND('Large Nonlinear Problem'!G447,"AAAAADnr/3E=")</f>
        <v>#VALUE!</v>
      </c>
      <c r="DK60">
        <f>IF('Large Nonlinear Problem'!448:448,"AAAAADnr/3I=",0)</f>
        <v>0</v>
      </c>
      <c r="DL60" t="e">
        <f>AND('Large Nonlinear Problem'!A448,"AAAAADnr/3M=")</f>
        <v>#VALUE!</v>
      </c>
      <c r="DM60" t="e">
        <f>AND('Large Nonlinear Problem'!B448,"AAAAADnr/3Q=")</f>
        <v>#VALUE!</v>
      </c>
      <c r="DN60" t="e">
        <f>AND('Large Nonlinear Problem'!C448,"AAAAADnr/3U=")</f>
        <v>#VALUE!</v>
      </c>
      <c r="DO60" t="e">
        <f>AND('Large Nonlinear Problem'!D448,"AAAAADnr/3Y=")</f>
        <v>#VALUE!</v>
      </c>
      <c r="DP60" t="e">
        <f>AND('Large Nonlinear Problem'!E448,"AAAAADnr/3c=")</f>
        <v>#VALUE!</v>
      </c>
      <c r="DQ60" t="e">
        <f>AND('Large Nonlinear Problem'!F448,"AAAAADnr/3g=")</f>
        <v>#VALUE!</v>
      </c>
      <c r="DR60" t="e">
        <f>AND('Large Nonlinear Problem'!G448,"AAAAADnr/3k=")</f>
        <v>#VALUE!</v>
      </c>
      <c r="DS60">
        <f>IF('Large Nonlinear Problem'!449:449,"AAAAADnr/3o=",0)</f>
        <v>0</v>
      </c>
      <c r="DT60" t="e">
        <f>AND('Large Nonlinear Problem'!A449,"AAAAADnr/3s=")</f>
        <v>#VALUE!</v>
      </c>
      <c r="DU60" t="e">
        <f>AND('Large Nonlinear Problem'!B449,"AAAAADnr/3w=")</f>
        <v>#VALUE!</v>
      </c>
      <c r="DV60" t="e">
        <f>AND('Large Nonlinear Problem'!C449,"AAAAADnr/30=")</f>
        <v>#VALUE!</v>
      </c>
      <c r="DW60" t="e">
        <f>AND('Large Nonlinear Problem'!D449,"AAAAADnr/34=")</f>
        <v>#VALUE!</v>
      </c>
      <c r="DX60" t="e">
        <f>AND('Large Nonlinear Problem'!E449,"AAAAADnr/38=")</f>
        <v>#VALUE!</v>
      </c>
      <c r="DY60" t="e">
        <f>AND('Large Nonlinear Problem'!F449,"AAAAADnr/4A=")</f>
        <v>#VALUE!</v>
      </c>
      <c r="DZ60" t="e">
        <f>AND('Large Nonlinear Problem'!G449,"AAAAADnr/4E=")</f>
        <v>#VALUE!</v>
      </c>
      <c r="EA60">
        <f>IF('Large Nonlinear Problem'!450:450,"AAAAADnr/4I=",0)</f>
        <v>0</v>
      </c>
      <c r="EB60" t="e">
        <f>AND('Large Nonlinear Problem'!A450,"AAAAADnr/4M=")</f>
        <v>#VALUE!</v>
      </c>
      <c r="EC60" t="e">
        <f>AND('Large Nonlinear Problem'!B450,"AAAAADnr/4Q=")</f>
        <v>#VALUE!</v>
      </c>
      <c r="ED60" t="e">
        <f>AND('Large Nonlinear Problem'!C450,"AAAAADnr/4U=")</f>
        <v>#VALUE!</v>
      </c>
      <c r="EE60" t="e">
        <f>AND('Large Nonlinear Problem'!D450,"AAAAADnr/4Y=")</f>
        <v>#VALUE!</v>
      </c>
      <c r="EF60" t="e">
        <f>AND('Large Nonlinear Problem'!E450,"AAAAADnr/4c=")</f>
        <v>#VALUE!</v>
      </c>
      <c r="EG60" t="e">
        <f>AND('Large Nonlinear Problem'!F450,"AAAAADnr/4g=")</f>
        <v>#VALUE!</v>
      </c>
      <c r="EH60" t="e">
        <f>AND('Large Nonlinear Problem'!G450,"AAAAADnr/4k=")</f>
        <v>#VALUE!</v>
      </c>
      <c r="EI60">
        <f>IF('Large Nonlinear Problem'!451:451,"AAAAADnr/4o=",0)</f>
        <v>0</v>
      </c>
      <c r="EJ60" t="e">
        <f>AND('Large Nonlinear Problem'!A451,"AAAAADnr/4s=")</f>
        <v>#VALUE!</v>
      </c>
      <c r="EK60" t="e">
        <f>AND('Large Nonlinear Problem'!B451,"AAAAADnr/4w=")</f>
        <v>#VALUE!</v>
      </c>
      <c r="EL60" t="e">
        <f>AND('Large Nonlinear Problem'!C451,"AAAAADnr/40=")</f>
        <v>#VALUE!</v>
      </c>
      <c r="EM60" t="e">
        <f>AND('Large Nonlinear Problem'!D451,"AAAAADnr/44=")</f>
        <v>#VALUE!</v>
      </c>
      <c r="EN60" t="e">
        <f>AND('Large Nonlinear Problem'!E451,"AAAAADnr/48=")</f>
        <v>#VALUE!</v>
      </c>
      <c r="EO60" t="e">
        <f>AND('Large Nonlinear Problem'!F451,"AAAAADnr/5A=")</f>
        <v>#VALUE!</v>
      </c>
      <c r="EP60" t="e">
        <f>AND('Large Nonlinear Problem'!G451,"AAAAADnr/5E=")</f>
        <v>#VALUE!</v>
      </c>
      <c r="EQ60">
        <f>IF('Large Nonlinear Problem'!452:452,"AAAAADnr/5I=",0)</f>
        <v>0</v>
      </c>
      <c r="ER60" t="e">
        <f>AND('Large Nonlinear Problem'!A452,"AAAAADnr/5M=")</f>
        <v>#VALUE!</v>
      </c>
      <c r="ES60" t="e">
        <f>AND('Large Nonlinear Problem'!B452,"AAAAADnr/5Q=")</f>
        <v>#VALUE!</v>
      </c>
      <c r="ET60" t="e">
        <f>AND('Large Nonlinear Problem'!C452,"AAAAADnr/5U=")</f>
        <v>#VALUE!</v>
      </c>
      <c r="EU60" t="e">
        <f>AND('Large Nonlinear Problem'!D452,"AAAAADnr/5Y=")</f>
        <v>#VALUE!</v>
      </c>
      <c r="EV60" t="e">
        <f>AND('Large Nonlinear Problem'!E452,"AAAAADnr/5c=")</f>
        <v>#VALUE!</v>
      </c>
      <c r="EW60" t="e">
        <f>AND('Large Nonlinear Problem'!F452,"AAAAADnr/5g=")</f>
        <v>#VALUE!</v>
      </c>
      <c r="EX60" t="e">
        <f>AND('Large Nonlinear Problem'!G452,"AAAAADnr/5k=")</f>
        <v>#VALUE!</v>
      </c>
      <c r="EY60">
        <f>IF('Large Nonlinear Problem'!453:453,"AAAAADnr/5o=",0)</f>
        <v>0</v>
      </c>
      <c r="EZ60" t="e">
        <f>AND('Large Nonlinear Problem'!A453,"AAAAADnr/5s=")</f>
        <v>#VALUE!</v>
      </c>
      <c r="FA60" t="e">
        <f>AND('Large Nonlinear Problem'!B453,"AAAAADnr/5w=")</f>
        <v>#VALUE!</v>
      </c>
      <c r="FB60" t="e">
        <f>AND('Large Nonlinear Problem'!C453,"AAAAADnr/50=")</f>
        <v>#VALUE!</v>
      </c>
      <c r="FC60" t="e">
        <f>AND('Large Nonlinear Problem'!D453,"AAAAADnr/54=")</f>
        <v>#VALUE!</v>
      </c>
      <c r="FD60" t="e">
        <f>AND('Large Nonlinear Problem'!E453,"AAAAADnr/58=")</f>
        <v>#VALUE!</v>
      </c>
      <c r="FE60" t="e">
        <f>AND('Large Nonlinear Problem'!F453,"AAAAADnr/6A=")</f>
        <v>#VALUE!</v>
      </c>
      <c r="FF60" t="e">
        <f>AND('Large Nonlinear Problem'!G453,"AAAAADnr/6E=")</f>
        <v>#VALUE!</v>
      </c>
      <c r="FG60">
        <f>IF('Large Nonlinear Problem'!454:454,"AAAAADnr/6I=",0)</f>
        <v>0</v>
      </c>
      <c r="FH60" t="e">
        <f>AND('Large Nonlinear Problem'!A454,"AAAAADnr/6M=")</f>
        <v>#VALUE!</v>
      </c>
      <c r="FI60" t="e">
        <f>AND('Large Nonlinear Problem'!B454,"AAAAADnr/6Q=")</f>
        <v>#VALUE!</v>
      </c>
      <c r="FJ60" t="e">
        <f>AND('Large Nonlinear Problem'!C454,"AAAAADnr/6U=")</f>
        <v>#VALUE!</v>
      </c>
      <c r="FK60" t="e">
        <f>AND('Large Nonlinear Problem'!D454,"AAAAADnr/6Y=")</f>
        <v>#VALUE!</v>
      </c>
      <c r="FL60" t="e">
        <f>AND('Large Nonlinear Problem'!E454,"AAAAADnr/6c=")</f>
        <v>#VALUE!</v>
      </c>
      <c r="FM60" t="e">
        <f>AND('Large Nonlinear Problem'!F454,"AAAAADnr/6g=")</f>
        <v>#VALUE!</v>
      </c>
      <c r="FN60" t="e">
        <f>AND('Large Nonlinear Problem'!G454,"AAAAADnr/6k=")</f>
        <v>#VALUE!</v>
      </c>
      <c r="FO60">
        <f>IF('Large Nonlinear Problem'!455:455,"AAAAADnr/6o=",0)</f>
        <v>0</v>
      </c>
      <c r="FP60" t="e">
        <f>AND('Large Nonlinear Problem'!A455,"AAAAADnr/6s=")</f>
        <v>#VALUE!</v>
      </c>
      <c r="FQ60" t="e">
        <f>AND('Large Nonlinear Problem'!B455,"AAAAADnr/6w=")</f>
        <v>#VALUE!</v>
      </c>
      <c r="FR60" t="e">
        <f>AND('Large Nonlinear Problem'!C455,"AAAAADnr/60=")</f>
        <v>#VALUE!</v>
      </c>
      <c r="FS60" t="e">
        <f>AND('Large Nonlinear Problem'!D455,"AAAAADnr/64=")</f>
        <v>#VALUE!</v>
      </c>
      <c r="FT60" t="e">
        <f>AND('Large Nonlinear Problem'!E455,"AAAAADnr/68=")</f>
        <v>#VALUE!</v>
      </c>
      <c r="FU60" t="e">
        <f>AND('Large Nonlinear Problem'!F455,"AAAAADnr/7A=")</f>
        <v>#VALUE!</v>
      </c>
      <c r="FV60" t="e">
        <f>AND('Large Nonlinear Problem'!G455,"AAAAADnr/7E=")</f>
        <v>#VALUE!</v>
      </c>
      <c r="FW60">
        <f>IF('Large Nonlinear Problem'!456:456,"AAAAADnr/7I=",0)</f>
        <v>0</v>
      </c>
      <c r="FX60" t="e">
        <f>AND('Large Nonlinear Problem'!A456,"AAAAADnr/7M=")</f>
        <v>#VALUE!</v>
      </c>
      <c r="FY60" t="e">
        <f>AND('Large Nonlinear Problem'!B456,"AAAAADnr/7Q=")</f>
        <v>#VALUE!</v>
      </c>
      <c r="FZ60" t="e">
        <f>AND('Large Nonlinear Problem'!C456,"AAAAADnr/7U=")</f>
        <v>#VALUE!</v>
      </c>
      <c r="GA60" t="e">
        <f>AND('Large Nonlinear Problem'!D456,"AAAAADnr/7Y=")</f>
        <v>#VALUE!</v>
      </c>
      <c r="GB60" t="e">
        <f>AND('Large Nonlinear Problem'!E456,"AAAAADnr/7c=")</f>
        <v>#VALUE!</v>
      </c>
      <c r="GC60" t="e">
        <f>AND('Large Nonlinear Problem'!F456,"AAAAADnr/7g=")</f>
        <v>#VALUE!</v>
      </c>
      <c r="GD60" t="e">
        <f>AND('Large Nonlinear Problem'!G456,"AAAAADnr/7k=")</f>
        <v>#VALUE!</v>
      </c>
      <c r="GE60">
        <f>IF('Large Nonlinear Problem'!457:457,"AAAAADnr/7o=",0)</f>
        <v>0</v>
      </c>
      <c r="GF60" t="e">
        <f>AND('Large Nonlinear Problem'!A457,"AAAAADnr/7s=")</f>
        <v>#VALUE!</v>
      </c>
      <c r="GG60" t="e">
        <f>AND('Large Nonlinear Problem'!B457,"AAAAADnr/7w=")</f>
        <v>#VALUE!</v>
      </c>
      <c r="GH60" t="e">
        <f>AND('Large Nonlinear Problem'!C457,"AAAAADnr/70=")</f>
        <v>#VALUE!</v>
      </c>
      <c r="GI60" t="e">
        <f>AND('Large Nonlinear Problem'!D457,"AAAAADnr/74=")</f>
        <v>#VALUE!</v>
      </c>
      <c r="GJ60" t="e">
        <f>AND('Large Nonlinear Problem'!E457,"AAAAADnr/78=")</f>
        <v>#VALUE!</v>
      </c>
      <c r="GK60" t="e">
        <f>AND('Large Nonlinear Problem'!F457,"AAAAADnr/8A=")</f>
        <v>#VALUE!</v>
      </c>
      <c r="GL60" t="e">
        <f>AND('Large Nonlinear Problem'!G457,"AAAAADnr/8E=")</f>
        <v>#VALUE!</v>
      </c>
      <c r="GM60">
        <f>IF('Large Nonlinear Problem'!458:458,"AAAAADnr/8I=",0)</f>
        <v>0</v>
      </c>
      <c r="GN60" t="e">
        <f>AND('Large Nonlinear Problem'!A458,"AAAAADnr/8M=")</f>
        <v>#VALUE!</v>
      </c>
      <c r="GO60" t="e">
        <f>AND('Large Nonlinear Problem'!B458,"AAAAADnr/8Q=")</f>
        <v>#VALUE!</v>
      </c>
      <c r="GP60" t="e">
        <f>AND('Large Nonlinear Problem'!C458,"AAAAADnr/8U=")</f>
        <v>#VALUE!</v>
      </c>
      <c r="GQ60" t="e">
        <f>AND('Large Nonlinear Problem'!D458,"AAAAADnr/8Y=")</f>
        <v>#VALUE!</v>
      </c>
      <c r="GR60" t="e">
        <f>AND('Large Nonlinear Problem'!E458,"AAAAADnr/8c=")</f>
        <v>#VALUE!</v>
      </c>
      <c r="GS60" t="e">
        <f>AND('Large Nonlinear Problem'!F458,"AAAAADnr/8g=")</f>
        <v>#VALUE!</v>
      </c>
      <c r="GT60" t="e">
        <f>AND('Large Nonlinear Problem'!G458,"AAAAADnr/8k=")</f>
        <v>#VALUE!</v>
      </c>
      <c r="GU60">
        <f>IF('Large Nonlinear Problem'!459:459,"AAAAADnr/8o=",0)</f>
        <v>0</v>
      </c>
      <c r="GV60" t="e">
        <f>AND('Large Nonlinear Problem'!A459,"AAAAADnr/8s=")</f>
        <v>#VALUE!</v>
      </c>
      <c r="GW60" t="e">
        <f>AND('Large Nonlinear Problem'!B459,"AAAAADnr/8w=")</f>
        <v>#VALUE!</v>
      </c>
      <c r="GX60" t="e">
        <f>AND('Large Nonlinear Problem'!C459,"AAAAADnr/80=")</f>
        <v>#VALUE!</v>
      </c>
      <c r="GY60" t="e">
        <f>AND('Large Nonlinear Problem'!D459,"AAAAADnr/84=")</f>
        <v>#VALUE!</v>
      </c>
      <c r="GZ60" t="e">
        <f>AND('Large Nonlinear Problem'!E459,"AAAAADnr/88=")</f>
        <v>#VALUE!</v>
      </c>
      <c r="HA60" t="e">
        <f>AND('Large Nonlinear Problem'!F459,"AAAAADnr/9A=")</f>
        <v>#VALUE!</v>
      </c>
      <c r="HB60" t="e">
        <f>AND('Large Nonlinear Problem'!G459,"AAAAADnr/9E=")</f>
        <v>#VALUE!</v>
      </c>
      <c r="HC60">
        <f>IF('Large Nonlinear Problem'!460:460,"AAAAADnr/9I=",0)</f>
        <v>0</v>
      </c>
      <c r="HD60" t="e">
        <f>AND('Large Nonlinear Problem'!A460,"AAAAADnr/9M=")</f>
        <v>#VALUE!</v>
      </c>
      <c r="HE60" t="e">
        <f>AND('Large Nonlinear Problem'!B460,"AAAAADnr/9Q=")</f>
        <v>#VALUE!</v>
      </c>
      <c r="HF60" t="e">
        <f>AND('Large Nonlinear Problem'!C460,"AAAAADnr/9U=")</f>
        <v>#VALUE!</v>
      </c>
      <c r="HG60" t="e">
        <f>AND('Large Nonlinear Problem'!D460,"AAAAADnr/9Y=")</f>
        <v>#VALUE!</v>
      </c>
      <c r="HH60" t="e">
        <f>AND('Large Nonlinear Problem'!E460,"AAAAADnr/9c=")</f>
        <v>#VALUE!</v>
      </c>
      <c r="HI60" t="e">
        <f>AND('Large Nonlinear Problem'!F460,"AAAAADnr/9g=")</f>
        <v>#VALUE!</v>
      </c>
      <c r="HJ60" t="e">
        <f>AND('Large Nonlinear Problem'!G460,"AAAAADnr/9k=")</f>
        <v>#VALUE!</v>
      </c>
      <c r="HK60">
        <f>IF('Large Nonlinear Problem'!461:461,"AAAAADnr/9o=",0)</f>
        <v>0</v>
      </c>
      <c r="HL60" t="e">
        <f>AND('Large Nonlinear Problem'!A461,"AAAAADnr/9s=")</f>
        <v>#VALUE!</v>
      </c>
      <c r="HM60" t="e">
        <f>AND('Large Nonlinear Problem'!B461,"AAAAADnr/9w=")</f>
        <v>#VALUE!</v>
      </c>
      <c r="HN60" t="e">
        <f>AND('Large Nonlinear Problem'!C461,"AAAAADnr/90=")</f>
        <v>#VALUE!</v>
      </c>
      <c r="HO60" t="e">
        <f>AND('Large Nonlinear Problem'!D461,"AAAAADnr/94=")</f>
        <v>#VALUE!</v>
      </c>
      <c r="HP60" t="e">
        <f>AND('Large Nonlinear Problem'!E461,"AAAAADnr/98=")</f>
        <v>#VALUE!</v>
      </c>
      <c r="HQ60" t="e">
        <f>AND('Large Nonlinear Problem'!F461,"AAAAADnr/+A=")</f>
        <v>#VALUE!</v>
      </c>
      <c r="HR60" t="e">
        <f>AND('Large Nonlinear Problem'!G461,"AAAAADnr/+E=")</f>
        <v>#VALUE!</v>
      </c>
      <c r="HS60">
        <f>IF('Large Nonlinear Problem'!462:462,"AAAAADnr/+I=",0)</f>
        <v>0</v>
      </c>
      <c r="HT60" t="e">
        <f>AND('Large Nonlinear Problem'!A462,"AAAAADnr/+M=")</f>
        <v>#VALUE!</v>
      </c>
      <c r="HU60" t="e">
        <f>AND('Large Nonlinear Problem'!B462,"AAAAADnr/+Q=")</f>
        <v>#VALUE!</v>
      </c>
      <c r="HV60" t="e">
        <f>AND('Large Nonlinear Problem'!C462,"AAAAADnr/+U=")</f>
        <v>#VALUE!</v>
      </c>
      <c r="HW60" t="e">
        <f>AND('Large Nonlinear Problem'!D462,"AAAAADnr/+Y=")</f>
        <v>#VALUE!</v>
      </c>
      <c r="HX60" t="e">
        <f>AND('Large Nonlinear Problem'!E462,"AAAAADnr/+c=")</f>
        <v>#VALUE!</v>
      </c>
      <c r="HY60" t="e">
        <f>AND('Large Nonlinear Problem'!F462,"AAAAADnr/+g=")</f>
        <v>#VALUE!</v>
      </c>
      <c r="HZ60" t="e">
        <f>AND('Large Nonlinear Problem'!G462,"AAAAADnr/+k=")</f>
        <v>#VALUE!</v>
      </c>
      <c r="IA60">
        <f>IF('Large Nonlinear Problem'!463:463,"AAAAADnr/+o=",0)</f>
        <v>0</v>
      </c>
      <c r="IB60" t="e">
        <f>AND('Large Nonlinear Problem'!A463,"AAAAADnr/+s=")</f>
        <v>#VALUE!</v>
      </c>
      <c r="IC60" t="e">
        <f>AND('Large Nonlinear Problem'!B463,"AAAAADnr/+w=")</f>
        <v>#VALUE!</v>
      </c>
      <c r="ID60" t="e">
        <f>AND('Large Nonlinear Problem'!C463,"AAAAADnr/+0=")</f>
        <v>#VALUE!</v>
      </c>
      <c r="IE60" t="e">
        <f>AND('Large Nonlinear Problem'!D463,"AAAAADnr/+4=")</f>
        <v>#VALUE!</v>
      </c>
      <c r="IF60" t="e">
        <f>AND('Large Nonlinear Problem'!E463,"AAAAADnr/+8=")</f>
        <v>#VALUE!</v>
      </c>
      <c r="IG60" t="e">
        <f>AND('Large Nonlinear Problem'!F463,"AAAAADnr//A=")</f>
        <v>#VALUE!</v>
      </c>
      <c r="IH60" t="e">
        <f>AND('Large Nonlinear Problem'!G463,"AAAAADnr//E=")</f>
        <v>#VALUE!</v>
      </c>
      <c r="II60">
        <f>IF('Large Nonlinear Problem'!464:464,"AAAAADnr//I=",0)</f>
        <v>0</v>
      </c>
      <c r="IJ60" t="e">
        <f>AND('Large Nonlinear Problem'!A464,"AAAAADnr//M=")</f>
        <v>#VALUE!</v>
      </c>
      <c r="IK60" t="e">
        <f>AND('Large Nonlinear Problem'!B464,"AAAAADnr//Q=")</f>
        <v>#VALUE!</v>
      </c>
      <c r="IL60" t="e">
        <f>AND('Large Nonlinear Problem'!C464,"AAAAADnr//U=")</f>
        <v>#VALUE!</v>
      </c>
      <c r="IM60" t="e">
        <f>AND('Large Nonlinear Problem'!D464,"AAAAADnr//Y=")</f>
        <v>#VALUE!</v>
      </c>
      <c r="IN60" t="e">
        <f>AND('Large Nonlinear Problem'!E464,"AAAAADnr//c=")</f>
        <v>#VALUE!</v>
      </c>
      <c r="IO60" t="e">
        <f>AND('Large Nonlinear Problem'!F464,"AAAAADnr//g=")</f>
        <v>#VALUE!</v>
      </c>
      <c r="IP60" t="e">
        <f>AND('Large Nonlinear Problem'!G464,"AAAAADnr//k=")</f>
        <v>#VALUE!</v>
      </c>
      <c r="IQ60">
        <f>IF('Large Nonlinear Problem'!465:465,"AAAAADnr//o=",0)</f>
        <v>0</v>
      </c>
      <c r="IR60" t="e">
        <f>AND('Large Nonlinear Problem'!A465,"AAAAADnr//s=")</f>
        <v>#VALUE!</v>
      </c>
      <c r="IS60" t="e">
        <f>AND('Large Nonlinear Problem'!B465,"AAAAADnr//w=")</f>
        <v>#VALUE!</v>
      </c>
      <c r="IT60" t="e">
        <f>AND('Large Nonlinear Problem'!C465,"AAAAADnr//0=")</f>
        <v>#VALUE!</v>
      </c>
      <c r="IU60" t="e">
        <f>AND('Large Nonlinear Problem'!D465,"AAAAADnr//4=")</f>
        <v>#VALUE!</v>
      </c>
      <c r="IV60" t="e">
        <f>AND('Large Nonlinear Problem'!E465,"AAAAADnr//8=")</f>
        <v>#VALUE!</v>
      </c>
    </row>
    <row r="61" spans="1:256">
      <c r="A61" t="e">
        <f>AND('Large Nonlinear Problem'!F465,"AAAAAD+2fQA=")</f>
        <v>#VALUE!</v>
      </c>
      <c r="B61" t="e">
        <f>AND('Large Nonlinear Problem'!G465,"AAAAAD+2fQE=")</f>
        <v>#VALUE!</v>
      </c>
      <c r="C61" t="str">
        <f>IF('Large Nonlinear Problem'!466:466,"AAAAAD+2fQI=",0)</f>
        <v>AAAAAD+2fQI=</v>
      </c>
      <c r="D61" t="e">
        <f>AND('Large Nonlinear Problem'!A466,"AAAAAD+2fQM=")</f>
        <v>#VALUE!</v>
      </c>
      <c r="E61" t="e">
        <f>AND('Large Nonlinear Problem'!B466,"AAAAAD+2fQQ=")</f>
        <v>#VALUE!</v>
      </c>
      <c r="F61" t="e">
        <f>AND('Large Nonlinear Problem'!C466,"AAAAAD+2fQU=")</f>
        <v>#VALUE!</v>
      </c>
      <c r="G61" t="e">
        <f>AND('Large Nonlinear Problem'!D466,"AAAAAD+2fQY=")</f>
        <v>#VALUE!</v>
      </c>
      <c r="H61" t="e">
        <f>AND('Large Nonlinear Problem'!E466,"AAAAAD+2fQc=")</f>
        <v>#VALUE!</v>
      </c>
      <c r="I61" t="e">
        <f>AND('Large Nonlinear Problem'!F466,"AAAAAD+2fQg=")</f>
        <v>#VALUE!</v>
      </c>
      <c r="J61" t="e">
        <f>AND('Large Nonlinear Problem'!G466,"AAAAAD+2fQk=")</f>
        <v>#VALUE!</v>
      </c>
      <c r="K61">
        <f>IF('Large Nonlinear Problem'!467:467,"AAAAAD+2fQo=",0)</f>
        <v>0</v>
      </c>
      <c r="L61" t="e">
        <f>AND('Large Nonlinear Problem'!A467,"AAAAAD+2fQs=")</f>
        <v>#VALUE!</v>
      </c>
      <c r="M61" t="e">
        <f>AND('Large Nonlinear Problem'!B467,"AAAAAD+2fQw=")</f>
        <v>#VALUE!</v>
      </c>
      <c r="N61" t="e">
        <f>AND('Large Nonlinear Problem'!C467,"AAAAAD+2fQ0=")</f>
        <v>#VALUE!</v>
      </c>
      <c r="O61" t="e">
        <f>AND('Large Nonlinear Problem'!D467,"AAAAAD+2fQ4=")</f>
        <v>#VALUE!</v>
      </c>
      <c r="P61" t="e">
        <f>AND('Large Nonlinear Problem'!E467,"AAAAAD+2fQ8=")</f>
        <v>#VALUE!</v>
      </c>
      <c r="Q61" t="e">
        <f>AND('Large Nonlinear Problem'!F467,"AAAAAD+2fRA=")</f>
        <v>#VALUE!</v>
      </c>
      <c r="R61" t="e">
        <f>AND('Large Nonlinear Problem'!G467,"AAAAAD+2fRE=")</f>
        <v>#VALUE!</v>
      </c>
      <c r="S61">
        <f>IF('Large Nonlinear Problem'!468:468,"AAAAAD+2fRI=",0)</f>
        <v>0</v>
      </c>
      <c r="T61" t="e">
        <f>AND('Large Nonlinear Problem'!A468,"AAAAAD+2fRM=")</f>
        <v>#VALUE!</v>
      </c>
      <c r="U61" t="e">
        <f>AND('Large Nonlinear Problem'!B468,"AAAAAD+2fRQ=")</f>
        <v>#VALUE!</v>
      </c>
      <c r="V61" t="e">
        <f>AND('Large Nonlinear Problem'!C468,"AAAAAD+2fRU=")</f>
        <v>#VALUE!</v>
      </c>
      <c r="W61" t="e">
        <f>AND('Large Nonlinear Problem'!D468,"AAAAAD+2fRY=")</f>
        <v>#VALUE!</v>
      </c>
      <c r="X61" t="e">
        <f>AND('Large Nonlinear Problem'!E468,"AAAAAD+2fRc=")</f>
        <v>#VALUE!</v>
      </c>
      <c r="Y61" t="e">
        <f>AND('Large Nonlinear Problem'!F468,"AAAAAD+2fRg=")</f>
        <v>#VALUE!</v>
      </c>
      <c r="Z61" t="e">
        <f>AND('Large Nonlinear Problem'!G468,"AAAAAD+2fRk=")</f>
        <v>#VALUE!</v>
      </c>
      <c r="AA61">
        <f>IF('Large Nonlinear Problem'!469:469,"AAAAAD+2fRo=",0)</f>
        <v>0</v>
      </c>
      <c r="AB61" t="e">
        <f>AND('Large Nonlinear Problem'!A469,"AAAAAD+2fRs=")</f>
        <v>#VALUE!</v>
      </c>
      <c r="AC61" t="e">
        <f>AND('Large Nonlinear Problem'!B469,"AAAAAD+2fRw=")</f>
        <v>#VALUE!</v>
      </c>
      <c r="AD61" t="e">
        <f>AND('Large Nonlinear Problem'!C469,"AAAAAD+2fR0=")</f>
        <v>#VALUE!</v>
      </c>
      <c r="AE61" t="e">
        <f>AND('Large Nonlinear Problem'!D469,"AAAAAD+2fR4=")</f>
        <v>#VALUE!</v>
      </c>
      <c r="AF61" t="e">
        <f>AND('Large Nonlinear Problem'!E469,"AAAAAD+2fR8=")</f>
        <v>#VALUE!</v>
      </c>
      <c r="AG61" t="e">
        <f>AND('Large Nonlinear Problem'!F469,"AAAAAD+2fSA=")</f>
        <v>#VALUE!</v>
      </c>
      <c r="AH61" t="e">
        <f>AND('Large Nonlinear Problem'!G469,"AAAAAD+2fSE=")</f>
        <v>#VALUE!</v>
      </c>
      <c r="AI61">
        <f>IF('Large Nonlinear Problem'!470:470,"AAAAAD+2fSI=",0)</f>
        <v>0</v>
      </c>
      <c r="AJ61" t="e">
        <f>AND('Large Nonlinear Problem'!A470,"AAAAAD+2fSM=")</f>
        <v>#VALUE!</v>
      </c>
      <c r="AK61" t="e">
        <f>AND('Large Nonlinear Problem'!B470,"AAAAAD+2fSQ=")</f>
        <v>#VALUE!</v>
      </c>
      <c r="AL61" t="e">
        <f>AND('Large Nonlinear Problem'!C470,"AAAAAD+2fSU=")</f>
        <v>#VALUE!</v>
      </c>
      <c r="AM61" t="e">
        <f>AND('Large Nonlinear Problem'!D470,"AAAAAD+2fSY=")</f>
        <v>#VALUE!</v>
      </c>
      <c r="AN61" t="e">
        <f>AND('Large Nonlinear Problem'!E470,"AAAAAD+2fSc=")</f>
        <v>#VALUE!</v>
      </c>
      <c r="AO61" t="e">
        <f>AND('Large Nonlinear Problem'!F470,"AAAAAD+2fSg=")</f>
        <v>#VALUE!</v>
      </c>
      <c r="AP61" t="e">
        <f>AND('Large Nonlinear Problem'!G470,"AAAAAD+2fSk=")</f>
        <v>#VALUE!</v>
      </c>
      <c r="AQ61">
        <f>IF('Large Nonlinear Problem'!471:471,"AAAAAD+2fSo=",0)</f>
        <v>0</v>
      </c>
      <c r="AR61" t="e">
        <f>AND('Large Nonlinear Problem'!A471,"AAAAAD+2fSs=")</f>
        <v>#VALUE!</v>
      </c>
      <c r="AS61" t="e">
        <f>AND('Large Nonlinear Problem'!B471,"AAAAAD+2fSw=")</f>
        <v>#VALUE!</v>
      </c>
      <c r="AT61" t="e">
        <f>AND('Large Nonlinear Problem'!C471,"AAAAAD+2fS0=")</f>
        <v>#VALUE!</v>
      </c>
      <c r="AU61" t="e">
        <f>AND('Large Nonlinear Problem'!D471,"AAAAAD+2fS4=")</f>
        <v>#VALUE!</v>
      </c>
      <c r="AV61" t="e">
        <f>AND('Large Nonlinear Problem'!E471,"AAAAAD+2fS8=")</f>
        <v>#VALUE!</v>
      </c>
      <c r="AW61" t="e">
        <f>AND('Large Nonlinear Problem'!F471,"AAAAAD+2fTA=")</f>
        <v>#VALUE!</v>
      </c>
      <c r="AX61" t="e">
        <f>AND('Large Nonlinear Problem'!G471,"AAAAAD+2fTE=")</f>
        <v>#VALUE!</v>
      </c>
      <c r="AY61">
        <f>IF('Large Nonlinear Problem'!472:472,"AAAAAD+2fTI=",0)</f>
        <v>0</v>
      </c>
      <c r="AZ61" t="e">
        <f>AND('Large Nonlinear Problem'!A472,"AAAAAD+2fTM=")</f>
        <v>#VALUE!</v>
      </c>
      <c r="BA61" t="e">
        <f>AND('Large Nonlinear Problem'!B472,"AAAAAD+2fTQ=")</f>
        <v>#VALUE!</v>
      </c>
      <c r="BB61" t="e">
        <f>AND('Large Nonlinear Problem'!C472,"AAAAAD+2fTU=")</f>
        <v>#VALUE!</v>
      </c>
      <c r="BC61" t="e">
        <f>AND('Large Nonlinear Problem'!D472,"AAAAAD+2fTY=")</f>
        <v>#VALUE!</v>
      </c>
      <c r="BD61" t="e">
        <f>AND('Large Nonlinear Problem'!E472,"AAAAAD+2fTc=")</f>
        <v>#VALUE!</v>
      </c>
      <c r="BE61" t="e">
        <f>AND('Large Nonlinear Problem'!F472,"AAAAAD+2fTg=")</f>
        <v>#VALUE!</v>
      </c>
      <c r="BF61" t="e">
        <f>AND('Large Nonlinear Problem'!G472,"AAAAAD+2fTk=")</f>
        <v>#VALUE!</v>
      </c>
      <c r="BG61">
        <f>IF('Large Nonlinear Problem'!473:473,"AAAAAD+2fTo=",0)</f>
        <v>0</v>
      </c>
      <c r="BH61" t="e">
        <f>AND('Large Nonlinear Problem'!A473,"AAAAAD+2fTs=")</f>
        <v>#VALUE!</v>
      </c>
      <c r="BI61" t="e">
        <f>AND('Large Nonlinear Problem'!B473,"AAAAAD+2fTw=")</f>
        <v>#VALUE!</v>
      </c>
      <c r="BJ61" t="e">
        <f>AND('Large Nonlinear Problem'!C473,"AAAAAD+2fT0=")</f>
        <v>#VALUE!</v>
      </c>
      <c r="BK61" t="e">
        <f>AND('Large Nonlinear Problem'!D473,"AAAAAD+2fT4=")</f>
        <v>#VALUE!</v>
      </c>
      <c r="BL61" t="e">
        <f>AND('Large Nonlinear Problem'!E473,"AAAAAD+2fT8=")</f>
        <v>#VALUE!</v>
      </c>
      <c r="BM61" t="e">
        <f>AND('Large Nonlinear Problem'!F473,"AAAAAD+2fUA=")</f>
        <v>#VALUE!</v>
      </c>
      <c r="BN61" t="e">
        <f>AND('Large Nonlinear Problem'!G473,"AAAAAD+2fUE=")</f>
        <v>#VALUE!</v>
      </c>
      <c r="BO61">
        <f>IF('Large Nonlinear Problem'!474:474,"AAAAAD+2fUI=",0)</f>
        <v>0</v>
      </c>
      <c r="BP61" t="e">
        <f>AND('Large Nonlinear Problem'!A474,"AAAAAD+2fUM=")</f>
        <v>#VALUE!</v>
      </c>
      <c r="BQ61" t="e">
        <f>AND('Large Nonlinear Problem'!B474,"AAAAAD+2fUQ=")</f>
        <v>#VALUE!</v>
      </c>
      <c r="BR61" t="e">
        <f>AND('Large Nonlinear Problem'!C474,"AAAAAD+2fUU=")</f>
        <v>#VALUE!</v>
      </c>
      <c r="BS61" t="e">
        <f>AND('Large Nonlinear Problem'!D474,"AAAAAD+2fUY=")</f>
        <v>#VALUE!</v>
      </c>
      <c r="BT61" t="e">
        <f>AND('Large Nonlinear Problem'!E474,"AAAAAD+2fUc=")</f>
        <v>#VALUE!</v>
      </c>
      <c r="BU61" t="e">
        <f>AND('Large Nonlinear Problem'!F474,"AAAAAD+2fUg=")</f>
        <v>#VALUE!</v>
      </c>
      <c r="BV61" t="e">
        <f>AND('Large Nonlinear Problem'!G474,"AAAAAD+2fUk=")</f>
        <v>#VALUE!</v>
      </c>
      <c r="BW61">
        <f>IF('Large Nonlinear Problem'!475:475,"AAAAAD+2fUo=",0)</f>
        <v>0</v>
      </c>
      <c r="BX61" t="e">
        <f>AND('Large Nonlinear Problem'!A475,"AAAAAD+2fUs=")</f>
        <v>#VALUE!</v>
      </c>
      <c r="BY61" t="e">
        <f>AND('Large Nonlinear Problem'!B475,"AAAAAD+2fUw=")</f>
        <v>#VALUE!</v>
      </c>
      <c r="BZ61" t="e">
        <f>AND('Large Nonlinear Problem'!C475,"AAAAAD+2fU0=")</f>
        <v>#VALUE!</v>
      </c>
      <c r="CA61" t="e">
        <f>AND('Large Nonlinear Problem'!D475,"AAAAAD+2fU4=")</f>
        <v>#VALUE!</v>
      </c>
      <c r="CB61" t="e">
        <f>AND('Large Nonlinear Problem'!E475,"AAAAAD+2fU8=")</f>
        <v>#VALUE!</v>
      </c>
      <c r="CC61" t="e">
        <f>AND('Large Nonlinear Problem'!F475,"AAAAAD+2fVA=")</f>
        <v>#VALUE!</v>
      </c>
      <c r="CD61" t="e">
        <f>AND('Large Nonlinear Problem'!G475,"AAAAAD+2fVE=")</f>
        <v>#VALUE!</v>
      </c>
      <c r="CE61">
        <f>IF('Large Nonlinear Problem'!476:476,"AAAAAD+2fVI=",0)</f>
        <v>0</v>
      </c>
      <c r="CF61" t="e">
        <f>AND('Large Nonlinear Problem'!A476,"AAAAAD+2fVM=")</f>
        <v>#VALUE!</v>
      </c>
      <c r="CG61" t="e">
        <f>AND('Large Nonlinear Problem'!B476,"AAAAAD+2fVQ=")</f>
        <v>#VALUE!</v>
      </c>
      <c r="CH61" t="e">
        <f>AND('Large Nonlinear Problem'!C476,"AAAAAD+2fVU=")</f>
        <v>#VALUE!</v>
      </c>
      <c r="CI61" t="e">
        <f>AND('Large Nonlinear Problem'!D476,"AAAAAD+2fVY=")</f>
        <v>#VALUE!</v>
      </c>
      <c r="CJ61" t="e">
        <f>AND('Large Nonlinear Problem'!E476,"AAAAAD+2fVc=")</f>
        <v>#VALUE!</v>
      </c>
      <c r="CK61" t="e">
        <f>AND('Large Nonlinear Problem'!F476,"AAAAAD+2fVg=")</f>
        <v>#VALUE!</v>
      </c>
      <c r="CL61" t="e">
        <f>AND('Large Nonlinear Problem'!G476,"AAAAAD+2fVk=")</f>
        <v>#VALUE!</v>
      </c>
      <c r="CM61">
        <f>IF('Large Nonlinear Problem'!477:477,"AAAAAD+2fVo=",0)</f>
        <v>0</v>
      </c>
      <c r="CN61" t="e">
        <f>AND('Large Nonlinear Problem'!A477,"AAAAAD+2fVs=")</f>
        <v>#VALUE!</v>
      </c>
      <c r="CO61" t="e">
        <f>AND('Large Nonlinear Problem'!B477,"AAAAAD+2fVw=")</f>
        <v>#VALUE!</v>
      </c>
      <c r="CP61" t="e">
        <f>AND('Large Nonlinear Problem'!C477,"AAAAAD+2fV0=")</f>
        <v>#VALUE!</v>
      </c>
      <c r="CQ61" t="e">
        <f>AND('Large Nonlinear Problem'!D477,"AAAAAD+2fV4=")</f>
        <v>#VALUE!</v>
      </c>
      <c r="CR61" t="e">
        <f>AND('Large Nonlinear Problem'!E477,"AAAAAD+2fV8=")</f>
        <v>#VALUE!</v>
      </c>
      <c r="CS61" t="e">
        <f>AND('Large Nonlinear Problem'!F477,"AAAAAD+2fWA=")</f>
        <v>#VALUE!</v>
      </c>
      <c r="CT61" t="e">
        <f>AND('Large Nonlinear Problem'!G477,"AAAAAD+2fWE=")</f>
        <v>#VALUE!</v>
      </c>
      <c r="CU61">
        <f>IF('Large Nonlinear Problem'!478:478,"AAAAAD+2fWI=",0)</f>
        <v>0</v>
      </c>
      <c r="CV61" t="e">
        <f>AND('Large Nonlinear Problem'!A478,"AAAAAD+2fWM=")</f>
        <v>#VALUE!</v>
      </c>
      <c r="CW61" t="e">
        <f>AND('Large Nonlinear Problem'!B478,"AAAAAD+2fWQ=")</f>
        <v>#VALUE!</v>
      </c>
      <c r="CX61" t="e">
        <f>AND('Large Nonlinear Problem'!C478,"AAAAAD+2fWU=")</f>
        <v>#VALUE!</v>
      </c>
      <c r="CY61" t="e">
        <f>AND('Large Nonlinear Problem'!D478,"AAAAAD+2fWY=")</f>
        <v>#VALUE!</v>
      </c>
      <c r="CZ61" t="e">
        <f>AND('Large Nonlinear Problem'!E478,"AAAAAD+2fWc=")</f>
        <v>#VALUE!</v>
      </c>
      <c r="DA61" t="e">
        <f>AND('Large Nonlinear Problem'!F478,"AAAAAD+2fWg=")</f>
        <v>#VALUE!</v>
      </c>
      <c r="DB61" t="e">
        <f>AND('Large Nonlinear Problem'!G478,"AAAAAD+2fWk=")</f>
        <v>#VALUE!</v>
      </c>
      <c r="DC61">
        <f>IF('Large Nonlinear Problem'!479:479,"AAAAAD+2fWo=",0)</f>
        <v>0</v>
      </c>
      <c r="DD61" t="e">
        <f>AND('Large Nonlinear Problem'!A479,"AAAAAD+2fWs=")</f>
        <v>#VALUE!</v>
      </c>
      <c r="DE61" t="e">
        <f>AND('Large Nonlinear Problem'!B479,"AAAAAD+2fWw=")</f>
        <v>#VALUE!</v>
      </c>
      <c r="DF61" t="e">
        <f>AND('Large Nonlinear Problem'!C479,"AAAAAD+2fW0=")</f>
        <v>#VALUE!</v>
      </c>
      <c r="DG61" t="e">
        <f>AND('Large Nonlinear Problem'!D479,"AAAAAD+2fW4=")</f>
        <v>#VALUE!</v>
      </c>
      <c r="DH61" t="e">
        <f>AND('Large Nonlinear Problem'!E479,"AAAAAD+2fW8=")</f>
        <v>#VALUE!</v>
      </c>
      <c r="DI61" t="e">
        <f>AND('Large Nonlinear Problem'!F479,"AAAAAD+2fXA=")</f>
        <v>#VALUE!</v>
      </c>
      <c r="DJ61" t="e">
        <f>AND('Large Nonlinear Problem'!G479,"AAAAAD+2fXE=")</f>
        <v>#VALUE!</v>
      </c>
      <c r="DK61">
        <f>IF('Large Nonlinear Problem'!480:480,"AAAAAD+2fXI=",0)</f>
        <v>0</v>
      </c>
      <c r="DL61" t="e">
        <f>AND('Large Nonlinear Problem'!A480,"AAAAAD+2fXM=")</f>
        <v>#VALUE!</v>
      </c>
      <c r="DM61" t="e">
        <f>AND('Large Nonlinear Problem'!B480,"AAAAAD+2fXQ=")</f>
        <v>#VALUE!</v>
      </c>
      <c r="DN61" t="e">
        <f>AND('Large Nonlinear Problem'!C480,"AAAAAD+2fXU=")</f>
        <v>#VALUE!</v>
      </c>
      <c r="DO61" t="e">
        <f>AND('Large Nonlinear Problem'!D480,"AAAAAD+2fXY=")</f>
        <v>#VALUE!</v>
      </c>
      <c r="DP61" t="e">
        <f>AND('Large Nonlinear Problem'!E480,"AAAAAD+2fXc=")</f>
        <v>#VALUE!</v>
      </c>
      <c r="DQ61" t="e">
        <f>AND('Large Nonlinear Problem'!F480,"AAAAAD+2fXg=")</f>
        <v>#VALUE!</v>
      </c>
      <c r="DR61" t="e">
        <f>AND('Large Nonlinear Problem'!G480,"AAAAAD+2fXk=")</f>
        <v>#VALUE!</v>
      </c>
      <c r="DS61">
        <f>IF('Large Nonlinear Problem'!481:481,"AAAAAD+2fXo=",0)</f>
        <v>0</v>
      </c>
      <c r="DT61" t="e">
        <f>AND('Large Nonlinear Problem'!A481,"AAAAAD+2fXs=")</f>
        <v>#VALUE!</v>
      </c>
      <c r="DU61" t="e">
        <f>AND('Large Nonlinear Problem'!B481,"AAAAAD+2fXw=")</f>
        <v>#VALUE!</v>
      </c>
      <c r="DV61" t="e">
        <f>AND('Large Nonlinear Problem'!C481,"AAAAAD+2fX0=")</f>
        <v>#VALUE!</v>
      </c>
      <c r="DW61" t="e">
        <f>AND('Large Nonlinear Problem'!D481,"AAAAAD+2fX4=")</f>
        <v>#VALUE!</v>
      </c>
      <c r="DX61" t="e">
        <f>AND('Large Nonlinear Problem'!E481,"AAAAAD+2fX8=")</f>
        <v>#VALUE!</v>
      </c>
      <c r="DY61" t="e">
        <f>AND('Large Nonlinear Problem'!F481,"AAAAAD+2fYA=")</f>
        <v>#VALUE!</v>
      </c>
      <c r="DZ61" t="e">
        <f>AND('Large Nonlinear Problem'!G481,"AAAAAD+2fYE=")</f>
        <v>#VALUE!</v>
      </c>
      <c r="EA61">
        <f>IF('Large Nonlinear Problem'!482:482,"AAAAAD+2fYI=",0)</f>
        <v>0</v>
      </c>
      <c r="EB61" t="e">
        <f>AND('Large Nonlinear Problem'!A482,"AAAAAD+2fYM=")</f>
        <v>#VALUE!</v>
      </c>
      <c r="EC61" t="e">
        <f>AND('Large Nonlinear Problem'!B482,"AAAAAD+2fYQ=")</f>
        <v>#VALUE!</v>
      </c>
      <c r="ED61" t="e">
        <f>AND('Large Nonlinear Problem'!C482,"AAAAAD+2fYU=")</f>
        <v>#VALUE!</v>
      </c>
      <c r="EE61" t="e">
        <f>AND('Large Nonlinear Problem'!D482,"AAAAAD+2fYY=")</f>
        <v>#VALUE!</v>
      </c>
      <c r="EF61" t="e">
        <f>AND('Large Nonlinear Problem'!E482,"AAAAAD+2fYc=")</f>
        <v>#VALUE!</v>
      </c>
      <c r="EG61" t="e">
        <f>AND('Large Nonlinear Problem'!F482,"AAAAAD+2fYg=")</f>
        <v>#VALUE!</v>
      </c>
      <c r="EH61" t="e">
        <f>AND('Large Nonlinear Problem'!G482,"AAAAAD+2fYk=")</f>
        <v>#VALUE!</v>
      </c>
      <c r="EI61">
        <f>IF('Large Nonlinear Problem'!483:483,"AAAAAD+2fYo=",0)</f>
        <v>0</v>
      </c>
      <c r="EJ61" t="e">
        <f>AND('Large Nonlinear Problem'!A483,"AAAAAD+2fYs=")</f>
        <v>#VALUE!</v>
      </c>
      <c r="EK61" t="e">
        <f>AND('Large Nonlinear Problem'!B483,"AAAAAD+2fYw=")</f>
        <v>#VALUE!</v>
      </c>
      <c r="EL61" t="e">
        <f>AND('Large Nonlinear Problem'!C483,"AAAAAD+2fY0=")</f>
        <v>#VALUE!</v>
      </c>
      <c r="EM61" t="e">
        <f>AND('Large Nonlinear Problem'!D483,"AAAAAD+2fY4=")</f>
        <v>#VALUE!</v>
      </c>
      <c r="EN61" t="e">
        <f>AND('Large Nonlinear Problem'!E483,"AAAAAD+2fY8=")</f>
        <v>#VALUE!</v>
      </c>
      <c r="EO61" t="e">
        <f>AND('Large Nonlinear Problem'!F483,"AAAAAD+2fZA=")</f>
        <v>#VALUE!</v>
      </c>
      <c r="EP61" t="e">
        <f>AND('Large Nonlinear Problem'!G483,"AAAAAD+2fZE=")</f>
        <v>#VALUE!</v>
      </c>
      <c r="EQ61">
        <f>IF('Large Nonlinear Problem'!484:484,"AAAAAD+2fZI=",0)</f>
        <v>0</v>
      </c>
      <c r="ER61" t="e">
        <f>AND('Large Nonlinear Problem'!A484,"AAAAAD+2fZM=")</f>
        <v>#VALUE!</v>
      </c>
      <c r="ES61" t="e">
        <f>AND('Large Nonlinear Problem'!B484,"AAAAAD+2fZQ=")</f>
        <v>#VALUE!</v>
      </c>
      <c r="ET61" t="e">
        <f>AND('Large Nonlinear Problem'!C484,"AAAAAD+2fZU=")</f>
        <v>#VALUE!</v>
      </c>
      <c r="EU61" t="e">
        <f>AND('Large Nonlinear Problem'!D484,"AAAAAD+2fZY=")</f>
        <v>#VALUE!</v>
      </c>
      <c r="EV61" t="e">
        <f>AND('Large Nonlinear Problem'!E484,"AAAAAD+2fZc=")</f>
        <v>#VALUE!</v>
      </c>
      <c r="EW61" t="e">
        <f>AND('Large Nonlinear Problem'!F484,"AAAAAD+2fZg=")</f>
        <v>#VALUE!</v>
      </c>
      <c r="EX61" t="e">
        <f>AND('Large Nonlinear Problem'!G484,"AAAAAD+2fZk=")</f>
        <v>#VALUE!</v>
      </c>
      <c r="EY61">
        <f>IF('Large Nonlinear Problem'!485:485,"AAAAAD+2fZo=",0)</f>
        <v>0</v>
      </c>
      <c r="EZ61" t="e">
        <f>AND('Large Nonlinear Problem'!A485,"AAAAAD+2fZs=")</f>
        <v>#VALUE!</v>
      </c>
      <c r="FA61" t="e">
        <f>AND('Large Nonlinear Problem'!B485,"AAAAAD+2fZw=")</f>
        <v>#VALUE!</v>
      </c>
      <c r="FB61" t="e">
        <f>AND('Large Nonlinear Problem'!C485,"AAAAAD+2fZ0=")</f>
        <v>#VALUE!</v>
      </c>
      <c r="FC61" t="e">
        <f>AND('Large Nonlinear Problem'!D485,"AAAAAD+2fZ4=")</f>
        <v>#VALUE!</v>
      </c>
      <c r="FD61" t="e">
        <f>AND('Large Nonlinear Problem'!E485,"AAAAAD+2fZ8=")</f>
        <v>#VALUE!</v>
      </c>
      <c r="FE61" t="e">
        <f>AND('Large Nonlinear Problem'!F485,"AAAAAD+2faA=")</f>
        <v>#VALUE!</v>
      </c>
      <c r="FF61" t="e">
        <f>AND('Large Nonlinear Problem'!G485,"AAAAAD+2faE=")</f>
        <v>#VALUE!</v>
      </c>
      <c r="FG61">
        <f>IF('Large Nonlinear Problem'!486:486,"AAAAAD+2faI=",0)</f>
        <v>0</v>
      </c>
      <c r="FH61" t="e">
        <f>AND('Large Nonlinear Problem'!A486,"AAAAAD+2faM=")</f>
        <v>#VALUE!</v>
      </c>
      <c r="FI61" t="e">
        <f>AND('Large Nonlinear Problem'!B486,"AAAAAD+2faQ=")</f>
        <v>#VALUE!</v>
      </c>
      <c r="FJ61" t="e">
        <f>AND('Large Nonlinear Problem'!C486,"AAAAAD+2faU=")</f>
        <v>#VALUE!</v>
      </c>
      <c r="FK61" t="e">
        <f>AND('Large Nonlinear Problem'!D486,"AAAAAD+2faY=")</f>
        <v>#VALUE!</v>
      </c>
      <c r="FL61" t="e">
        <f>AND('Large Nonlinear Problem'!E486,"AAAAAD+2fac=")</f>
        <v>#VALUE!</v>
      </c>
      <c r="FM61" t="e">
        <f>AND('Large Nonlinear Problem'!F486,"AAAAAD+2fag=")</f>
        <v>#VALUE!</v>
      </c>
      <c r="FN61" t="e">
        <f>AND('Large Nonlinear Problem'!G486,"AAAAAD+2fak=")</f>
        <v>#VALUE!</v>
      </c>
      <c r="FO61">
        <f>IF('Large Nonlinear Problem'!487:487,"AAAAAD+2fao=",0)</f>
        <v>0</v>
      </c>
      <c r="FP61" t="e">
        <f>AND('Large Nonlinear Problem'!A487,"AAAAAD+2fas=")</f>
        <v>#VALUE!</v>
      </c>
      <c r="FQ61" t="e">
        <f>AND('Large Nonlinear Problem'!B487,"AAAAAD+2faw=")</f>
        <v>#VALUE!</v>
      </c>
      <c r="FR61" t="e">
        <f>AND('Large Nonlinear Problem'!C487,"AAAAAD+2fa0=")</f>
        <v>#VALUE!</v>
      </c>
      <c r="FS61" t="e">
        <f>AND('Large Nonlinear Problem'!D487,"AAAAAD+2fa4=")</f>
        <v>#VALUE!</v>
      </c>
      <c r="FT61" t="e">
        <f>AND('Large Nonlinear Problem'!E487,"AAAAAD+2fa8=")</f>
        <v>#VALUE!</v>
      </c>
      <c r="FU61" t="e">
        <f>AND('Large Nonlinear Problem'!F487,"AAAAAD+2fbA=")</f>
        <v>#VALUE!</v>
      </c>
      <c r="FV61" t="e">
        <f>AND('Large Nonlinear Problem'!G487,"AAAAAD+2fbE=")</f>
        <v>#VALUE!</v>
      </c>
      <c r="FW61">
        <f>IF('Large Nonlinear Problem'!488:488,"AAAAAD+2fbI=",0)</f>
        <v>0</v>
      </c>
      <c r="FX61" t="e">
        <f>AND('Large Nonlinear Problem'!A488,"AAAAAD+2fbM=")</f>
        <v>#VALUE!</v>
      </c>
      <c r="FY61" t="e">
        <f>AND('Large Nonlinear Problem'!B488,"AAAAAD+2fbQ=")</f>
        <v>#VALUE!</v>
      </c>
      <c r="FZ61" t="e">
        <f>AND('Large Nonlinear Problem'!C488,"AAAAAD+2fbU=")</f>
        <v>#VALUE!</v>
      </c>
      <c r="GA61" t="e">
        <f>AND('Large Nonlinear Problem'!D488,"AAAAAD+2fbY=")</f>
        <v>#VALUE!</v>
      </c>
      <c r="GB61" t="e">
        <f>AND('Large Nonlinear Problem'!E488,"AAAAAD+2fbc=")</f>
        <v>#VALUE!</v>
      </c>
      <c r="GC61" t="e">
        <f>AND('Large Nonlinear Problem'!F488,"AAAAAD+2fbg=")</f>
        <v>#VALUE!</v>
      </c>
      <c r="GD61" t="e">
        <f>AND('Large Nonlinear Problem'!G488,"AAAAAD+2fbk=")</f>
        <v>#VALUE!</v>
      </c>
      <c r="GE61">
        <f>IF('Large Nonlinear Problem'!489:489,"AAAAAD+2fbo=",0)</f>
        <v>0</v>
      </c>
      <c r="GF61" t="e">
        <f>AND('Large Nonlinear Problem'!A489,"AAAAAD+2fbs=")</f>
        <v>#VALUE!</v>
      </c>
      <c r="GG61" t="e">
        <f>AND('Large Nonlinear Problem'!B489,"AAAAAD+2fbw=")</f>
        <v>#VALUE!</v>
      </c>
      <c r="GH61" t="e">
        <f>AND('Large Nonlinear Problem'!C489,"AAAAAD+2fb0=")</f>
        <v>#VALUE!</v>
      </c>
      <c r="GI61" t="e">
        <f>AND('Large Nonlinear Problem'!D489,"AAAAAD+2fb4=")</f>
        <v>#VALUE!</v>
      </c>
      <c r="GJ61" t="e">
        <f>AND('Large Nonlinear Problem'!E489,"AAAAAD+2fb8=")</f>
        <v>#VALUE!</v>
      </c>
      <c r="GK61" t="e">
        <f>AND('Large Nonlinear Problem'!F489,"AAAAAD+2fcA=")</f>
        <v>#VALUE!</v>
      </c>
      <c r="GL61" t="e">
        <f>AND('Large Nonlinear Problem'!G489,"AAAAAD+2fcE=")</f>
        <v>#VALUE!</v>
      </c>
      <c r="GM61">
        <f>IF('Large Nonlinear Problem'!490:490,"AAAAAD+2fcI=",0)</f>
        <v>0</v>
      </c>
      <c r="GN61" t="e">
        <f>AND('Large Nonlinear Problem'!A490,"AAAAAD+2fcM=")</f>
        <v>#VALUE!</v>
      </c>
      <c r="GO61" t="e">
        <f>AND('Large Nonlinear Problem'!B490,"AAAAAD+2fcQ=")</f>
        <v>#VALUE!</v>
      </c>
      <c r="GP61" t="e">
        <f>AND('Large Nonlinear Problem'!C490,"AAAAAD+2fcU=")</f>
        <v>#VALUE!</v>
      </c>
      <c r="GQ61" t="e">
        <f>AND('Large Nonlinear Problem'!D490,"AAAAAD+2fcY=")</f>
        <v>#VALUE!</v>
      </c>
      <c r="GR61" t="e">
        <f>AND('Large Nonlinear Problem'!E490,"AAAAAD+2fcc=")</f>
        <v>#VALUE!</v>
      </c>
      <c r="GS61" t="e">
        <f>AND('Large Nonlinear Problem'!F490,"AAAAAD+2fcg=")</f>
        <v>#VALUE!</v>
      </c>
      <c r="GT61" t="e">
        <f>AND('Large Nonlinear Problem'!G490,"AAAAAD+2fck=")</f>
        <v>#VALUE!</v>
      </c>
      <c r="GU61">
        <f>IF('Large Nonlinear Problem'!491:491,"AAAAAD+2fco=",0)</f>
        <v>0</v>
      </c>
      <c r="GV61" t="e">
        <f>AND('Large Nonlinear Problem'!A491,"AAAAAD+2fcs=")</f>
        <v>#VALUE!</v>
      </c>
      <c r="GW61" t="e">
        <f>AND('Large Nonlinear Problem'!B491,"AAAAAD+2fcw=")</f>
        <v>#VALUE!</v>
      </c>
      <c r="GX61" t="e">
        <f>AND('Large Nonlinear Problem'!C491,"AAAAAD+2fc0=")</f>
        <v>#VALUE!</v>
      </c>
      <c r="GY61" t="e">
        <f>AND('Large Nonlinear Problem'!D491,"AAAAAD+2fc4=")</f>
        <v>#VALUE!</v>
      </c>
      <c r="GZ61" t="e">
        <f>AND('Large Nonlinear Problem'!E491,"AAAAAD+2fc8=")</f>
        <v>#VALUE!</v>
      </c>
      <c r="HA61" t="e">
        <f>AND('Large Nonlinear Problem'!F491,"AAAAAD+2fdA=")</f>
        <v>#VALUE!</v>
      </c>
      <c r="HB61" t="e">
        <f>AND('Large Nonlinear Problem'!G491,"AAAAAD+2fdE=")</f>
        <v>#VALUE!</v>
      </c>
      <c r="HC61">
        <f>IF('Large Nonlinear Problem'!492:492,"AAAAAD+2fdI=",0)</f>
        <v>0</v>
      </c>
      <c r="HD61" t="e">
        <f>AND('Large Nonlinear Problem'!A492,"AAAAAD+2fdM=")</f>
        <v>#VALUE!</v>
      </c>
      <c r="HE61" t="e">
        <f>AND('Large Nonlinear Problem'!B492,"AAAAAD+2fdQ=")</f>
        <v>#VALUE!</v>
      </c>
      <c r="HF61" t="e">
        <f>AND('Large Nonlinear Problem'!C492,"AAAAAD+2fdU=")</f>
        <v>#VALUE!</v>
      </c>
      <c r="HG61" t="e">
        <f>AND('Large Nonlinear Problem'!D492,"AAAAAD+2fdY=")</f>
        <v>#VALUE!</v>
      </c>
      <c r="HH61" t="e">
        <f>AND('Large Nonlinear Problem'!E492,"AAAAAD+2fdc=")</f>
        <v>#VALUE!</v>
      </c>
      <c r="HI61" t="e">
        <f>AND('Large Nonlinear Problem'!F492,"AAAAAD+2fdg=")</f>
        <v>#VALUE!</v>
      </c>
      <c r="HJ61" t="e">
        <f>AND('Large Nonlinear Problem'!G492,"AAAAAD+2fdk=")</f>
        <v>#VALUE!</v>
      </c>
      <c r="HK61">
        <f>IF('Large Nonlinear Problem'!493:493,"AAAAAD+2fdo=",0)</f>
        <v>0</v>
      </c>
      <c r="HL61" t="e">
        <f>AND('Large Nonlinear Problem'!A493,"AAAAAD+2fds=")</f>
        <v>#VALUE!</v>
      </c>
      <c r="HM61" t="e">
        <f>AND('Large Nonlinear Problem'!B493,"AAAAAD+2fdw=")</f>
        <v>#VALUE!</v>
      </c>
      <c r="HN61" t="e">
        <f>AND('Large Nonlinear Problem'!C493,"AAAAAD+2fd0=")</f>
        <v>#VALUE!</v>
      </c>
      <c r="HO61" t="e">
        <f>AND('Large Nonlinear Problem'!D493,"AAAAAD+2fd4=")</f>
        <v>#VALUE!</v>
      </c>
      <c r="HP61" t="e">
        <f>AND('Large Nonlinear Problem'!E493,"AAAAAD+2fd8=")</f>
        <v>#VALUE!</v>
      </c>
      <c r="HQ61" t="e">
        <f>AND('Large Nonlinear Problem'!F493,"AAAAAD+2feA=")</f>
        <v>#VALUE!</v>
      </c>
      <c r="HR61" t="e">
        <f>AND('Large Nonlinear Problem'!G493,"AAAAAD+2feE=")</f>
        <v>#VALUE!</v>
      </c>
      <c r="HS61">
        <f>IF('Large Nonlinear Problem'!494:494,"AAAAAD+2feI=",0)</f>
        <v>0</v>
      </c>
      <c r="HT61" t="e">
        <f>AND('Large Nonlinear Problem'!A494,"AAAAAD+2feM=")</f>
        <v>#VALUE!</v>
      </c>
      <c r="HU61" t="e">
        <f>AND('Large Nonlinear Problem'!B494,"AAAAAD+2feQ=")</f>
        <v>#VALUE!</v>
      </c>
      <c r="HV61" t="e">
        <f>AND('Large Nonlinear Problem'!C494,"AAAAAD+2feU=")</f>
        <v>#VALUE!</v>
      </c>
      <c r="HW61" t="e">
        <f>AND('Large Nonlinear Problem'!D494,"AAAAAD+2feY=")</f>
        <v>#VALUE!</v>
      </c>
      <c r="HX61" t="e">
        <f>AND('Large Nonlinear Problem'!E494,"AAAAAD+2fec=")</f>
        <v>#VALUE!</v>
      </c>
      <c r="HY61" t="e">
        <f>AND('Large Nonlinear Problem'!F494,"AAAAAD+2feg=")</f>
        <v>#VALUE!</v>
      </c>
      <c r="HZ61" t="e">
        <f>AND('Large Nonlinear Problem'!G494,"AAAAAD+2fek=")</f>
        <v>#VALUE!</v>
      </c>
      <c r="IA61">
        <f>IF('Large Nonlinear Problem'!495:495,"AAAAAD+2feo=",0)</f>
        <v>0</v>
      </c>
      <c r="IB61" t="e">
        <f>AND('Large Nonlinear Problem'!A495,"AAAAAD+2fes=")</f>
        <v>#VALUE!</v>
      </c>
      <c r="IC61" t="e">
        <f>AND('Large Nonlinear Problem'!B495,"AAAAAD+2few=")</f>
        <v>#VALUE!</v>
      </c>
      <c r="ID61" t="e">
        <f>AND('Large Nonlinear Problem'!C495,"AAAAAD+2fe0=")</f>
        <v>#VALUE!</v>
      </c>
      <c r="IE61" t="e">
        <f>AND('Large Nonlinear Problem'!D495,"AAAAAD+2fe4=")</f>
        <v>#VALUE!</v>
      </c>
      <c r="IF61" t="e">
        <f>AND('Large Nonlinear Problem'!E495,"AAAAAD+2fe8=")</f>
        <v>#VALUE!</v>
      </c>
      <c r="IG61" t="e">
        <f>AND('Large Nonlinear Problem'!F495,"AAAAAD+2ffA=")</f>
        <v>#VALUE!</v>
      </c>
      <c r="IH61" t="e">
        <f>AND('Large Nonlinear Problem'!G495,"AAAAAD+2ffE=")</f>
        <v>#VALUE!</v>
      </c>
      <c r="II61">
        <f>IF('Large Nonlinear Problem'!496:496,"AAAAAD+2ffI=",0)</f>
        <v>0</v>
      </c>
      <c r="IJ61" t="e">
        <f>AND('Large Nonlinear Problem'!A496,"AAAAAD+2ffM=")</f>
        <v>#VALUE!</v>
      </c>
      <c r="IK61" t="e">
        <f>AND('Large Nonlinear Problem'!B496,"AAAAAD+2ffQ=")</f>
        <v>#VALUE!</v>
      </c>
      <c r="IL61" t="e">
        <f>AND('Large Nonlinear Problem'!C496,"AAAAAD+2ffU=")</f>
        <v>#VALUE!</v>
      </c>
      <c r="IM61" t="e">
        <f>AND('Large Nonlinear Problem'!D496,"AAAAAD+2ffY=")</f>
        <v>#VALUE!</v>
      </c>
      <c r="IN61" t="e">
        <f>AND('Large Nonlinear Problem'!E496,"AAAAAD+2ffc=")</f>
        <v>#VALUE!</v>
      </c>
      <c r="IO61" t="e">
        <f>AND('Large Nonlinear Problem'!F496,"AAAAAD+2ffg=")</f>
        <v>#VALUE!</v>
      </c>
      <c r="IP61" t="e">
        <f>AND('Large Nonlinear Problem'!G496,"AAAAAD+2ffk=")</f>
        <v>#VALUE!</v>
      </c>
      <c r="IQ61">
        <f>IF('Large Nonlinear Problem'!497:497,"AAAAAD+2ffo=",0)</f>
        <v>0</v>
      </c>
      <c r="IR61" t="e">
        <f>AND('Large Nonlinear Problem'!A497,"AAAAAD+2ffs=")</f>
        <v>#VALUE!</v>
      </c>
      <c r="IS61" t="e">
        <f>AND('Large Nonlinear Problem'!B497,"AAAAAD+2ffw=")</f>
        <v>#VALUE!</v>
      </c>
      <c r="IT61" t="e">
        <f>AND('Large Nonlinear Problem'!C497,"AAAAAD+2ff0=")</f>
        <v>#VALUE!</v>
      </c>
      <c r="IU61" t="e">
        <f>AND('Large Nonlinear Problem'!D497,"AAAAAD+2ff4=")</f>
        <v>#VALUE!</v>
      </c>
      <c r="IV61" t="e">
        <f>AND('Large Nonlinear Problem'!E497,"AAAAAD+2ff8=")</f>
        <v>#VALUE!</v>
      </c>
    </row>
    <row r="62" spans="1:256">
      <c r="A62" t="e">
        <f>AND('Large Nonlinear Problem'!F497,"AAAAAGZ5/QA=")</f>
        <v>#VALUE!</v>
      </c>
      <c r="B62" t="e">
        <f>AND('Large Nonlinear Problem'!G497,"AAAAAGZ5/QE=")</f>
        <v>#VALUE!</v>
      </c>
      <c r="C62" t="str">
        <f>IF('Large Nonlinear Problem'!498:498,"AAAAAGZ5/QI=",0)</f>
        <v>AAAAAGZ5/QI=</v>
      </c>
      <c r="D62" t="e">
        <f>AND('Large Nonlinear Problem'!A498,"AAAAAGZ5/QM=")</f>
        <v>#VALUE!</v>
      </c>
      <c r="E62" t="e">
        <f>AND('Large Nonlinear Problem'!B498,"AAAAAGZ5/QQ=")</f>
        <v>#VALUE!</v>
      </c>
      <c r="F62" t="e">
        <f>AND('Large Nonlinear Problem'!C498,"AAAAAGZ5/QU=")</f>
        <v>#VALUE!</v>
      </c>
      <c r="G62" t="e">
        <f>AND('Large Nonlinear Problem'!D498,"AAAAAGZ5/QY=")</f>
        <v>#VALUE!</v>
      </c>
      <c r="H62" t="e">
        <f>AND('Large Nonlinear Problem'!E498,"AAAAAGZ5/Qc=")</f>
        <v>#VALUE!</v>
      </c>
      <c r="I62" t="e">
        <f>AND('Large Nonlinear Problem'!F498,"AAAAAGZ5/Qg=")</f>
        <v>#VALUE!</v>
      </c>
      <c r="J62" t="e">
        <f>AND('Large Nonlinear Problem'!G498,"AAAAAGZ5/Qk=")</f>
        <v>#VALUE!</v>
      </c>
      <c r="K62">
        <f>IF('Large Nonlinear Problem'!499:499,"AAAAAGZ5/Qo=",0)</f>
        <v>0</v>
      </c>
      <c r="L62" t="e">
        <f>AND('Large Nonlinear Problem'!A499,"AAAAAGZ5/Qs=")</f>
        <v>#VALUE!</v>
      </c>
      <c r="M62" t="e">
        <f>AND('Large Nonlinear Problem'!B499,"AAAAAGZ5/Qw=")</f>
        <v>#VALUE!</v>
      </c>
      <c r="N62" t="e">
        <f>AND('Large Nonlinear Problem'!C499,"AAAAAGZ5/Q0=")</f>
        <v>#VALUE!</v>
      </c>
      <c r="O62" t="e">
        <f>AND('Large Nonlinear Problem'!D499,"AAAAAGZ5/Q4=")</f>
        <v>#VALUE!</v>
      </c>
      <c r="P62" t="e">
        <f>AND('Large Nonlinear Problem'!E499,"AAAAAGZ5/Q8=")</f>
        <v>#VALUE!</v>
      </c>
      <c r="Q62" t="e">
        <f>AND('Large Nonlinear Problem'!F499,"AAAAAGZ5/RA=")</f>
        <v>#VALUE!</v>
      </c>
      <c r="R62" t="e">
        <f>AND('Large Nonlinear Problem'!G499,"AAAAAGZ5/RE=")</f>
        <v>#VALUE!</v>
      </c>
      <c r="S62">
        <f>IF('Large Nonlinear Problem'!500:500,"AAAAAGZ5/RI=",0)</f>
        <v>0</v>
      </c>
      <c r="T62" t="e">
        <f>AND('Large Nonlinear Problem'!A500,"AAAAAGZ5/RM=")</f>
        <v>#VALUE!</v>
      </c>
      <c r="U62" t="e">
        <f>AND('Large Nonlinear Problem'!B500,"AAAAAGZ5/RQ=")</f>
        <v>#VALUE!</v>
      </c>
      <c r="V62" t="e">
        <f>AND('Large Nonlinear Problem'!C500,"AAAAAGZ5/RU=")</f>
        <v>#VALUE!</v>
      </c>
      <c r="W62" t="e">
        <f>AND('Large Nonlinear Problem'!D500,"AAAAAGZ5/RY=")</f>
        <v>#VALUE!</v>
      </c>
      <c r="X62" t="e">
        <f>AND('Large Nonlinear Problem'!E500,"AAAAAGZ5/Rc=")</f>
        <v>#VALUE!</v>
      </c>
      <c r="Y62" t="e">
        <f>AND('Large Nonlinear Problem'!F500,"AAAAAGZ5/Rg=")</f>
        <v>#VALUE!</v>
      </c>
      <c r="Z62" t="e">
        <f>AND('Large Nonlinear Problem'!G500,"AAAAAGZ5/Rk=")</f>
        <v>#VALUE!</v>
      </c>
      <c r="AA62">
        <f>IF('Large Nonlinear Problem'!501:501,"AAAAAGZ5/Ro=",0)</f>
        <v>0</v>
      </c>
      <c r="AB62" t="e">
        <f>AND('Large Nonlinear Problem'!A501,"AAAAAGZ5/Rs=")</f>
        <v>#VALUE!</v>
      </c>
      <c r="AC62" t="e">
        <f>AND('Large Nonlinear Problem'!B501,"AAAAAGZ5/Rw=")</f>
        <v>#VALUE!</v>
      </c>
      <c r="AD62" t="e">
        <f>AND('Large Nonlinear Problem'!C501,"AAAAAGZ5/R0=")</f>
        <v>#VALUE!</v>
      </c>
      <c r="AE62" t="e">
        <f>AND('Large Nonlinear Problem'!D501,"AAAAAGZ5/R4=")</f>
        <v>#VALUE!</v>
      </c>
      <c r="AF62" t="e">
        <f>AND('Large Nonlinear Problem'!E501,"AAAAAGZ5/R8=")</f>
        <v>#VALUE!</v>
      </c>
      <c r="AG62" t="e">
        <f>AND('Large Nonlinear Problem'!F501,"AAAAAGZ5/SA=")</f>
        <v>#VALUE!</v>
      </c>
      <c r="AH62" t="e">
        <f>AND('Large Nonlinear Problem'!G501,"AAAAAGZ5/SE=")</f>
        <v>#VALUE!</v>
      </c>
      <c r="AI62">
        <f>IF('Large Nonlinear Problem'!502:502,"AAAAAGZ5/SI=",0)</f>
        <v>0</v>
      </c>
      <c r="AJ62" t="e">
        <f>AND('Large Nonlinear Problem'!A502,"AAAAAGZ5/SM=")</f>
        <v>#VALUE!</v>
      </c>
      <c r="AK62" t="e">
        <f>AND('Large Nonlinear Problem'!B502,"AAAAAGZ5/SQ=")</f>
        <v>#VALUE!</v>
      </c>
      <c r="AL62" t="e">
        <f>AND('Large Nonlinear Problem'!C502,"AAAAAGZ5/SU=")</f>
        <v>#VALUE!</v>
      </c>
      <c r="AM62" t="e">
        <f>AND('Large Nonlinear Problem'!D502,"AAAAAGZ5/SY=")</f>
        <v>#VALUE!</v>
      </c>
      <c r="AN62" t="e">
        <f>AND('Large Nonlinear Problem'!E502,"AAAAAGZ5/Sc=")</f>
        <v>#VALUE!</v>
      </c>
      <c r="AO62" t="e">
        <f>AND('Large Nonlinear Problem'!F502,"AAAAAGZ5/Sg=")</f>
        <v>#VALUE!</v>
      </c>
      <c r="AP62" t="e">
        <f>AND('Large Nonlinear Problem'!G502,"AAAAAGZ5/Sk=")</f>
        <v>#VALUE!</v>
      </c>
      <c r="AQ62">
        <f>IF('Large Nonlinear Problem'!503:503,"AAAAAGZ5/So=",0)</f>
        <v>0</v>
      </c>
      <c r="AR62" t="e">
        <f>AND('Large Nonlinear Problem'!A503,"AAAAAGZ5/Ss=")</f>
        <v>#VALUE!</v>
      </c>
      <c r="AS62" t="e">
        <f>AND('Large Nonlinear Problem'!B503,"AAAAAGZ5/Sw=")</f>
        <v>#VALUE!</v>
      </c>
      <c r="AT62" t="e">
        <f>AND('Large Nonlinear Problem'!C503,"AAAAAGZ5/S0=")</f>
        <v>#VALUE!</v>
      </c>
      <c r="AU62" t="e">
        <f>AND('Large Nonlinear Problem'!D503,"AAAAAGZ5/S4=")</f>
        <v>#VALUE!</v>
      </c>
      <c r="AV62" t="e">
        <f>AND('Large Nonlinear Problem'!E503,"AAAAAGZ5/S8=")</f>
        <v>#VALUE!</v>
      </c>
      <c r="AW62" t="e">
        <f>AND('Large Nonlinear Problem'!F503,"AAAAAGZ5/TA=")</f>
        <v>#VALUE!</v>
      </c>
      <c r="AX62" t="e">
        <f>AND('Large Nonlinear Problem'!G503,"AAAAAGZ5/TE=")</f>
        <v>#VALUE!</v>
      </c>
      <c r="AY62">
        <f>IF('Large Nonlinear Problem'!504:504,"AAAAAGZ5/TI=",0)</f>
        <v>0</v>
      </c>
      <c r="AZ62" t="e">
        <f>AND('Large Nonlinear Problem'!A504,"AAAAAGZ5/TM=")</f>
        <v>#VALUE!</v>
      </c>
      <c r="BA62" t="e">
        <f>AND('Large Nonlinear Problem'!B504,"AAAAAGZ5/TQ=")</f>
        <v>#VALUE!</v>
      </c>
      <c r="BB62" t="e">
        <f>AND('Large Nonlinear Problem'!C504,"AAAAAGZ5/TU=")</f>
        <v>#VALUE!</v>
      </c>
      <c r="BC62" t="e">
        <f>AND('Large Nonlinear Problem'!D504,"AAAAAGZ5/TY=")</f>
        <v>#VALUE!</v>
      </c>
      <c r="BD62" t="e">
        <f>AND('Large Nonlinear Problem'!E504,"AAAAAGZ5/Tc=")</f>
        <v>#VALUE!</v>
      </c>
      <c r="BE62" t="e">
        <f>AND('Large Nonlinear Problem'!F504,"AAAAAGZ5/Tg=")</f>
        <v>#VALUE!</v>
      </c>
      <c r="BF62" t="e">
        <f>AND('Large Nonlinear Problem'!G504,"AAAAAGZ5/Tk=")</f>
        <v>#VALUE!</v>
      </c>
      <c r="BG62">
        <f>IF('Large Nonlinear Problem'!505:505,"AAAAAGZ5/To=",0)</f>
        <v>0</v>
      </c>
      <c r="BH62" t="e">
        <f>AND('Large Nonlinear Problem'!A505,"AAAAAGZ5/Ts=")</f>
        <v>#VALUE!</v>
      </c>
      <c r="BI62" t="e">
        <f>AND('Large Nonlinear Problem'!B505,"AAAAAGZ5/Tw=")</f>
        <v>#VALUE!</v>
      </c>
      <c r="BJ62" t="e">
        <f>AND('Large Nonlinear Problem'!C505,"AAAAAGZ5/T0=")</f>
        <v>#VALUE!</v>
      </c>
      <c r="BK62" t="e">
        <f>AND('Large Nonlinear Problem'!D505,"AAAAAGZ5/T4=")</f>
        <v>#VALUE!</v>
      </c>
      <c r="BL62" t="e">
        <f>AND('Large Nonlinear Problem'!E505,"AAAAAGZ5/T8=")</f>
        <v>#VALUE!</v>
      </c>
      <c r="BM62" t="e">
        <f>AND('Large Nonlinear Problem'!F505,"AAAAAGZ5/UA=")</f>
        <v>#VALUE!</v>
      </c>
      <c r="BN62" t="e">
        <f>AND('Large Nonlinear Problem'!G505,"AAAAAGZ5/UE=")</f>
        <v>#VALUE!</v>
      </c>
      <c r="BO62">
        <f>IF('Large Nonlinear Problem'!506:506,"AAAAAGZ5/UI=",0)</f>
        <v>0</v>
      </c>
      <c r="BP62" t="e">
        <f>AND('Large Nonlinear Problem'!A506,"AAAAAGZ5/UM=")</f>
        <v>#VALUE!</v>
      </c>
      <c r="BQ62" t="e">
        <f>AND('Large Nonlinear Problem'!B506,"AAAAAGZ5/UQ=")</f>
        <v>#VALUE!</v>
      </c>
      <c r="BR62" t="e">
        <f>AND('Large Nonlinear Problem'!C506,"AAAAAGZ5/UU=")</f>
        <v>#VALUE!</v>
      </c>
      <c r="BS62" t="e">
        <f>AND('Large Nonlinear Problem'!D506,"AAAAAGZ5/UY=")</f>
        <v>#VALUE!</v>
      </c>
      <c r="BT62" t="e">
        <f>AND('Large Nonlinear Problem'!E506,"AAAAAGZ5/Uc=")</f>
        <v>#VALUE!</v>
      </c>
      <c r="BU62" t="e">
        <f>AND('Large Nonlinear Problem'!F506,"AAAAAGZ5/Ug=")</f>
        <v>#VALUE!</v>
      </c>
      <c r="BV62" t="e">
        <f>AND('Large Nonlinear Problem'!G506,"AAAAAGZ5/Uk=")</f>
        <v>#VALUE!</v>
      </c>
      <c r="BW62">
        <f>IF('Large Nonlinear Problem'!507:507,"AAAAAGZ5/Uo=",0)</f>
        <v>0</v>
      </c>
      <c r="BX62" t="e">
        <f>AND('Large Nonlinear Problem'!A507,"AAAAAGZ5/Us=")</f>
        <v>#VALUE!</v>
      </c>
      <c r="BY62" t="e">
        <f>AND('Large Nonlinear Problem'!B507,"AAAAAGZ5/Uw=")</f>
        <v>#VALUE!</v>
      </c>
      <c r="BZ62" t="e">
        <f>AND('Large Nonlinear Problem'!C507,"AAAAAGZ5/U0=")</f>
        <v>#VALUE!</v>
      </c>
      <c r="CA62" t="e">
        <f>AND('Large Nonlinear Problem'!D507,"AAAAAGZ5/U4=")</f>
        <v>#VALUE!</v>
      </c>
      <c r="CB62" t="e">
        <f>AND('Large Nonlinear Problem'!E507,"AAAAAGZ5/U8=")</f>
        <v>#VALUE!</v>
      </c>
      <c r="CC62" t="e">
        <f>AND('Large Nonlinear Problem'!F507,"AAAAAGZ5/VA=")</f>
        <v>#VALUE!</v>
      </c>
      <c r="CD62" t="e">
        <f>AND('Large Nonlinear Problem'!G507,"AAAAAGZ5/VE=")</f>
        <v>#VALUE!</v>
      </c>
      <c r="CE62">
        <f>IF('Large Nonlinear Problem'!508:508,"AAAAAGZ5/VI=",0)</f>
        <v>0</v>
      </c>
      <c r="CF62" t="e">
        <f>AND('Large Nonlinear Problem'!A508,"AAAAAGZ5/VM=")</f>
        <v>#VALUE!</v>
      </c>
      <c r="CG62" t="e">
        <f>AND('Large Nonlinear Problem'!B508,"AAAAAGZ5/VQ=")</f>
        <v>#VALUE!</v>
      </c>
      <c r="CH62" t="e">
        <f>AND('Large Nonlinear Problem'!C508,"AAAAAGZ5/VU=")</f>
        <v>#VALUE!</v>
      </c>
      <c r="CI62">
        <f>IF('Large Nonlinear Problem'!509:509,"AAAAAGZ5/VY=",0)</f>
        <v>0</v>
      </c>
      <c r="CJ62" t="e">
        <f>AND('Large Nonlinear Problem'!A509,"AAAAAGZ5/Vc=")</f>
        <v>#VALUE!</v>
      </c>
      <c r="CK62" t="e">
        <f>AND('Large Nonlinear Problem'!B509,"AAAAAGZ5/Vg=")</f>
        <v>#VALUE!</v>
      </c>
      <c r="CL62" t="e">
        <f>AND('Large Nonlinear Problem'!C509,"AAAAAGZ5/Vk=")</f>
        <v>#VALUE!</v>
      </c>
      <c r="CM62">
        <f>IF('Large Nonlinear Problem'!510:510,"AAAAAGZ5/Vo=",0)</f>
        <v>0</v>
      </c>
      <c r="CN62" t="e">
        <f>AND('Large Nonlinear Problem'!A510,"AAAAAGZ5/Vs=")</f>
        <v>#VALUE!</v>
      </c>
      <c r="CO62" t="e">
        <f>AND('Large Nonlinear Problem'!B510,"AAAAAGZ5/Vw=")</f>
        <v>#VALUE!</v>
      </c>
      <c r="CP62" t="e">
        <f>AND('Large Nonlinear Problem'!C510,"AAAAAGZ5/V0=")</f>
        <v>#VALUE!</v>
      </c>
      <c r="CQ62">
        <f>IF('Large Nonlinear Problem'!511:511,"AAAAAGZ5/V4=",0)</f>
        <v>0</v>
      </c>
      <c r="CR62" t="e">
        <f>AND('Large Nonlinear Problem'!A511,"AAAAAGZ5/V8=")</f>
        <v>#VALUE!</v>
      </c>
      <c r="CS62" t="e">
        <f>AND('Large Nonlinear Problem'!B511,"AAAAAGZ5/WA=")</f>
        <v>#VALUE!</v>
      </c>
      <c r="CT62" t="e">
        <f>AND('Large Nonlinear Problem'!C511,"AAAAAGZ5/WE=")</f>
        <v>#VALUE!</v>
      </c>
      <c r="CU62">
        <f>IF('Large Nonlinear Problem'!512:512,"AAAAAGZ5/WI=",0)</f>
        <v>0</v>
      </c>
      <c r="CV62" t="e">
        <f>AND('Large Nonlinear Problem'!A512,"AAAAAGZ5/WM=")</f>
        <v>#VALUE!</v>
      </c>
      <c r="CW62" t="e">
        <f>AND('Large Nonlinear Problem'!B512,"AAAAAGZ5/WQ=")</f>
        <v>#VALUE!</v>
      </c>
      <c r="CX62" t="e">
        <f>AND('Large Nonlinear Problem'!C512,"AAAAAGZ5/WU=")</f>
        <v>#VALUE!</v>
      </c>
      <c r="CY62">
        <f>IF('Large Nonlinear Problem'!513:513,"AAAAAGZ5/WY=",0)</f>
        <v>0</v>
      </c>
      <c r="CZ62" t="e">
        <f>AND('Large Nonlinear Problem'!A513,"AAAAAGZ5/Wc=")</f>
        <v>#VALUE!</v>
      </c>
      <c r="DA62" t="e">
        <f>AND('Large Nonlinear Problem'!B513,"AAAAAGZ5/Wg=")</f>
        <v>#VALUE!</v>
      </c>
      <c r="DB62" t="e">
        <f>AND('Large Nonlinear Problem'!C513,"AAAAAGZ5/Wk=")</f>
        <v>#VALUE!</v>
      </c>
      <c r="DC62">
        <f>IF('Large Nonlinear Problem'!514:514,"AAAAAGZ5/Wo=",0)</f>
        <v>0</v>
      </c>
      <c r="DD62" t="e">
        <f>AND('Large Nonlinear Problem'!A514,"AAAAAGZ5/Ws=")</f>
        <v>#VALUE!</v>
      </c>
      <c r="DE62" t="e">
        <f>AND('Large Nonlinear Problem'!B514,"AAAAAGZ5/Ww=")</f>
        <v>#VALUE!</v>
      </c>
      <c r="DF62" t="e">
        <f>AND('Large Nonlinear Problem'!C514,"AAAAAGZ5/W0=")</f>
        <v>#VALUE!</v>
      </c>
      <c r="DG62">
        <f>IF('Large Nonlinear Problem'!515:515,"AAAAAGZ5/W4=",0)</f>
        <v>0</v>
      </c>
      <c r="DH62" t="e">
        <f>AND('Large Nonlinear Problem'!A515,"AAAAAGZ5/W8=")</f>
        <v>#VALUE!</v>
      </c>
      <c r="DI62" t="e">
        <f>AND('Large Nonlinear Problem'!B515,"AAAAAGZ5/XA=")</f>
        <v>#VALUE!</v>
      </c>
      <c r="DJ62" t="e">
        <f>AND('Large Nonlinear Problem'!C515,"AAAAAGZ5/XE=")</f>
        <v>#VALUE!</v>
      </c>
      <c r="DK62">
        <f>IF('Large Nonlinear Problem'!516:516,"AAAAAGZ5/XI=",0)</f>
        <v>0</v>
      </c>
      <c r="DL62" t="e">
        <f>AND('Large Nonlinear Problem'!A516,"AAAAAGZ5/XM=")</f>
        <v>#VALUE!</v>
      </c>
      <c r="DM62" t="e">
        <f>AND('Large Nonlinear Problem'!B516,"AAAAAGZ5/XQ=")</f>
        <v>#VALUE!</v>
      </c>
      <c r="DN62" t="e">
        <f>AND('Large Nonlinear Problem'!C516,"AAAAAGZ5/XU=")</f>
        <v>#VALUE!</v>
      </c>
      <c r="DO62" t="e">
        <f>IF('Large Nonlinear Problem'!A:A,"AAAAAGZ5/XY=",0)</f>
        <v>#VALUE!</v>
      </c>
      <c r="DP62" t="e">
        <f>IF('Large Nonlinear Problem'!B:B,"AAAAAGZ5/Xc=",0)</f>
        <v>#VALUE!</v>
      </c>
      <c r="DQ62">
        <f>IF('Large Nonlinear Problem'!C:C,"AAAAAGZ5/Xg=",0)</f>
        <v>0</v>
      </c>
      <c r="DR62" t="e">
        <f>IF('Large Nonlinear Problem'!D:D,"AAAAAGZ5/Xk=",0)</f>
        <v>#VALUE!</v>
      </c>
      <c r="DS62" t="str">
        <f>IF('Large Nonlinear Problem'!E:E,"AAAAAGZ5/Xo=",0)</f>
        <v>AAAAAGZ5/Xo=</v>
      </c>
      <c r="DT62">
        <f>IF('Large Nonlinear Problem'!F:F,"AAAAAGZ5/Xs=",0)</f>
        <v>0</v>
      </c>
      <c r="DU62">
        <f>IF('Large Nonlinear Problem'!G:G,"AAAAAGZ5/Xw=",0)</f>
        <v>0</v>
      </c>
      <c r="DV62" t="e">
        <f>IF("N",'Large Nonlinear Problem'!CCLASStreamConcThickenerFeedStream_Ag,"AAAAAGZ5/X0=")</f>
        <v>#VALUE!</v>
      </c>
      <c r="DW62" t="e">
        <f>IF("N",'Large Nonlinear Problem'!CCLASStreamConcThickenerFeedStream_Au,"AAAAAGZ5/X4=")</f>
        <v>#VALUE!</v>
      </c>
      <c r="DX62" t="e">
        <f>IF("N",'Large Nonlinear Problem'!CCLASStreamConcThickenerFeedStream_Cu,"AAAAAGZ5/X8=")</f>
        <v>#VALUE!</v>
      </c>
      <c r="DY62" t="e">
        <f>IF("N",'Large Nonlinear Problem'!CCLASStreamConcThickenerFeedStream_F,"AAAAAGZ5/YA=")</f>
        <v>#VALUE!</v>
      </c>
      <c r="DZ62" t="e">
        <f>IF("N",'Large Nonlinear Problem'!CCLASStreamConcThickenerFeedStream_Fe,"AAAAAGZ5/YE=")</f>
        <v>#VALUE!</v>
      </c>
      <c r="EA62" t="e">
        <f>IF("N",'Large Nonlinear Problem'!CCLASStreamConcThickenerFeedStream_Mass,"AAAAAGZ5/YI=")</f>
        <v>#VALUE!</v>
      </c>
      <c r="EB62" t="e">
        <f>IF("N",'Large Nonlinear Problem'!CCLASStreamConcThickenerFeedStream_S,"AAAAAGZ5/YM=")</f>
        <v>#VALUE!</v>
      </c>
      <c r="EC62" t="e">
        <f>IF("N",'Large Nonlinear Problem'!CCLASStreamConcThickenerFeedStream_U,"AAAAAGZ5/YQ=")</f>
        <v>#VALUE!</v>
      </c>
      <c r="ED62" t="e">
        <f>IF("N",'Large Nonlinear Problem'!CCLASStreamFlotationTailsStream_Ag,"AAAAAGZ5/YU=")</f>
        <v>#VALUE!</v>
      </c>
      <c r="EE62" t="e">
        <f>IF("N",'Large Nonlinear Problem'!CCLASStreamFlotationTailsStream_Au,"AAAAAGZ5/YY=")</f>
        <v>#VALUE!</v>
      </c>
      <c r="EF62" t="e">
        <f>IF("N",'Large Nonlinear Problem'!CCLASStreamFlotationTailsStream_Cu,"AAAAAGZ5/Yc=")</f>
        <v>#VALUE!</v>
      </c>
      <c r="EG62" t="e">
        <f>IF("N",'Large Nonlinear Problem'!CCLASStreamFlotationTailsStream_F,"AAAAAGZ5/Yg=")</f>
        <v>#VALUE!</v>
      </c>
      <c r="EH62" t="e">
        <f>IF("N",'Large Nonlinear Problem'!CCLASStreamFlotationTailsStream_Fe,"AAAAAGZ5/Yk=")</f>
        <v>#VALUE!</v>
      </c>
      <c r="EI62" t="e">
        <f>IF("N",'Large Nonlinear Problem'!CCLASStreamFlotationTailsStream_Mass,"AAAAAGZ5/Yo=")</f>
        <v>#VALUE!</v>
      </c>
      <c r="EJ62" t="e">
        <f>IF("N",'Large Nonlinear Problem'!CCLASStreamFlotationTailsStream_S,"AAAAAGZ5/Ys=")</f>
        <v>#VALUE!</v>
      </c>
      <c r="EK62" t="e">
        <f>IF("N",'Large Nonlinear Problem'!CCLASStreamFlotationTailsStream_U,"AAAAAGZ5/Yw=")</f>
        <v>#VALUE!</v>
      </c>
      <c r="EL62" t="e">
        <f>IF("N",'Large Nonlinear Problem'!CCLASStreamRougherFeedStream_Ag,"AAAAAGZ5/Y0=")</f>
        <v>#VALUE!</v>
      </c>
      <c r="EM62" t="e">
        <f>IF("N",'Large Nonlinear Problem'!CCLASStreamRougherFeedStream_Au,"AAAAAGZ5/Y4=")</f>
        <v>#VALUE!</v>
      </c>
      <c r="EN62" t="e">
        <f>IF("N",'Large Nonlinear Problem'!CCLASStreamRougherFeedStream_Cu,"AAAAAGZ5/Y8=")</f>
        <v>#VALUE!</v>
      </c>
      <c r="EO62" t="e">
        <f>IF("N",'Large Nonlinear Problem'!CCLASStreamRougherFeedStream_F,"AAAAAGZ5/ZA=")</f>
        <v>#VALUE!</v>
      </c>
      <c r="EP62" t="e">
        <f>IF("N",'Large Nonlinear Problem'!CCLASStreamRougherFeedStream_Fe,"AAAAAGZ5/ZE=")</f>
        <v>#VALUE!</v>
      </c>
      <c r="EQ62" t="e">
        <f>IF("N",'Large Nonlinear Problem'!CCLASStreamRougherFeedStream_Mass,"AAAAAGZ5/ZI=")</f>
        <v>#VALUE!</v>
      </c>
      <c r="ER62" t="e">
        <f>IF("N",'Large Nonlinear Problem'!CCLASStreamRougherFeedStream_S,"AAAAAGZ5/ZM=")</f>
        <v>#VALUE!</v>
      </c>
      <c r="ES62" t="e">
        <f>IF("N",'Large Nonlinear Problem'!CCLASStreamRougherFeedStream_U,"AAAAAGZ5/ZQ=")</f>
        <v>#VALUE!</v>
      </c>
      <c r="ET62" t="e">
        <f>IF("N",'Large Nonlinear Problem'!ConcStorageTank1_close_Ag,"AAAAAGZ5/ZU=")</f>
        <v>#VALUE!</v>
      </c>
      <c r="EU62" t="e">
        <f>IF("N",'Large Nonlinear Problem'!ConcStorageTank1_close_Au,"AAAAAGZ5/ZY=")</f>
        <v>#VALUE!</v>
      </c>
      <c r="EV62" t="e">
        <f>IF("N",'Large Nonlinear Problem'!ConcStorageTank1_close_Cu,"AAAAAGZ5/Zc=")</f>
        <v>#VALUE!</v>
      </c>
      <c r="EW62" t="e">
        <f>IF("N",'Large Nonlinear Problem'!ConcStorageTank1_close_F,"AAAAAGZ5/Zg=")</f>
        <v>#VALUE!</v>
      </c>
      <c r="EX62" t="e">
        <f>IF("N",'Large Nonlinear Problem'!ConcStorageTank1_close_Fe,"AAAAAGZ5/Zk=")</f>
        <v>#VALUE!</v>
      </c>
      <c r="EY62" t="e">
        <f>IF("N",'Large Nonlinear Problem'!ConcStorageTank1_close_Mass,"AAAAAGZ5/Zo=")</f>
        <v>#VALUE!</v>
      </c>
      <c r="EZ62" t="e">
        <f>IF("N",'Large Nonlinear Problem'!ConcStorageTank1_close_S,"AAAAAGZ5/Zs=")</f>
        <v>#VALUE!</v>
      </c>
      <c r="FA62" t="e">
        <f>IF("N",'Large Nonlinear Problem'!ConcStorageTank1_close_U,"AAAAAGZ5/Zw=")</f>
        <v>#VALUE!</v>
      </c>
      <c r="FB62" t="e">
        <f>IF("N",'Large Nonlinear Problem'!ConcStorageTank1_open_Ag,"AAAAAGZ5/Z0=")</f>
        <v>#VALUE!</v>
      </c>
      <c r="FC62" t="e">
        <f>IF("N",'Large Nonlinear Problem'!ConcStorageTank1_open_Au,"AAAAAGZ5/Z4=")</f>
        <v>#VALUE!</v>
      </c>
      <c r="FD62" t="e">
        <f>IF("N",'Large Nonlinear Problem'!ConcStorageTank1_open_Cu,"AAAAAGZ5/Z8=")</f>
        <v>#VALUE!</v>
      </c>
      <c r="FE62" t="e">
        <f>IF("N",'Large Nonlinear Problem'!ConcStorageTank1_open_F,"AAAAAGZ5/aA=")</f>
        <v>#VALUE!</v>
      </c>
      <c r="FF62" t="e">
        <f>IF("N",'Large Nonlinear Problem'!ConcStorageTank1_open_Fe,"AAAAAGZ5/aE=")</f>
        <v>#VALUE!</v>
      </c>
      <c r="FG62" t="e">
        <f>IF("N",'Large Nonlinear Problem'!ConcStorageTank1_open_Mass,"AAAAAGZ5/aI=")</f>
        <v>#VALUE!</v>
      </c>
      <c r="FH62" t="e">
        <f>IF("N",'Large Nonlinear Problem'!ConcStorageTank1_open_S,"AAAAAGZ5/aM=")</f>
        <v>#VALUE!</v>
      </c>
      <c r="FI62" t="e">
        <f>IF("N",'Large Nonlinear Problem'!ConcStorageTank1_open_U,"AAAAAGZ5/aQ=")</f>
        <v>#VALUE!</v>
      </c>
      <c r="FJ62" t="e">
        <f>IF("N",'Large Nonlinear Problem'!ConcStorageTank1FeedStream_Ag,"AAAAAGZ5/aU=")</f>
        <v>#VALUE!</v>
      </c>
      <c r="FK62" t="e">
        <f>IF("N",'Large Nonlinear Problem'!ConcStorageTank1FeedStream_Au,"AAAAAGZ5/aY=")</f>
        <v>#VALUE!</v>
      </c>
      <c r="FL62" t="e">
        <f>IF("N",'Large Nonlinear Problem'!ConcStorageTank1FeedStream_Cu,"AAAAAGZ5/ac=")</f>
        <v>#VALUE!</v>
      </c>
      <c r="FM62" t="e">
        <f>IF("N",'Large Nonlinear Problem'!ConcStorageTank1FeedStream_F,"AAAAAGZ5/ag=")</f>
        <v>#VALUE!</v>
      </c>
      <c r="FN62" t="e">
        <f>IF("N",'Large Nonlinear Problem'!ConcStorageTank1FeedStream_Fe,"AAAAAGZ5/ak=")</f>
        <v>#VALUE!</v>
      </c>
      <c r="FO62" t="e">
        <f>IF("N",'Large Nonlinear Problem'!ConcStorageTank1FeedStream_Mass,"AAAAAGZ5/ao=")</f>
        <v>#VALUE!</v>
      </c>
      <c r="FP62" t="e">
        <f>IF("N",'Large Nonlinear Problem'!ConcStorageTank1FeedStream_S,"AAAAAGZ5/as=")</f>
        <v>#VALUE!</v>
      </c>
      <c r="FQ62" t="e">
        <f>IF("N",'Large Nonlinear Problem'!ConcStorageTank1FeedStream_U,"AAAAAGZ5/aw=")</f>
        <v>#VALUE!</v>
      </c>
      <c r="FR62" t="e">
        <f>IF("N",'Large Nonlinear Problem'!ConcStorageTank1UnderflowStream_Ag,"AAAAAGZ5/a0=")</f>
        <v>#VALUE!</v>
      </c>
      <c r="FS62" t="e">
        <f>IF("N",'Large Nonlinear Problem'!ConcStorageTank1UnderflowStream_Au,"AAAAAGZ5/a4=")</f>
        <v>#VALUE!</v>
      </c>
      <c r="FT62" t="e">
        <f>IF("N",'Large Nonlinear Problem'!ConcStorageTank1UnderflowStream_Cu,"AAAAAGZ5/a8=")</f>
        <v>#VALUE!</v>
      </c>
      <c r="FU62" t="e">
        <f>IF("N",'Large Nonlinear Problem'!ConcStorageTank1UnderflowStream_F,"AAAAAGZ5/bA=")</f>
        <v>#VALUE!</v>
      </c>
      <c r="FV62" t="e">
        <f>IF("N",'Large Nonlinear Problem'!ConcStorageTank1UnderflowStream_Fe,"AAAAAGZ5/bE=")</f>
        <v>#VALUE!</v>
      </c>
      <c r="FW62" t="e">
        <f>IF("N",'Large Nonlinear Problem'!ConcStorageTank1UnderflowStream_Mass,"AAAAAGZ5/bI=")</f>
        <v>#VALUE!</v>
      </c>
      <c r="FX62" t="e">
        <f>IF("N",'Large Nonlinear Problem'!ConcStorageTank1UnderflowStream_S,"AAAAAGZ5/bM=")</f>
        <v>#VALUE!</v>
      </c>
      <c r="FY62" t="e">
        <f>IF("N",'Large Nonlinear Problem'!ConcStorageTank1UnderflowStream_U,"AAAAAGZ5/bQ=")</f>
        <v>#VALUE!</v>
      </c>
      <c r="FZ62" t="e">
        <f>IF("N",'Large Nonlinear Problem'!ConcStorageTank2_close_Ag,"AAAAAGZ5/bU=")</f>
        <v>#VALUE!</v>
      </c>
      <c r="GA62" t="e">
        <f>IF("N",'Large Nonlinear Problem'!ConcStorageTank2_close_Au,"AAAAAGZ5/bY=")</f>
        <v>#VALUE!</v>
      </c>
      <c r="GB62" t="e">
        <f>IF("N",'Large Nonlinear Problem'!ConcStorageTank2_close_Cu,"AAAAAGZ5/bc=")</f>
        <v>#VALUE!</v>
      </c>
      <c r="GC62" t="e">
        <f>IF("N",'Large Nonlinear Problem'!ConcStorageTank2_close_F,"AAAAAGZ5/bg=")</f>
        <v>#VALUE!</v>
      </c>
      <c r="GD62" t="e">
        <f>IF("N",'Large Nonlinear Problem'!ConcStorageTank2_close_Fe,"AAAAAGZ5/bk=")</f>
        <v>#VALUE!</v>
      </c>
      <c r="GE62" t="e">
        <f>IF("N",'Large Nonlinear Problem'!ConcStorageTank2_close_Mass,"AAAAAGZ5/bo=")</f>
        <v>#VALUE!</v>
      </c>
      <c r="GF62" t="e">
        <f>IF("N",'Large Nonlinear Problem'!ConcStorageTank2_close_S,"AAAAAGZ5/bs=")</f>
        <v>#VALUE!</v>
      </c>
      <c r="GG62" t="e">
        <f>IF("N",'Large Nonlinear Problem'!ConcStorageTank2_close_U,"AAAAAGZ5/bw=")</f>
        <v>#VALUE!</v>
      </c>
      <c r="GH62" t="e">
        <f>IF("N",'Large Nonlinear Problem'!ConcStorageTank2_open_Ag,"AAAAAGZ5/b0=")</f>
        <v>#VALUE!</v>
      </c>
      <c r="GI62" t="e">
        <f>IF("N",'Large Nonlinear Problem'!ConcStorageTank2_open_Au,"AAAAAGZ5/b4=")</f>
        <v>#VALUE!</v>
      </c>
      <c r="GJ62" t="e">
        <f>IF("N",'Large Nonlinear Problem'!ConcStorageTank2_open_Cu,"AAAAAGZ5/b8=")</f>
        <v>#VALUE!</v>
      </c>
      <c r="GK62" t="e">
        <f>IF("N",'Large Nonlinear Problem'!ConcStorageTank2_open_F,"AAAAAGZ5/cA=")</f>
        <v>#VALUE!</v>
      </c>
      <c r="GL62" t="e">
        <f>IF("N",'Large Nonlinear Problem'!ConcStorageTank2_open_Fe,"AAAAAGZ5/cE=")</f>
        <v>#VALUE!</v>
      </c>
      <c r="GM62" t="e">
        <f>IF("N",'Large Nonlinear Problem'!ConcStorageTank2_open_Mass,"AAAAAGZ5/cI=")</f>
        <v>#VALUE!</v>
      </c>
      <c r="GN62" t="e">
        <f>IF("N",'Large Nonlinear Problem'!ConcStorageTank2_open_S,"AAAAAGZ5/cM=")</f>
        <v>#VALUE!</v>
      </c>
      <c r="GO62" t="e">
        <f>IF("N",'Large Nonlinear Problem'!ConcStorageTank2_open_U,"AAAAAGZ5/cQ=")</f>
        <v>#VALUE!</v>
      </c>
      <c r="GP62" t="e">
        <f>IF("N",'Large Nonlinear Problem'!ConcStorageTank2FeedStream_Ag,"AAAAAGZ5/cU=")</f>
        <v>#VALUE!</v>
      </c>
      <c r="GQ62" t="e">
        <f>IF("N",'Large Nonlinear Problem'!ConcStorageTank2FeedStream_Au,"AAAAAGZ5/cY=")</f>
        <v>#VALUE!</v>
      </c>
      <c r="GR62" t="e">
        <f>IF("N",'Large Nonlinear Problem'!ConcStorageTank2FeedStream_Cu,"AAAAAGZ5/cc=")</f>
        <v>#VALUE!</v>
      </c>
      <c r="GS62" t="e">
        <f>IF("N",'Large Nonlinear Problem'!ConcStorageTank2FeedStream_F,"AAAAAGZ5/cg=")</f>
        <v>#VALUE!</v>
      </c>
      <c r="GT62" t="e">
        <f>IF("N",'Large Nonlinear Problem'!ConcStorageTank2FeedStream_Fe,"AAAAAGZ5/ck=")</f>
        <v>#VALUE!</v>
      </c>
      <c r="GU62" t="e">
        <f>IF("N",'Large Nonlinear Problem'!ConcStorageTank2FeedStream_Mass,"AAAAAGZ5/co=")</f>
        <v>#VALUE!</v>
      </c>
      <c r="GV62" t="e">
        <f>IF("N",'Large Nonlinear Problem'!ConcStorageTank2FeedStream_S,"AAAAAGZ5/cs=")</f>
        <v>#VALUE!</v>
      </c>
      <c r="GW62" t="e">
        <f>IF("N",'Large Nonlinear Problem'!ConcStorageTank2FeedStream_U,"AAAAAGZ5/cw=")</f>
        <v>#VALUE!</v>
      </c>
      <c r="GX62" t="e">
        <f>IF("N",'Large Nonlinear Problem'!ConcStorageTank2UnderflowStream_Ag,"AAAAAGZ5/c0=")</f>
        <v>#VALUE!</v>
      </c>
      <c r="GY62" t="e">
        <f>IF("N",'Large Nonlinear Problem'!ConcStorageTank2UnderflowStream_Au,"AAAAAGZ5/c4=")</f>
        <v>#VALUE!</v>
      </c>
      <c r="GZ62" t="e">
        <f>IF("N",'Large Nonlinear Problem'!ConcStorageTank2UnderflowStream_Cu,"AAAAAGZ5/c8=")</f>
        <v>#VALUE!</v>
      </c>
      <c r="HA62" t="e">
        <f>IF("N",'Large Nonlinear Problem'!ConcStorageTank2UnderflowStream_F,"AAAAAGZ5/dA=")</f>
        <v>#VALUE!</v>
      </c>
      <c r="HB62" t="e">
        <f>IF("N",'Large Nonlinear Problem'!ConcStorageTank2UnderflowStream_Fe,"AAAAAGZ5/dE=")</f>
        <v>#VALUE!</v>
      </c>
      <c r="HC62" t="e">
        <f>IF("N",'Large Nonlinear Problem'!ConcStorageTank2UnderflowStream_Mass,"AAAAAGZ5/dI=")</f>
        <v>#VALUE!</v>
      </c>
      <c r="HD62" t="e">
        <f>IF("N",'Large Nonlinear Problem'!ConcStorageTank2UnderflowStream_S,"AAAAAGZ5/dM=")</f>
        <v>#VALUE!</v>
      </c>
      <c r="HE62" t="e">
        <f>IF("N",'Large Nonlinear Problem'!ConcStorageTank2UnderflowStream_U,"AAAAAGZ5/dQ=")</f>
        <v>#VALUE!</v>
      </c>
      <c r="HF62" t="e">
        <f>IF("N",'Large Nonlinear Problem'!ConcThickener_close_Ag,"AAAAAGZ5/dU=")</f>
        <v>#VALUE!</v>
      </c>
      <c r="HG62" t="e">
        <f>IF("N",'Large Nonlinear Problem'!ConcThickener_close_Au,"AAAAAGZ5/dY=")</f>
        <v>#VALUE!</v>
      </c>
      <c r="HH62" t="e">
        <f>IF("N",'Large Nonlinear Problem'!ConcThickener_close_Cu,"AAAAAGZ5/dc=")</f>
        <v>#VALUE!</v>
      </c>
      <c r="HI62" t="e">
        <f>IF("N",'Large Nonlinear Problem'!ConcThickener_close_F,"AAAAAGZ5/dg=")</f>
        <v>#VALUE!</v>
      </c>
      <c r="HJ62" t="e">
        <f>IF("N",'Large Nonlinear Problem'!ConcThickener_close_Fe,"AAAAAGZ5/dk=")</f>
        <v>#VALUE!</v>
      </c>
      <c r="HK62" t="e">
        <f>IF("N",'Large Nonlinear Problem'!ConcThickener_close_Mass,"AAAAAGZ5/do=")</f>
        <v>#VALUE!</v>
      </c>
      <c r="HL62" t="e">
        <f>IF("N",'Large Nonlinear Problem'!ConcThickener_close_S,"AAAAAGZ5/ds=")</f>
        <v>#VALUE!</v>
      </c>
      <c r="HM62" t="e">
        <f>IF("N",'Large Nonlinear Problem'!ConcThickener_close_U,"AAAAAGZ5/dw=")</f>
        <v>#VALUE!</v>
      </c>
      <c r="HN62" t="e">
        <f>IF("N",'Large Nonlinear Problem'!ConcThickener_open_Ag,"AAAAAGZ5/d0=")</f>
        <v>#VALUE!</v>
      </c>
      <c r="HO62" t="e">
        <f>IF("N",'Large Nonlinear Problem'!ConcThickener_open_Au,"AAAAAGZ5/d4=")</f>
        <v>#VALUE!</v>
      </c>
      <c r="HP62" t="e">
        <f>IF("N",'Large Nonlinear Problem'!ConcThickener_open_Cu,"AAAAAGZ5/d8=")</f>
        <v>#VALUE!</v>
      </c>
      <c r="HQ62" t="e">
        <f>IF("N",'Large Nonlinear Problem'!ConcThickener_open_F,"AAAAAGZ5/eA=")</f>
        <v>#VALUE!</v>
      </c>
      <c r="HR62" t="e">
        <f>IF("N",'Large Nonlinear Problem'!ConcThickener_open_Fe,"AAAAAGZ5/eE=")</f>
        <v>#VALUE!</v>
      </c>
      <c r="HS62" t="e">
        <f>IF("N",'Large Nonlinear Problem'!ConcThickener_open_Mass,"AAAAAGZ5/eI=")</f>
        <v>#VALUE!</v>
      </c>
      <c r="HT62" t="e">
        <f>IF("N",'Large Nonlinear Problem'!ConcThickener_open_S,"AAAAAGZ5/eM=")</f>
        <v>#VALUE!</v>
      </c>
      <c r="HU62" t="e">
        <f>IF("N",'Large Nonlinear Problem'!ConcThickener_open_U,"AAAAAGZ5/eQ=")</f>
        <v>#VALUE!</v>
      </c>
      <c r="HV62" t="e">
        <f>IF("N",'Large Nonlinear Problem'!ConcThickenerUnderflowStream_Ag,"AAAAAGZ5/eU=")</f>
        <v>#VALUE!</v>
      </c>
      <c r="HW62" t="e">
        <f>IF("N",'Large Nonlinear Problem'!ConcThickenerUnderflowStream_Au,"AAAAAGZ5/eY=")</f>
        <v>#VALUE!</v>
      </c>
      <c r="HX62" t="e">
        <f>IF("N",'Large Nonlinear Problem'!ConcThickenerUnderflowStream_Cu,"AAAAAGZ5/ec=")</f>
        <v>#VALUE!</v>
      </c>
      <c r="HY62" t="e">
        <f>IF("N",'Large Nonlinear Problem'!ConcThickenerUnderflowStream_F,"AAAAAGZ5/eg=")</f>
        <v>#VALUE!</v>
      </c>
      <c r="HZ62" t="e">
        <f>IF("N",'Large Nonlinear Problem'!ConcThickenerUnderflowStream_Fe,"AAAAAGZ5/ek=")</f>
        <v>#VALUE!</v>
      </c>
      <c r="IA62" t="e">
        <f>IF("N",'Large Nonlinear Problem'!ConcThickenerUnderflowStream_Mass,"AAAAAGZ5/eo=")</f>
        <v>#VALUE!</v>
      </c>
      <c r="IB62" t="e">
        <f>IF("N",'Large Nonlinear Problem'!ConcThickenerUnderflowStream_S,"AAAAAGZ5/es=")</f>
        <v>#VALUE!</v>
      </c>
      <c r="IC62" t="e">
        <f>IF("N",'Large Nonlinear Problem'!ConcThickenerUnderflowStream_U,"AAAAAGZ5/ew=")</f>
        <v>#VALUE!</v>
      </c>
      <c r="ID62" t="e">
        <f>IF("N",'Large Nonlinear Problem'!CrushedOreStream_Ag,"AAAAAGZ5/e0=")</f>
        <v>#VALUE!</v>
      </c>
      <c r="IE62" t="e">
        <f>IF("N",'Large Nonlinear Problem'!CrushedOreStream_Au,"AAAAAGZ5/e4=")</f>
        <v>#VALUE!</v>
      </c>
      <c r="IF62" t="e">
        <f>IF("N",'Large Nonlinear Problem'!CrushedOreStream_Cu,"AAAAAGZ5/e8=")</f>
        <v>#VALUE!</v>
      </c>
      <c r="IG62" t="e">
        <f>IF("N",'Large Nonlinear Problem'!CrushedOreStream_F,"AAAAAGZ5/fA=")</f>
        <v>#VALUE!</v>
      </c>
      <c r="IH62" t="e">
        <f>IF("N",'Large Nonlinear Problem'!CrushedOreStream_Fe,"AAAAAGZ5/fE=")</f>
        <v>#VALUE!</v>
      </c>
      <c r="II62" t="e">
        <f>IF("N",'Large Nonlinear Problem'!CrushedOreStream_S,"AAAAAGZ5/fI=")</f>
        <v>#VALUE!</v>
      </c>
      <c r="IJ62" t="e">
        <f>IF("N",'Large Nonlinear Problem'!CrushedOreStream_U,"AAAAAGZ5/fM=")</f>
        <v>#VALUE!</v>
      </c>
      <c r="IK62" t="e">
        <f>IF("N",'Large Nonlinear Problem'!OSAStreamConcThickenerFeedStream_Ag,"AAAAAGZ5/fQ=")</f>
        <v>#VALUE!</v>
      </c>
      <c r="IL62" t="e">
        <f>IF("N",'Large Nonlinear Problem'!OSAStreamConcThickenerFeedStream_Au,"AAAAAGZ5/fU=")</f>
        <v>#VALUE!</v>
      </c>
      <c r="IM62" t="e">
        <f>IF("N",'Large Nonlinear Problem'!OSAStreamConcThickenerFeedStream_Cu,"AAAAAGZ5/fY=")</f>
        <v>#VALUE!</v>
      </c>
      <c r="IN62" t="e">
        <f>IF("N",'Large Nonlinear Problem'!OSAStreamConcThickenerFeedStream_F,"AAAAAGZ5/fc=")</f>
        <v>#VALUE!</v>
      </c>
      <c r="IO62" t="e">
        <f>IF("N",'Large Nonlinear Problem'!OSAStreamConcThickenerFeedStream_Fe,"AAAAAGZ5/fg=")</f>
        <v>#VALUE!</v>
      </c>
      <c r="IP62" t="e">
        <f>IF("N",'Large Nonlinear Problem'!OSAStreamConcThickenerFeedStream_Mass,"AAAAAGZ5/fk=")</f>
        <v>#VALUE!</v>
      </c>
      <c r="IQ62" t="e">
        <f>IF("N",'Large Nonlinear Problem'!OSAStreamConcThickenerFeedStream_S,"AAAAAGZ5/fo=")</f>
        <v>#VALUE!</v>
      </c>
      <c r="IR62" t="e">
        <f>IF("N",'Large Nonlinear Problem'!OSAStreamConcThickenerFeedStream_U,"AAAAAGZ5/fs=")</f>
        <v>#VALUE!</v>
      </c>
      <c r="IS62" t="e">
        <f>IF("N",'Large Nonlinear Problem'!OSAStreamFlotationTailsStream_Ag,"AAAAAGZ5/fw=")</f>
        <v>#VALUE!</v>
      </c>
      <c r="IT62" t="e">
        <f>IF("N",'Large Nonlinear Problem'!OSAStreamFlotationTailsStream_Au,"AAAAAGZ5/f0=")</f>
        <v>#VALUE!</v>
      </c>
      <c r="IU62" t="e">
        <f>IF("N",'Large Nonlinear Problem'!OSAStreamFlotationTailsStream_Cu,"AAAAAGZ5/f4=")</f>
        <v>#VALUE!</v>
      </c>
      <c r="IV62" t="e">
        <f>IF("N",'Large Nonlinear Problem'!OSAStreamFlotationTailsStream_F,"AAAAAGZ5/f8=")</f>
        <v>#VALUE!</v>
      </c>
    </row>
    <row r="63" spans="1:256">
      <c r="A63" t="e">
        <f>IF("N",'Large Nonlinear Problem'!OSAStreamFlotationTailsStream_Fe,"AAAAAH9f9wA=")</f>
        <v>#VALUE!</v>
      </c>
      <c r="B63" t="e">
        <f>IF("N",'Large Nonlinear Problem'!OSAStreamFlotationTailsStream_Mass,"AAAAAH9f9wE=")</f>
        <v>#VALUE!</v>
      </c>
      <c r="C63" t="e">
        <f>IF("N",'Large Nonlinear Problem'!OSAStreamFlotationTailsStream_S,"AAAAAH9f9wI=")</f>
        <v>#VALUE!</v>
      </c>
      <c r="D63" t="e">
        <f>IF("N",'Large Nonlinear Problem'!OSAStreamFlotationTailsStream_U,"AAAAAH9f9wM=")</f>
        <v>#VALUE!</v>
      </c>
      <c r="E63" t="e">
        <f>IF("N",'Large Nonlinear Problem'!OSAStreamRougherFeedStream_Ag,"AAAAAH9f9wQ=")</f>
        <v>#VALUE!</v>
      </c>
      <c r="F63" t="e">
        <f>IF("N",'Large Nonlinear Problem'!OSAStreamRougherFeedStream_Au,"AAAAAH9f9wU=")</f>
        <v>#VALUE!</v>
      </c>
      <c r="G63" t="e">
        <f>IF("N",'Large Nonlinear Problem'!OSAStreamRougherFeedStream_Cu,"AAAAAH9f9wY=")</f>
        <v>#VALUE!</v>
      </c>
      <c r="H63" t="e">
        <f>IF("N",'Large Nonlinear Problem'!OSAStreamRougherFeedStream_F,"AAAAAH9f9wc=")</f>
        <v>#VALUE!</v>
      </c>
      <c r="I63" t="e">
        <f>IF("N",'Large Nonlinear Problem'!OSAStreamRougherFeedStream_Fe,"AAAAAH9f9wg=")</f>
        <v>#VALUE!</v>
      </c>
      <c r="J63" t="e">
        <f>IF("N",'Large Nonlinear Problem'!OSAStreamRougherFeedStream_Mass,"AAAAAH9f9wk=")</f>
        <v>#VALUE!</v>
      </c>
      <c r="K63" t="e">
        <f>IF("N",'Large Nonlinear Problem'!OSAStreamRougherFeedStream_S,"AAAAAH9f9wo=")</f>
        <v>#VALUE!</v>
      </c>
      <c r="L63" t="e">
        <f>IF("N",'Large Nonlinear Problem'!OSAStreamRougherFeedStream_U,"AAAAAH9f9ws=")</f>
        <v>#VALUE!</v>
      </c>
      <c r="M63" t="e">
        <f>IF("N",'Large Nonlinear Problem'!PressureFilterFeedStream_Ag,"AAAAAH9f9ww=")</f>
        <v>#VALUE!</v>
      </c>
      <c r="N63" t="e">
        <f>IF("N",'Large Nonlinear Problem'!PressureFilterFeedStream_Au,"AAAAAH9f9w0=")</f>
        <v>#VALUE!</v>
      </c>
      <c r="O63" t="e">
        <f>IF("N",'Large Nonlinear Problem'!PressureFilterFeedStream_Cu,"AAAAAH9f9w4=")</f>
        <v>#VALUE!</v>
      </c>
      <c r="P63" t="e">
        <f>IF("N",'Large Nonlinear Problem'!PressureFilterFeedStream_F,"AAAAAH9f9w8=")</f>
        <v>#VALUE!</v>
      </c>
      <c r="Q63" t="e">
        <f>IF("N",'Large Nonlinear Problem'!PressureFilterFeedStream_Fe,"AAAAAH9f9xA=")</f>
        <v>#VALUE!</v>
      </c>
      <c r="R63" t="e">
        <f>IF("N",'Large Nonlinear Problem'!PressureFilterFeedStream_Mass,"AAAAAH9f9xE=")</f>
        <v>#VALUE!</v>
      </c>
      <c r="S63" t="e">
        <f>IF("N",'Large Nonlinear Problem'!PressureFilterFeedStream_S,"AAAAAH9f9xI=")</f>
        <v>#VALUE!</v>
      </c>
      <c r="T63" t="e">
        <f>IF("N",'Large Nonlinear Problem'!PressureFilterFeedStream_U,"AAAAAH9f9xM=")</f>
        <v>#VALUE!</v>
      </c>
      <c r="U63" t="e">
        <f>IF("N",'Large Nonlinear Problem'!PressureFilterUnderflowStream_Ag,"AAAAAH9f9xQ=")</f>
        <v>#VALUE!</v>
      </c>
      <c r="V63" t="e">
        <f>IF("N",'Large Nonlinear Problem'!PressureFilterUnderflowStream_Au,"AAAAAH9f9xU=")</f>
        <v>#VALUE!</v>
      </c>
      <c r="W63" t="e">
        <f>IF("N",'Large Nonlinear Problem'!PressureFilterUnderflowStream_Cu,"AAAAAH9f9xY=")</f>
        <v>#VALUE!</v>
      </c>
      <c r="X63" t="e">
        <f>IF("N",'Large Nonlinear Problem'!PressureFilterUnderflowStream_F,"AAAAAH9f9xc=")</f>
        <v>#VALUE!</v>
      </c>
      <c r="Y63" t="e">
        <f>IF("N",'Large Nonlinear Problem'!PressureFilterUnderflowStream_Fe,"AAAAAH9f9xg=")</f>
        <v>#VALUE!</v>
      </c>
      <c r="Z63" t="e">
        <f>IF("N",'Large Nonlinear Problem'!PressureFilterUnderflowStream_Mass,"AAAAAH9f9xk=")</f>
        <v>#VALUE!</v>
      </c>
      <c r="AA63" t="e">
        <f>IF("N",'Large Nonlinear Problem'!PressureFilterUnderflowStream_S,"AAAAAH9f9xo=")</f>
        <v>#VALUE!</v>
      </c>
      <c r="AB63" t="e">
        <f>IF("N",'Large Nonlinear Problem'!PressureFilterUnderflowStream_U,"AAAAAH9f9xs=")</f>
        <v>#VALUE!</v>
      </c>
      <c r="AC63" t="e">
        <f>IF("N",'Ammonia Reconciliation Problem'!ResolverData,"AAAAAH9f9xw=")</f>
        <v>#VALUE!</v>
      </c>
      <c r="AD63" t="e">
        <f>IF("N",'Large Nonlinear Problem'!ResolverData,"AAAAAH9f9x0=")</f>
        <v>#VALUE!</v>
      </c>
      <c r="AE63" t="e">
        <f>IF("N",'Test1 Problem'!ResolverData,"AAAAAH9f9x4=")</f>
        <v>#VALUE!</v>
      </c>
      <c r="AF63" t="e">
        <f>IF("N",'Large Nonlinear Problem'!SAGMillFeedStream_Ag,"AAAAAH9f9x8=")</f>
        <v>#VALUE!</v>
      </c>
      <c r="AG63" t="e">
        <f>IF("N",'Large Nonlinear Problem'!SAGMillFeedStream_Au,"AAAAAH9f9yA=")</f>
        <v>#VALUE!</v>
      </c>
      <c r="AH63" t="e">
        <f>IF("N",'Large Nonlinear Problem'!SAGMillFeedStream_Cu,"AAAAAH9f9yE=")</f>
        <v>#VALUE!</v>
      </c>
      <c r="AI63" t="e">
        <f>IF("N",'Large Nonlinear Problem'!SAGMillFeedStream_F,"AAAAAH9f9yI=")</f>
        <v>#VALUE!</v>
      </c>
      <c r="AJ63" t="e">
        <f>IF("N",'Large Nonlinear Problem'!SAGMillFeedStream_Fe,"AAAAAH9f9yM=")</f>
        <v>#VALUE!</v>
      </c>
      <c r="AK63" t="e">
        <f>IF("N",'Large Nonlinear Problem'!SAGMillFeedStream_Mass,"AAAAAH9f9yQ=")</f>
        <v>#VALUE!</v>
      </c>
      <c r="AL63" t="e">
        <f>IF("N",'Large Nonlinear Problem'!SAGMillFeedStream_S,"AAAAAH9f9yU=")</f>
        <v>#VALUE!</v>
      </c>
      <c r="AM63" t="e">
        <f>IF("N",'Large Nonlinear Problem'!SAGMillFeedStream_U,"AAAAAH9f9yY=")</f>
        <v>#VALUE!</v>
      </c>
      <c r="AN63" t="e">
        <f>IF("N",'Ammonia Reconciliation Problem'!solver_adj,"AAAAAH9f9yc=")</f>
        <v>#VALUE!</v>
      </c>
      <c r="AO63" t="e">
        <f>IF("N",'Ammonia Reconciliation Problem'!solver_cvg,"AAAAAH9f9yg=")</f>
        <v>#VALUE!</v>
      </c>
      <c r="AP63" t="e">
        <f>IF("N",'Ammonia Reconciliation Problem'!solver_drv,"AAAAAH9f9yk=")</f>
        <v>#VALUE!</v>
      </c>
      <c r="AQ63" t="e">
        <f>IF("N",'Ammonia Reconciliation Problem'!solver_est,"AAAAAH9f9yo=")</f>
        <v>#VALUE!</v>
      </c>
      <c r="AR63" t="e">
        <f>IF("N",'Ammonia Reconciliation Problem'!solver_itr,"AAAAAH9f9ys=")</f>
        <v>#VALUE!</v>
      </c>
      <c r="AS63" t="e">
        <f>IF("N",'Ammonia Reconciliation Problem'!solver_lhs1,"AAAAAH9f9yw=")</f>
        <v>#VALUE!</v>
      </c>
      <c r="AT63" t="e">
        <f>IF("N",'Ammonia Reconciliation Problem'!solver_lhs2,"AAAAAH9f9y0=")</f>
        <v>#VALUE!</v>
      </c>
      <c r="AU63" t="e">
        <f>IF("N",'Ammonia Reconciliation Problem'!solver_lhs3,"AAAAAH9f9y4=")</f>
        <v>#VALUE!</v>
      </c>
      <c r="AV63" t="e">
        <f>IF("N",'Ammonia Reconciliation Problem'!solver_lhs4,"AAAAAH9f9y8=")</f>
        <v>#VALUE!</v>
      </c>
      <c r="AW63" t="e">
        <f>IF("N",'Ammonia Reconciliation Problem'!solver_lin,"AAAAAH9f9zA=")</f>
        <v>#VALUE!</v>
      </c>
      <c r="AX63" t="e">
        <f>IF("N",'Ammonia Reconciliation Problem'!solver_neg,"AAAAAH9f9zE=")</f>
        <v>#VALUE!</v>
      </c>
      <c r="AY63" t="e">
        <f>IF("N",'Ammonia Reconciliation Problem'!solver_num,"AAAAAH9f9zI=")</f>
        <v>#VALUE!</v>
      </c>
      <c r="AZ63" t="e">
        <f>IF("N",'Ammonia Reconciliation Problem'!solver_nwt,"AAAAAH9f9zM=")</f>
        <v>#VALUE!</v>
      </c>
      <c r="BA63" t="e">
        <f>IF("N",'Ammonia Reconciliation Problem'!solver_opt,"AAAAAH9f9zQ=")</f>
        <v>#VALUE!</v>
      </c>
      <c r="BB63" t="e">
        <f>IF("N",'Ammonia Reconciliation Problem'!solver_pre,"AAAAAH9f9zU=")</f>
        <v>#VALUE!</v>
      </c>
      <c r="BC63" t="e">
        <f>IF("N",'Ammonia Reconciliation Problem'!solver_rel1,"AAAAAH9f9zY=")</f>
        <v>#VALUE!</v>
      </c>
      <c r="BD63" t="e">
        <f>IF("N",'Ammonia Reconciliation Problem'!solver_rel2,"AAAAAH9f9zc=")</f>
        <v>#VALUE!</v>
      </c>
      <c r="BE63" t="e">
        <f>IF("N",'Ammonia Reconciliation Problem'!solver_rel3,"AAAAAH9f9zg=")</f>
        <v>#VALUE!</v>
      </c>
      <c r="BF63" t="e">
        <f>IF("N",'Ammonia Reconciliation Problem'!solver_rel4,"AAAAAH9f9zk=")</f>
        <v>#VALUE!</v>
      </c>
      <c r="BG63" t="e">
        <f>IF("N",'Ammonia Reconciliation Problem'!solver_rhs1,"AAAAAH9f9zo=")</f>
        <v>#VALUE!</v>
      </c>
      <c r="BH63" t="e">
        <f>IF("N",'Ammonia Reconciliation Problem'!solver_rhs2,"AAAAAH9f9zs=")</f>
        <v>#VALUE!</v>
      </c>
      <c r="BI63" t="e">
        <f>IF("N",'Ammonia Reconciliation Problem'!solver_rhs3,"AAAAAH9f9zw=")</f>
        <v>#VALUE!</v>
      </c>
      <c r="BJ63" t="e">
        <f>IF("N",'Ammonia Reconciliation Problem'!solver_rhs4,"AAAAAH9f9z0=")</f>
        <v>#VALUE!</v>
      </c>
      <c r="BK63" t="e">
        <f>IF("N",'Ammonia Reconciliation Problem'!solver_scl,"AAAAAH9f9z4=")</f>
        <v>#VALUE!</v>
      </c>
      <c r="BL63" t="e">
        <f>IF("N",'Ammonia Reconciliation Problem'!solver_sho,"AAAAAH9f9z8=")</f>
        <v>#VALUE!</v>
      </c>
      <c r="BM63" t="e">
        <f>IF("N",'Ammonia Reconciliation Problem'!solver_tim,"AAAAAH9f90A=")</f>
        <v>#VALUE!</v>
      </c>
      <c r="BN63" t="e">
        <f>IF("N",'Ammonia Reconciliation Problem'!solver_tol,"AAAAAH9f90E=")</f>
        <v>#VALUE!</v>
      </c>
      <c r="BO63" t="e">
        <f>IF("N",'Ammonia Reconciliation Problem'!solver_typ,"AAAAAH9f90I=")</f>
        <v>#VALUE!</v>
      </c>
      <c r="BP63" t="e">
        <f>IF("N",'Ammonia Reconciliation Problem'!solver_val,"AAAAAH9f90M=")</f>
        <v>#VALUE!</v>
      </c>
      <c r="BQ63" t="e">
        <f>IF("N",'Large Nonlinear Problem'!SpillageReturnStream_Ag,"AAAAAH9f90Q=")</f>
        <v>#VALUE!</v>
      </c>
      <c r="BR63" t="e">
        <f>IF("N",'Large Nonlinear Problem'!SpillageReturnStream_Au,"AAAAAH9f90U=")</f>
        <v>#VALUE!</v>
      </c>
      <c r="BS63" t="e">
        <f>IF("N",'Large Nonlinear Problem'!SpillageReturnStream_Cu,"AAAAAH9f90Y=")</f>
        <v>#VALUE!</v>
      </c>
      <c r="BT63" t="e">
        <f>IF("N",'Large Nonlinear Problem'!SpillageReturnStream_F,"AAAAAH9f90c=")</f>
        <v>#VALUE!</v>
      </c>
      <c r="BU63" t="e">
        <f>IF("N",'Large Nonlinear Problem'!SpillageReturnStream_Fe,"AAAAAH9f90g=")</f>
        <v>#VALUE!</v>
      </c>
      <c r="BV63" t="e">
        <f>IF("N",'Large Nonlinear Problem'!SpillageReturnStream_Mass,"AAAAAH9f90k=")</f>
        <v>#VALUE!</v>
      </c>
      <c r="BW63" t="e">
        <f>IF("N",'Large Nonlinear Problem'!SpillageReturnStream_S,"AAAAAH9f90o=")</f>
        <v>#VALUE!</v>
      </c>
      <c r="BX63" t="e">
        <f>IF("N",'Large Nonlinear Problem'!SpillageReturnStream_U,"AAAAAH9f90s=")</f>
        <v>#VALUE!</v>
      </c>
      <c r="BY63" t="e">
        <f>IF("N",'Large Nonlinear Problem'!TailsThickenerUnderflowStream_Ag,"AAAAAH9f90w=")</f>
        <v>#VALUE!</v>
      </c>
      <c r="BZ63" t="e">
        <f>IF("N",'Large Nonlinear Problem'!TailsThickenerUnderflowStream_Au,"AAAAAH9f900=")</f>
        <v>#VALUE!</v>
      </c>
      <c r="CA63" t="e">
        <f>IF("N",'Large Nonlinear Problem'!TailsThickenerUnderflowStream_Cu,"AAAAAH9f904=")</f>
        <v>#VALUE!</v>
      </c>
      <c r="CB63" t="e">
        <f>IF("N",'Large Nonlinear Problem'!TailsThickenerUnderflowStream_F,"AAAAAH9f908=")</f>
        <v>#VALUE!</v>
      </c>
      <c r="CC63" t="e">
        <f>IF("N",'Large Nonlinear Problem'!TailsThickenerUnderflowStream_Fe,"AAAAAH9f91A=")</f>
        <v>#VALUE!</v>
      </c>
      <c r="CD63" t="e">
        <f>IF("N",'Large Nonlinear Problem'!TailsThickenerUnderflowStream_Mass,"AAAAAH9f91E=")</f>
        <v>#VALUE!</v>
      </c>
      <c r="CE63" t="e">
        <f>IF("N",'Large Nonlinear Problem'!TailsThickenerUnderflowStream_S,"AAAAAH9f91I=")</f>
        <v>#VALUE!</v>
      </c>
      <c r="CF63" t="e">
        <f>IF("N",'Large Nonlinear Problem'!TailsThickenerUnderflowStream_U,"AAAAAH9f91M=")</f>
        <v>#VALUE!</v>
      </c>
      <c r="CG63" t="e">
        <f>IF("N",'Large Nonlinear Problem'!TailsThickening_close_Ag,"AAAAAH9f91Q=")</f>
        <v>#VALUE!</v>
      </c>
      <c r="CH63" t="e">
        <f>IF("N",'Large Nonlinear Problem'!TailsThickening_close_Au,"AAAAAH9f91U=")</f>
        <v>#VALUE!</v>
      </c>
      <c r="CI63" t="e">
        <f>IF("N",'Large Nonlinear Problem'!TailsThickening_close_Cu,"AAAAAH9f91Y=")</f>
        <v>#VALUE!</v>
      </c>
      <c r="CJ63" t="e">
        <f>IF("N",'Large Nonlinear Problem'!TailsThickening_close_F,"AAAAAH9f91c=")</f>
        <v>#VALUE!</v>
      </c>
      <c r="CK63" t="e">
        <f>IF("N",'Large Nonlinear Problem'!TailsThickening_close_Fe,"AAAAAH9f91g=")</f>
        <v>#VALUE!</v>
      </c>
      <c r="CL63" t="e">
        <f>IF("N",'Large Nonlinear Problem'!TailsThickening_close_Mass,"AAAAAH9f91k=")</f>
        <v>#VALUE!</v>
      </c>
      <c r="CM63" t="e">
        <f>IF("N",'Large Nonlinear Problem'!TailsThickening_close_S,"AAAAAH9f91o=")</f>
        <v>#VALUE!</v>
      </c>
      <c r="CN63" t="e">
        <f>IF("N",'Large Nonlinear Problem'!TailsThickening_close_U,"AAAAAH9f91s=")</f>
        <v>#VALUE!</v>
      </c>
      <c r="CO63" t="e">
        <f>IF("N",'Large Nonlinear Problem'!TailsThickening_open_Ag,"AAAAAH9f91w=")</f>
        <v>#VALUE!</v>
      </c>
      <c r="CP63" t="e">
        <f>IF("N",'Large Nonlinear Problem'!TailsThickening_open_Au,"AAAAAH9f910=")</f>
        <v>#VALUE!</v>
      </c>
      <c r="CQ63" t="e">
        <f>IF("N",'Large Nonlinear Problem'!TailsThickening_open_Cu,"AAAAAH9f914=")</f>
        <v>#VALUE!</v>
      </c>
      <c r="CR63" t="e">
        <f>IF("N",'Large Nonlinear Problem'!TailsThickening_open_F,"AAAAAH9f918=")</f>
        <v>#VALUE!</v>
      </c>
      <c r="CS63" t="e">
        <f>IF("N",'Large Nonlinear Problem'!TailsThickening_open_Fe,"AAAAAH9f92A=")</f>
        <v>#VALUE!</v>
      </c>
      <c r="CT63" t="e">
        <f>IF("N",'Large Nonlinear Problem'!TailsThickening_open_Mass,"AAAAAH9f92E=")</f>
        <v>#VALUE!</v>
      </c>
      <c r="CU63" t="e">
        <f>IF("N",'Large Nonlinear Problem'!TailsThickening_open_S,"AAAAAH9f92I=")</f>
        <v>#VALUE!</v>
      </c>
      <c r="CV63" t="e">
        <f>IF("N",'Large Nonlinear Problem'!TailsThickening_open_U,"AAAAAH9f92M=")</f>
        <v>#VALUE!</v>
      </c>
    </row>
  </sheetData>
  <pageMargins left="0.7" right="0.7" top="0.75" bottom="0.75" header="0.3" footer="0.3"/>
  <customProperties>
    <customPr name="DVSECTION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:K516"/>
  <sheetViews>
    <sheetView workbookViewId="0">
      <selection activeCell="G8" sqref="G8"/>
    </sheetView>
  </sheetViews>
  <sheetFormatPr defaultRowHeight="15"/>
  <cols>
    <col min="1" max="1" width="62.7109375" customWidth="1"/>
    <col min="2" max="2" width="36" customWidth="1"/>
    <col min="3" max="3" width="9.7109375" customWidth="1"/>
    <col min="4" max="4" width="8.42578125" bestFit="1" customWidth="1"/>
    <col min="5" max="5" width="14.42578125" customWidth="1"/>
    <col min="6" max="6" width="13.5703125" bestFit="1" customWidth="1"/>
    <col min="7" max="7" width="12" bestFit="1" customWidth="1"/>
  </cols>
  <sheetData>
    <row r="1" spans="1:7">
      <c r="A1" t="s">
        <v>1068</v>
      </c>
      <c r="B1" s="24" t="s">
        <v>808</v>
      </c>
      <c r="C1" s="5" t="s">
        <v>807</v>
      </c>
      <c r="D1" s="5" t="s">
        <v>20</v>
      </c>
      <c r="E1" s="5" t="s">
        <v>807</v>
      </c>
      <c r="F1" s="5"/>
      <c r="G1" s="5" t="s">
        <v>1067</v>
      </c>
    </row>
    <row r="2" spans="1:7" ht="33.75">
      <c r="A2" s="21" t="s">
        <v>1066</v>
      </c>
      <c r="B2" s="21" t="s">
        <v>1065</v>
      </c>
      <c r="C2">
        <f>0</f>
        <v>0</v>
      </c>
      <c r="D2" s="2" t="s">
        <v>0</v>
      </c>
      <c r="E2">
        <f xml:space="preserve"> +ConcStorageTank1UnderflowStream_Mass+ConcStorageTank2UnderflowStream_Mass-PressureFilterFeedStream_Mass-SpillageReturnStream_Mass</f>
        <v>0</v>
      </c>
      <c r="G2">
        <f>MIN($G$8)</f>
        <v>38.957994168075778</v>
      </c>
    </row>
    <row r="3" spans="1:7" ht="56.25">
      <c r="A3" s="25" t="s">
        <v>1064</v>
      </c>
      <c r="B3" s="25" t="s">
        <v>1063</v>
      </c>
      <c r="C3">
        <f>0</f>
        <v>0</v>
      </c>
      <c r="D3" s="2" t="s">
        <v>0</v>
      </c>
      <c r="E3">
        <f xml:space="preserve"> ConcStorageTank1UnderflowStream_Mass * ConcStorageTank1UnderflowStream_Ag+ConcStorageTank2UnderflowStream_Mass * ConcStorageTank2UnderflowStream_Ag-PressureFilterFeedStream_Mass * PressureFilterFeedStream_Ag-SpillageReturnStream_Mass * SpillageReturnStream_Ag</f>
        <v>0</v>
      </c>
      <c r="G3">
        <f>COUNT($C$316:$C$507,$C$510:$C$516)</f>
        <v>199</v>
      </c>
    </row>
    <row r="4" spans="1:7" ht="56.25">
      <c r="A4" s="25" t="s">
        <v>1062</v>
      </c>
      <c r="B4" s="25" t="s">
        <v>1061</v>
      </c>
      <c r="C4">
        <f>0</f>
        <v>0</v>
      </c>
      <c r="D4" s="2" t="s">
        <v>0</v>
      </c>
      <c r="E4">
        <f>ConcStorageTank1UnderflowStream_Mass * ConcStorageTank1UnderflowStream_Au+ConcStorageTank2UnderflowStream_Mass * ConcStorageTank2UnderflowStream_Au-PressureFilterFeedStream_Mass * PressureFilterFeedStream_Au-SpillageReturnStream_Mass * SpillageReturnStream_Au</f>
        <v>-1.1102230246251565E-16</v>
      </c>
      <c r="G4" t="b">
        <f t="array" ref="G4">$C$2:$C$97=$E$2:$E$97</f>
        <v>1</v>
      </c>
    </row>
    <row r="5" spans="1:7" ht="56.25">
      <c r="A5" s="25" t="s">
        <v>1060</v>
      </c>
      <c r="B5" s="25" t="s">
        <v>1059</v>
      </c>
      <c r="C5">
        <f>0</f>
        <v>0</v>
      </c>
      <c r="D5" s="2" t="s">
        <v>0</v>
      </c>
      <c r="E5">
        <f>ConcStorageTank1UnderflowStream_Mass * ConcStorageTank1UnderflowStream_Cu+ConcStorageTank2UnderflowStream_Mass * ConcStorageTank2UnderflowStream_Cu-PressureFilterFeedStream_Mass * PressureFilterFeedStream_Cu-SpillageReturnStream_Mass * SpillageReturnStream_Cu</f>
        <v>0</v>
      </c>
      <c r="G5" t="b">
        <f t="array" ref="G5">$C$100:$C$134=$E$100:$E$134</f>
        <v>1</v>
      </c>
    </row>
    <row r="6" spans="1:7" ht="45">
      <c r="A6" s="25" t="s">
        <v>1058</v>
      </c>
      <c r="B6" s="25" t="s">
        <v>1057</v>
      </c>
      <c r="C6">
        <f>0</f>
        <v>0</v>
      </c>
      <c r="D6" s="2" t="s">
        <v>0</v>
      </c>
      <c r="E6">
        <f>ConcStorageTank1UnderflowStream_Mass * ConcStorageTank1UnderflowStream_F+ConcStorageTank2UnderflowStream_Mass * ConcStorageTank2UnderflowStream_F-PressureFilterFeedStream_Mass * PressureFilterFeedStream_F-SpillageReturnStream_Mass * SpillageReturnStream_F</f>
        <v>0</v>
      </c>
      <c r="G6" t="b">
        <f t="array" ref="G6">$C$139:$C$313&gt;=$E$139:$E$313</f>
        <v>1</v>
      </c>
    </row>
    <row r="7" spans="1:7" ht="56.25">
      <c r="A7" s="25" t="s">
        <v>1056</v>
      </c>
      <c r="B7" s="25" t="s">
        <v>1055</v>
      </c>
      <c r="C7">
        <f>0</f>
        <v>0</v>
      </c>
      <c r="D7" s="2" t="s">
        <v>0</v>
      </c>
      <c r="E7">
        <f>ConcStorageTank1UnderflowStream_Mass * ConcStorageTank1UnderflowStream_Fe+ConcStorageTank2UnderflowStream_Mass * ConcStorageTank2UnderflowStream_Fe-PressureFilterFeedStream_Mass * PressureFilterFeedStream_Fe-SpillageReturnStream_Mass * SpillageReturnStream_Fe</f>
        <v>0</v>
      </c>
      <c r="G7">
        <f>{1000,100,0.000001,5,TRUE,TRUE,TRUE,1,1,1,0.00000001,FALSE,FALSE}</f>
        <v>1000</v>
      </c>
    </row>
    <row r="8" spans="1:7" ht="56.25">
      <c r="A8" s="25" t="s">
        <v>1054</v>
      </c>
      <c r="B8" s="25" t="s">
        <v>1053</v>
      </c>
      <c r="C8">
        <f>0</f>
        <v>0</v>
      </c>
      <c r="D8" s="2" t="s">
        <v>0</v>
      </c>
      <c r="E8">
        <f>ConcStorageTank1UnderflowStream_Mass * ConcStorageTank1UnderflowStream_S+ConcStorageTank2UnderflowStream_Mass * ConcStorageTank2UnderflowStream_S-PressureFilterFeedStream_Mass * PressureFilterFeedStream_S-SpillageReturnStream_Mass * SpillageReturnStream_S</f>
        <v>0</v>
      </c>
      <c r="G8">
        <f>[1]!Gaussian($C$316:$C$507,$C$510:$C$516)</f>
        <v>38.957994168075778</v>
      </c>
    </row>
    <row r="9" spans="1:7" ht="56.25">
      <c r="A9" s="25" t="s">
        <v>1052</v>
      </c>
      <c r="B9" s="25" t="s">
        <v>1051</v>
      </c>
      <c r="C9">
        <f>0</f>
        <v>0</v>
      </c>
      <c r="D9" s="2" t="s">
        <v>0</v>
      </c>
      <c r="E9">
        <f>ConcStorageTank1UnderflowStream_Mass * ConcStorageTank1UnderflowStream_U+ConcStorageTank2UnderflowStream_Mass * ConcStorageTank2UnderflowStream_U-PressureFilterFeedStream_Mass * PressureFilterFeedStream_U-SpillageReturnStream_Mass * SpillageReturnStream_U</f>
        <v>0</v>
      </c>
    </row>
    <row r="10" spans="1:7" ht="22.5">
      <c r="A10" s="21" t="s">
        <v>1050</v>
      </c>
      <c r="B10" s="21" t="s">
        <v>1049</v>
      </c>
      <c r="C10">
        <f>0</f>
        <v>0</v>
      </c>
      <c r="D10" s="2" t="s">
        <v>0</v>
      </c>
      <c r="E10">
        <f xml:space="preserve"> +PressureFilterFeedStream_Mass-PressureFilterUnderflowStream_Mass</f>
        <v>0</v>
      </c>
    </row>
    <row r="11" spans="1:7" ht="33.75">
      <c r="A11" s="21" t="s">
        <v>1048</v>
      </c>
      <c r="B11" s="21" t="s">
        <v>1047</v>
      </c>
      <c r="C11">
        <f>0</f>
        <v>0</v>
      </c>
      <c r="D11" s="2" t="s">
        <v>0</v>
      </c>
      <c r="E11">
        <f xml:space="preserve"> +(PressureFilterFeedStream_Mass * PressureFilterFeedStream_Ag)-(PressureFilterUnderflowStream_Mass * PressureFilterUnderflowStream_Ag)</f>
        <v>0</v>
      </c>
    </row>
    <row r="12" spans="1:7" ht="33.75">
      <c r="A12" s="21" t="s">
        <v>1046</v>
      </c>
      <c r="B12" s="21" t="s">
        <v>1045</v>
      </c>
      <c r="C12">
        <f>0</f>
        <v>0</v>
      </c>
      <c r="D12" s="2" t="s">
        <v>0</v>
      </c>
      <c r="E12">
        <f xml:space="preserve"> +(PressureFilterFeedStream_Mass * PressureFilterFeedStream_Au)-(PressureFilterUnderflowStream_Mass * PressureFilterUnderflowStream_Au)</f>
        <v>0</v>
      </c>
    </row>
    <row r="13" spans="1:7" ht="33.75">
      <c r="A13" s="21" t="s">
        <v>1044</v>
      </c>
      <c r="B13" s="21" t="s">
        <v>1043</v>
      </c>
      <c r="C13">
        <f>0</f>
        <v>0</v>
      </c>
      <c r="D13" s="2" t="s">
        <v>0</v>
      </c>
      <c r="E13">
        <f xml:space="preserve"> +(PressureFilterFeedStream_Mass * PressureFilterFeedStream_Cu)-(PressureFilterUnderflowStream_Mass * PressureFilterUnderflowStream_Cu)</f>
        <v>0</v>
      </c>
    </row>
    <row r="14" spans="1:7" ht="33.75">
      <c r="A14" s="21" t="s">
        <v>1042</v>
      </c>
      <c r="B14" s="21" t="s">
        <v>1041</v>
      </c>
      <c r="C14">
        <f>0</f>
        <v>0</v>
      </c>
      <c r="D14" s="2" t="s">
        <v>0</v>
      </c>
      <c r="E14">
        <f xml:space="preserve"> +(PressureFilterFeedStream_Mass * PressureFilterFeedStream_F)-(PressureFilterUnderflowStream_Mass * PressureFilterUnderflowStream_F)</f>
        <v>0</v>
      </c>
    </row>
    <row r="15" spans="1:7" ht="33.75">
      <c r="A15" s="21" t="s">
        <v>1040</v>
      </c>
      <c r="B15" s="21" t="s">
        <v>1039</v>
      </c>
      <c r="C15">
        <f>0</f>
        <v>0</v>
      </c>
      <c r="D15" s="2" t="s">
        <v>0</v>
      </c>
      <c r="E15">
        <f xml:space="preserve"> +(PressureFilterFeedStream_Mass * PressureFilterFeedStream_Fe)-(PressureFilterUnderflowStream_Mass * PressureFilterUnderflowStream_Fe)</f>
        <v>0</v>
      </c>
    </row>
    <row r="16" spans="1:7" ht="33.75">
      <c r="A16" s="21" t="s">
        <v>1038</v>
      </c>
      <c r="B16" s="21" t="s">
        <v>1037</v>
      </c>
      <c r="C16">
        <f>0</f>
        <v>0</v>
      </c>
      <c r="D16" s="2" t="s">
        <v>0</v>
      </c>
      <c r="E16">
        <f xml:space="preserve"> +(PressureFilterFeedStream_Mass * PressureFilterFeedStream_S)-(PressureFilterUnderflowStream_Mass * PressureFilterUnderflowStream_S)</f>
        <v>0</v>
      </c>
    </row>
    <row r="17" spans="1:5" ht="33.75">
      <c r="A17" s="21" t="s">
        <v>1036</v>
      </c>
      <c r="B17" s="21" t="s">
        <v>1035</v>
      </c>
      <c r="C17">
        <f>0</f>
        <v>0</v>
      </c>
      <c r="D17" s="2" t="s">
        <v>0</v>
      </c>
      <c r="E17">
        <f xml:space="preserve"> +(PressureFilterFeedStream_Mass * PressureFilterFeedStream_U)-(PressureFilterUnderflowStream_Mass * PressureFilterUnderflowStream_U)</f>
        <v>0</v>
      </c>
    </row>
    <row r="18" spans="1:5" ht="33.75">
      <c r="A18" s="21" t="s">
        <v>1034</v>
      </c>
      <c r="B18" s="21" t="s">
        <v>1033</v>
      </c>
      <c r="C18">
        <f>ConcStorageTank1_close_Mass - ConcStorageTank1_open_Mass+0</f>
        <v>-424.76517702792688</v>
      </c>
      <c r="D18" s="2" t="s">
        <v>0</v>
      </c>
      <c r="E18">
        <f xml:space="preserve"> +ConcStorageTank1FeedStream_Mass-ConcStorageTank1UnderflowStream_Mass</f>
        <v>-424.76517702792688</v>
      </c>
    </row>
    <row r="19" spans="1:5" ht="56.25">
      <c r="A19" s="25" t="s">
        <v>1032</v>
      </c>
      <c r="B19" s="25" t="s">
        <v>1031</v>
      </c>
      <c r="C19">
        <f>(ConcStorageTank1_close_Mass * ConcStorageTank1_close_Ag) - (ConcStorageTank1_open_Mass * ConcStorageTank1_open_Ag)+0</f>
        <v>-6.1953079973072791</v>
      </c>
      <c r="D19" s="2" t="s">
        <v>0</v>
      </c>
      <c r="E19">
        <f xml:space="preserve"> +(ConcStorageTank1FeedStream_Mass * ConcStorageTank1FeedStream_Ag)-(ConcStorageTank1UnderflowStream_Mass * ConcStorageTank1UnderflowStream_Ag)</f>
        <v>-6.1953079973072791</v>
      </c>
    </row>
    <row r="20" spans="1:5" ht="56.25">
      <c r="A20" s="25" t="s">
        <v>1030</v>
      </c>
      <c r="B20" s="25" t="s">
        <v>1029</v>
      </c>
      <c r="C20">
        <f>(ConcStorageTank1_close_Mass * ConcStorageTank1_close_Au) - (ConcStorageTank1_open_Mass * ConcStorageTank1_open_Au)+0</f>
        <v>-0.55810206688278508</v>
      </c>
      <c r="D20" s="2" t="s">
        <v>0</v>
      </c>
      <c r="E20">
        <f xml:space="preserve"> +(ConcStorageTank1FeedStream_Mass * ConcStorageTank1FeedStream_Au)-(ConcStorageTank1UnderflowStream_Mass * ConcStorageTank1UnderflowStream_Au)</f>
        <v>-0.55810206688278541</v>
      </c>
    </row>
    <row r="21" spans="1:5" ht="56.25">
      <c r="A21" s="25" t="s">
        <v>1028</v>
      </c>
      <c r="B21" s="25" t="s">
        <v>1027</v>
      </c>
      <c r="C21">
        <f>(ConcStorageTank1_close_Mass * ConcStorageTank1_close_Cu) - (ConcStorageTank1_open_Mass * ConcStorageTank1_open_Cu)+0</f>
        <v>-19880.287978559478</v>
      </c>
      <c r="D21" s="2" t="s">
        <v>0</v>
      </c>
      <c r="E21">
        <f xml:space="preserve"> +(ConcStorageTank1FeedStream_Mass * ConcStorageTank1FeedStream_Cu)-(ConcStorageTank1UnderflowStream_Mass * ConcStorageTank1UnderflowStream_Cu)</f>
        <v>-19880.287978559478</v>
      </c>
    </row>
    <row r="22" spans="1:5" ht="56.25">
      <c r="A22" s="25" t="s">
        <v>1026</v>
      </c>
      <c r="B22" s="25" t="s">
        <v>1025</v>
      </c>
      <c r="C22">
        <f>(ConcStorageTank1_close_Mass * ConcStorageTank1_close_F) - (ConcStorageTank1_open_Mass * ConcStorageTank1_open_F)+0</f>
        <v>-28.46002013943604</v>
      </c>
      <c r="D22" s="2" t="s">
        <v>0</v>
      </c>
      <c r="E22">
        <f xml:space="preserve"> +(ConcStorageTank1FeedStream_Mass * ConcStorageTank1FeedStream_F)-(ConcStorageTank1UnderflowStream_Mass * ConcStorageTank1UnderflowStream_F)</f>
        <v>-28.460020139436043</v>
      </c>
    </row>
    <row r="23" spans="1:5" ht="56.25">
      <c r="A23" s="25" t="s">
        <v>1024</v>
      </c>
      <c r="B23" s="25" t="s">
        <v>1023</v>
      </c>
      <c r="C23">
        <f>(ConcStorageTank1_close_Mass * ConcStorageTank1_close_Fe) - (ConcStorageTank1_open_Mass * ConcStorageTank1_open_Fe)+0</f>
        <v>-6590.2002889651849</v>
      </c>
      <c r="D23" s="2" t="s">
        <v>0</v>
      </c>
      <c r="E23">
        <f xml:space="preserve"> +(ConcStorageTank1FeedStream_Mass * ConcStorageTank1FeedStream_Fe)-(ConcStorageTank1UnderflowStream_Mass * ConcStorageTank1UnderflowStream_Fe)</f>
        <v>-6590.2002889651858</v>
      </c>
    </row>
    <row r="24" spans="1:5" ht="56.25">
      <c r="A24" s="25" t="s">
        <v>1022</v>
      </c>
      <c r="B24" s="25" t="s">
        <v>1021</v>
      </c>
      <c r="C24">
        <f>(ConcStorageTank1_close_Mass * ConcStorageTank1_close_S) - (ConcStorageTank1_open_Mass * ConcStorageTank1_open_S)+0</f>
        <v>-7539.9399692899351</v>
      </c>
      <c r="D24" s="2" t="s">
        <v>0</v>
      </c>
      <c r="E24">
        <f xml:space="preserve"> +(ConcStorageTank1FeedStream_Mass * ConcStorageTank1FeedStream_S)-(ConcStorageTank1UnderflowStream_Mass * ConcStorageTank1UnderflowStream_S)</f>
        <v>-7539.9399692899369</v>
      </c>
    </row>
    <row r="25" spans="1:5" ht="56.25">
      <c r="A25" s="25" t="s">
        <v>1020</v>
      </c>
      <c r="B25" s="25" t="s">
        <v>1019</v>
      </c>
      <c r="C25">
        <f>(ConcStorageTank1_close_Mass * ConcStorageTank1_close_U) - (ConcStorageTank1_open_Mass * ConcStorageTank1_open_U)+0</f>
        <v>-2.1700264890555014</v>
      </c>
      <c r="D25" s="2" t="s">
        <v>0</v>
      </c>
      <c r="E25">
        <f xml:space="preserve"> +(ConcStorageTank1FeedStream_Mass * ConcStorageTank1FeedStream_U)-(ConcStorageTank1UnderflowStream_Mass * ConcStorageTank1UnderflowStream_U)</f>
        <v>-2.1700264890555019</v>
      </c>
    </row>
    <row r="26" spans="1:5" ht="33.75">
      <c r="A26" s="21" t="s">
        <v>1018</v>
      </c>
      <c r="B26" s="21" t="s">
        <v>1017</v>
      </c>
      <c r="C26">
        <f>ConcStorageTank2_close_Mass - ConcStorageTank2_open_Mass+0</f>
        <v>299.8000382737593</v>
      </c>
      <c r="D26" s="2" t="s">
        <v>0</v>
      </c>
      <c r="E26">
        <f xml:space="preserve"> +ConcStorageTank2FeedStream_Mass-ConcStorageTank2UnderflowStream_Mass</f>
        <v>299.8000382737593</v>
      </c>
    </row>
    <row r="27" spans="1:5" ht="56.25">
      <c r="A27" s="25" t="s">
        <v>1016</v>
      </c>
      <c r="B27" s="25" t="s">
        <v>1015</v>
      </c>
      <c r="C27">
        <f>(ConcStorageTank2_close_Mass * ConcStorageTank2_close_Ag) - (ConcStorageTank2_open_Mass * ConcStorageTank2_open_Ag)+0</f>
        <v>4.3622764084334893</v>
      </c>
      <c r="D27" s="2" t="s">
        <v>0</v>
      </c>
      <c r="E27">
        <f xml:space="preserve"> +(ConcStorageTank2FeedStream_Mass * ConcStorageTank2FeedStream_Ag)-(ConcStorageTank2UnderflowStream_Mass * ConcStorageTank2UnderflowStream_Ag)</f>
        <v>4.3622764083837309</v>
      </c>
    </row>
    <row r="28" spans="1:5" ht="56.25">
      <c r="A28" s="25" t="s">
        <v>1014</v>
      </c>
      <c r="B28" s="25" t="s">
        <v>1013</v>
      </c>
      <c r="C28">
        <f>(ConcStorageTank2_close_Mass * ConcStorageTank2_close_Au) - (ConcStorageTank2_open_Mass * ConcStorageTank2_open_Au)+0</f>
        <v>0.40107021611343757</v>
      </c>
      <c r="D28" s="2" t="s">
        <v>0</v>
      </c>
      <c r="E28">
        <f xml:space="preserve"> +(ConcStorageTank2FeedStream_Mass * ConcStorageTank2FeedStream_Au)-(ConcStorageTank2UnderflowStream_Mass * ConcStorageTank2UnderflowStream_Au)</f>
        <v>0.40107021583090802</v>
      </c>
    </row>
    <row r="29" spans="1:5" ht="56.25">
      <c r="A29" s="25" t="s">
        <v>1012</v>
      </c>
      <c r="B29" s="25" t="s">
        <v>1011</v>
      </c>
      <c r="C29">
        <f>(ConcStorageTank2_close_Mass * ConcStorageTank2_close_Cu) - (ConcStorageTank2_open_Mass * ConcStorageTank2_open_Cu)+0</f>
        <v>14219.948073013786</v>
      </c>
      <c r="D29" s="2" t="s">
        <v>0</v>
      </c>
      <c r="E29">
        <f xml:space="preserve"> +(ConcStorageTank2FeedStream_Mass * ConcStorageTank2FeedStream_Cu)-(ConcStorageTank2UnderflowStream_Mass * ConcStorageTank2UnderflowStream_Cu)</f>
        <v>14219.948073222067</v>
      </c>
    </row>
    <row r="30" spans="1:5" ht="56.25">
      <c r="A30" s="25" t="s">
        <v>1010</v>
      </c>
      <c r="B30" s="25" t="s">
        <v>1009</v>
      </c>
      <c r="C30">
        <f>(ConcStorageTank2_close_Mass * ConcStorageTank2_close_F) - (ConcStorageTank2_open_Mass * ConcStorageTank2_open_F)+0</f>
        <v>20.973039336819049</v>
      </c>
      <c r="D30" s="2" t="s">
        <v>0</v>
      </c>
      <c r="E30">
        <f xml:space="preserve"> +(ConcStorageTank2FeedStream_Mass * ConcStorageTank2FeedStream_F)-(ConcStorageTank2UnderflowStream_Mass * ConcStorageTank2UnderflowStream_F)</f>
        <v>20.973039336741731</v>
      </c>
    </row>
    <row r="31" spans="1:5" ht="56.25">
      <c r="A31" s="25" t="s">
        <v>1008</v>
      </c>
      <c r="B31" s="25" t="s">
        <v>1007</v>
      </c>
      <c r="C31">
        <f>(ConcStorageTank2_close_Mass * ConcStorageTank2_close_Fe) - (ConcStorageTank2_open_Mass * ConcStorageTank2_open_Fe)+0</f>
        <v>4579.7156576863117</v>
      </c>
      <c r="D31" s="2" t="s">
        <v>0</v>
      </c>
      <c r="E31">
        <f xml:space="preserve"> +(ConcStorageTank2FeedStream_Mass * ConcStorageTank2FeedStream_Fe)-(ConcStorageTank2UnderflowStream_Mass * ConcStorageTank2UnderflowStream_Fe)</f>
        <v>4579.7156576864472</v>
      </c>
    </row>
    <row r="32" spans="1:5" ht="56.25">
      <c r="A32" s="25" t="s">
        <v>1006</v>
      </c>
      <c r="B32" s="25" t="s">
        <v>1005</v>
      </c>
      <c r="C32">
        <f>(ConcStorageTank2_close_Mass * ConcStorageTank2_close_S) - (ConcStorageTank2_open_Mass * ConcStorageTank2_open_S)+0</f>
        <v>5393.4802615360204</v>
      </c>
      <c r="D32" s="2" t="s">
        <v>0</v>
      </c>
      <c r="E32">
        <f xml:space="preserve"> +(ConcStorageTank2FeedStream_Mass * ConcStorageTank2FeedStream_S)-(ConcStorageTank2UnderflowStream_Mass * ConcStorageTank2UnderflowStream_S)</f>
        <v>5393.4802614278415</v>
      </c>
    </row>
    <row r="33" spans="1:5" ht="56.25">
      <c r="A33" s="25" t="s">
        <v>1004</v>
      </c>
      <c r="B33" s="25" t="s">
        <v>1003</v>
      </c>
      <c r="C33">
        <f>(ConcStorageTank2_close_Mass * ConcStorageTank2_close_U) - (ConcStorageTank2_open_Mass * ConcStorageTank2_open_U)+0</f>
        <v>1.6979875473490185</v>
      </c>
      <c r="D33" s="2" t="s">
        <v>0</v>
      </c>
      <c r="E33">
        <f xml:space="preserve"> +(ConcStorageTank2FeedStream_Mass * ConcStorageTank2FeedStream_U)-(ConcStorageTank2UnderflowStream_Mass * ConcStorageTank2UnderflowStream_U)</f>
        <v>1.6979875473104151</v>
      </c>
    </row>
    <row r="34" spans="1:5" ht="45">
      <c r="A34" s="21" t="s">
        <v>1002</v>
      </c>
      <c r="B34" s="21" t="s">
        <v>1001</v>
      </c>
      <c r="C34">
        <f>ConcThickener_close_Mass - ConcThickener_open_Mass+0</f>
        <v>-3.1760878055688408</v>
      </c>
      <c r="D34" s="2" t="s">
        <v>0</v>
      </c>
      <c r="E34">
        <f xml:space="preserve"> +CCLASStreamConcThickenerFeedStream_Mass+SpillageReturnStream_Mass-ConcThickenerUnderflowStream_Mass</f>
        <v>-3.1760878055689545</v>
      </c>
    </row>
    <row r="35" spans="1:5" ht="33.75">
      <c r="A35" s="21" t="s">
        <v>1000</v>
      </c>
      <c r="B35" s="21" t="s">
        <v>999</v>
      </c>
      <c r="C35">
        <f>0</f>
        <v>0</v>
      </c>
      <c r="D35" s="2" t="s">
        <v>0</v>
      </c>
      <c r="E35">
        <f xml:space="preserve"> +OSAStreamConcThickenerFeedStream_Mass-CCLASStreamConcThickenerFeedStream_Mass</f>
        <v>0</v>
      </c>
    </row>
    <row r="36" spans="1:5" ht="56.25">
      <c r="A36" s="21" t="s">
        <v>998</v>
      </c>
      <c r="B36" s="21" t="s">
        <v>997</v>
      </c>
      <c r="C36">
        <f>0</f>
        <v>0</v>
      </c>
      <c r="D36" s="2" t="s">
        <v>0</v>
      </c>
      <c r="E36">
        <f xml:space="preserve"> +(OSAStreamConcThickenerFeedStream_Mass * OSAStreamConcThickenerFeedStream_Ag)-(CCLASStreamConcThickenerFeedStream_Mass * CCLASStreamConcThickenerFeedStream_Ag)</f>
        <v>1.4151133598261367E-8</v>
      </c>
    </row>
    <row r="37" spans="1:5" ht="56.25">
      <c r="A37" s="21" t="s">
        <v>996</v>
      </c>
      <c r="B37" s="21" t="s">
        <v>995</v>
      </c>
      <c r="C37">
        <f>0</f>
        <v>0</v>
      </c>
      <c r="D37" s="2" t="s">
        <v>0</v>
      </c>
      <c r="E37">
        <f xml:space="preserve"> +(OSAStreamConcThickenerFeedStream_Mass * OSAStreamConcThickenerFeedStream_Au)-(CCLASStreamConcThickenerFeedStream_Mass * CCLASStreamConcThickenerFeedStream_Au)</f>
        <v>3.3458186221579922E-10</v>
      </c>
    </row>
    <row r="38" spans="1:5" ht="56.25">
      <c r="A38" s="21" t="s">
        <v>994</v>
      </c>
      <c r="B38" s="21" t="s">
        <v>993</v>
      </c>
      <c r="C38">
        <f>0</f>
        <v>0</v>
      </c>
      <c r="D38" s="2" t="s">
        <v>0</v>
      </c>
      <c r="E38">
        <f xml:space="preserve"> +(OSAStreamConcThickenerFeedStream_Mass * OSAStreamConcThickenerFeedStream_Cu)-(CCLASStreamConcThickenerFeedStream_Mass * CCLASStreamConcThickenerFeedStream_Cu)</f>
        <v>3.1231364118866622E-5</v>
      </c>
    </row>
    <row r="39" spans="1:5" ht="56.25">
      <c r="A39" s="21" t="s">
        <v>992</v>
      </c>
      <c r="B39" s="21" t="s">
        <v>991</v>
      </c>
      <c r="C39">
        <f>0</f>
        <v>0</v>
      </c>
      <c r="D39" s="2" t="s">
        <v>0</v>
      </c>
      <c r="E39">
        <f xml:space="preserve"> +(OSAStreamConcThickenerFeedStream_Mass * OSAStreamConcThickenerFeedStream_F)-(CCLASStreamConcThickenerFeedStream_Mass * CCLASStreamConcThickenerFeedStream_F)</f>
        <v>-1.1002021693684583E-7</v>
      </c>
    </row>
    <row r="40" spans="1:5" ht="56.25">
      <c r="A40" s="21" t="s">
        <v>990</v>
      </c>
      <c r="B40" s="21" t="s">
        <v>989</v>
      </c>
      <c r="C40">
        <f>0</f>
        <v>0</v>
      </c>
      <c r="D40" s="2" t="s">
        <v>0</v>
      </c>
      <c r="E40">
        <f xml:space="preserve"> +(OSAStreamConcThickenerFeedStream_Mass * OSAStreamConcThickenerFeedStream_Fe)-(CCLASStreamConcThickenerFeedStream_Mass * CCLASStreamConcThickenerFeedStream_Fe)</f>
        <v>2.6981228074873798E-5</v>
      </c>
    </row>
    <row r="41" spans="1:5" ht="56.25">
      <c r="A41" s="21" t="s">
        <v>988</v>
      </c>
      <c r="B41" s="21" t="s">
        <v>987</v>
      </c>
      <c r="C41">
        <f>0</f>
        <v>0</v>
      </c>
      <c r="D41" s="2" t="s">
        <v>0</v>
      </c>
      <c r="E41">
        <f xml:space="preserve"> +(OSAStreamConcThickenerFeedStream_Mass * OSAStreamConcThickenerFeedStream_S)-(CCLASStreamConcThickenerFeedStream_Mass * CCLASStreamConcThickenerFeedStream_S)</f>
        <v>8.1805201261886396E-6</v>
      </c>
    </row>
    <row r="42" spans="1:5" ht="56.25">
      <c r="A42" s="21" t="s">
        <v>986</v>
      </c>
      <c r="B42" s="21" t="s">
        <v>985</v>
      </c>
      <c r="C42">
        <f>0</f>
        <v>0</v>
      </c>
      <c r="D42" s="2" t="s">
        <v>0</v>
      </c>
      <c r="E42">
        <f xml:space="preserve"> +(OSAStreamConcThickenerFeedStream_Mass * OSAStreamConcThickenerFeedStream_U)-(CCLASStreamConcThickenerFeedStream_Mass * CCLASStreamConcThickenerFeedStream_U)</f>
        <v>-2.3301184981505685E-8</v>
      </c>
    </row>
    <row r="43" spans="1:5" ht="33.75">
      <c r="A43" s="21" t="s">
        <v>984</v>
      </c>
      <c r="B43" s="21" t="s">
        <v>983</v>
      </c>
      <c r="C43">
        <f>0</f>
        <v>0</v>
      </c>
      <c r="D43" s="2" t="s">
        <v>0</v>
      </c>
      <c r="E43">
        <f xml:space="preserve"> +ConcThickenerUnderflowStream_Mass-ConcStorageTank1FeedStream_Mass-ConcStorageTank2FeedStream_Mass</f>
        <v>0</v>
      </c>
    </row>
    <row r="44" spans="1:5" ht="45">
      <c r="A44" s="21" t="s">
        <v>982</v>
      </c>
      <c r="B44" s="21" t="s">
        <v>981</v>
      </c>
      <c r="C44">
        <f>0</f>
        <v>0</v>
      </c>
      <c r="D44" s="2" t="s">
        <v>0</v>
      </c>
      <c r="E44">
        <f xml:space="preserve"> +(ConcThickenerUnderflowStream_Mass * ConcThickenerUnderflowStream_Ag)-(ConcStorageTank1FeedStream_Mass * ConcStorageTank1FeedStream_Ag)-(ConcStorageTank2FeedStream_Mass * ConcStorageTank2FeedStream_Ag)</f>
        <v>-1.3028689238581137E-11</v>
      </c>
    </row>
    <row r="45" spans="1:5" ht="45">
      <c r="A45" s="21" t="s">
        <v>980</v>
      </c>
      <c r="B45" s="21" t="s">
        <v>979</v>
      </c>
      <c r="C45">
        <f>0</f>
        <v>0</v>
      </c>
      <c r="D45" s="2" t="s">
        <v>0</v>
      </c>
      <c r="E45">
        <f xml:space="preserve"> +(ConcThickenerUnderflowStream_Mass * ConcThickenerUnderflowStream_Au)-(ConcStorageTank1FeedStream_Mass * ConcStorageTank1FeedStream_Au)-(ConcStorageTank2FeedStream_Mass * ConcStorageTank2FeedStream_Au)</f>
        <v>-2.7610380648468436E-10</v>
      </c>
    </row>
    <row r="46" spans="1:5" ht="45">
      <c r="A46" s="21" t="s">
        <v>978</v>
      </c>
      <c r="B46" s="21" t="s">
        <v>977</v>
      </c>
      <c r="C46">
        <f>0</f>
        <v>0</v>
      </c>
      <c r="D46" s="2" t="s">
        <v>0</v>
      </c>
      <c r="E46">
        <f xml:space="preserve"> +(ConcThickenerUnderflowStream_Mass * ConcThickenerUnderflowStream_Cu)-(ConcStorageTank1FeedStream_Mass * ConcStorageTank1FeedStream_Cu)-(ConcStorageTank2FeedStream_Mass * ConcStorageTank2FeedStream_Cu)</f>
        <v>-3.4742697607725859E-10</v>
      </c>
    </row>
    <row r="47" spans="1:5" ht="45">
      <c r="A47" s="21" t="s">
        <v>976</v>
      </c>
      <c r="B47" s="21" t="s">
        <v>975</v>
      </c>
      <c r="C47">
        <f>0</f>
        <v>0</v>
      </c>
      <c r="D47" s="2" t="s">
        <v>0</v>
      </c>
      <c r="E47">
        <f xml:space="preserve"> +(ConcThickenerUnderflowStream_Mass * ConcThickenerUnderflowStream_F)-(ConcStorageTank1FeedStream_Mass * ConcStorageTank1FeedStream_F)-(ConcStorageTank2FeedStream_Mass * ConcStorageTank2FeedStream_F)</f>
        <v>-2.4904522888391512E-12</v>
      </c>
    </row>
    <row r="48" spans="1:5" ht="45">
      <c r="A48" s="21" t="s">
        <v>974</v>
      </c>
      <c r="B48" s="21" t="s">
        <v>973</v>
      </c>
      <c r="C48">
        <f>0</f>
        <v>0</v>
      </c>
      <c r="D48" s="2" t="s">
        <v>0</v>
      </c>
      <c r="E48">
        <f xml:space="preserve"> +(ConcThickenerUnderflowStream_Mass * ConcThickenerUnderflowStream_Fe)-(ConcStorageTank1FeedStream_Mass * ConcStorageTank1FeedStream_Fe)-(ConcStorageTank2FeedStream_Mass * ConcStorageTank2FeedStream_Fe)</f>
        <v>-2.801243681460619E-10</v>
      </c>
    </row>
    <row r="49" spans="1:5" ht="45">
      <c r="A49" s="21" t="s">
        <v>972</v>
      </c>
      <c r="B49" s="21" t="s">
        <v>971</v>
      </c>
      <c r="C49">
        <f>0</f>
        <v>0</v>
      </c>
      <c r="D49" s="2" t="s">
        <v>0</v>
      </c>
      <c r="E49">
        <f xml:space="preserve"> +(ConcThickenerUnderflowStream_Mass * ConcThickenerUnderflowStream_S)-(ConcStorageTank1FeedStream_Mass * ConcStorageTank1FeedStream_S)-(ConcStorageTank2FeedStream_Mass * ConcStorageTank2FeedStream_S)</f>
        <v>-2.0554580260068178E-10</v>
      </c>
    </row>
    <row r="50" spans="1:5" ht="45">
      <c r="A50" s="21" t="s">
        <v>970</v>
      </c>
      <c r="B50" s="21" t="s">
        <v>969</v>
      </c>
      <c r="C50">
        <f>0</f>
        <v>0</v>
      </c>
      <c r="D50" s="2" t="s">
        <v>0</v>
      </c>
      <c r="E50">
        <f xml:space="preserve"> +(ConcThickenerUnderflowStream_Mass * ConcThickenerUnderflowStream_U)-(ConcStorageTank1FeedStream_Mass * ConcStorageTank1FeedStream_U)-(ConcStorageTank2FeedStream_Mass * ConcStorageTank2FeedStream_U)</f>
        <v>-2.719890979108186E-11</v>
      </c>
    </row>
    <row r="51" spans="1:5" ht="67.5">
      <c r="A51" s="25" t="s">
        <v>968</v>
      </c>
      <c r="B51" s="25" t="s">
        <v>967</v>
      </c>
      <c r="C51">
        <f>(ConcThickener_close_Mass * ConcThickener_close_Ag) - (ConcThickener_open_Mass * ConcThickener_open_Ag)+0</f>
        <v>-3.968915804561135E-2</v>
      </c>
      <c r="D51" s="2" t="s">
        <v>0</v>
      </c>
      <c r="E51">
        <f xml:space="preserve"> +(CCLASStreamConcThickenerFeedStream_Mass * CCLASStreamConcThickenerFeedStream_Ag)+(SpillageReturnStream_Mass * SpillageReturnStream_Ag)-(ConcThickenerUnderflowStream_Mass * ConcThickenerUnderflowStream_Ag)</f>
        <v>-3.9689102255582753E-2</v>
      </c>
    </row>
    <row r="52" spans="1:5" ht="67.5">
      <c r="A52" s="25" t="s">
        <v>966</v>
      </c>
      <c r="B52" s="25" t="s">
        <v>965</v>
      </c>
      <c r="C52">
        <f>(ConcThickener_close_Mass * ConcThickener_close_Au) - (ConcThickener_open_Mass * ConcThickener_open_Au)+0</f>
        <v>-1.3646446943105239E-3</v>
      </c>
      <c r="D52" s="2" t="s">
        <v>0</v>
      </c>
      <c r="E52">
        <f xml:space="preserve"> +(CCLASStreamConcThickenerFeedStream_Mass * CCLASStreamConcThickenerFeedStream_Au)+(SpillageReturnStream_Mass * SpillageReturnStream_Au)-(ConcThickenerUnderflowStream_Mass * ConcThickenerUnderflowStream_Au)</f>
        <v>-1.3646331218228336E-3</v>
      </c>
    </row>
    <row r="53" spans="1:5" ht="67.5">
      <c r="A53" s="25" t="s">
        <v>964</v>
      </c>
      <c r="B53" s="25" t="s">
        <v>963</v>
      </c>
      <c r="C53">
        <f>(ConcThickener_close_Mass * ConcThickener_close_Cu) - (ConcThickener_open_Mass * ConcThickener_open_Cu)+0</f>
        <v>-59.637853200707468</v>
      </c>
      <c r="D53" s="2" t="s">
        <v>0</v>
      </c>
      <c r="E53">
        <f xml:space="preserve"> +(CCLASStreamConcThickenerFeedStream_Mass * CCLASStreamConcThickenerFeedStream_Cu)+(SpillageReturnStream_Mass * SpillageReturnStream_Cu)-(ConcThickenerUnderflowStream_Mass * ConcThickenerUnderflowStream_Cu)</f>
        <v>-59.638249365802039</v>
      </c>
    </row>
    <row r="54" spans="1:5" ht="67.5">
      <c r="A54" s="25" t="s">
        <v>962</v>
      </c>
      <c r="B54" s="25" t="s">
        <v>961</v>
      </c>
      <c r="C54">
        <f>(ConcThickener_close_Mass * ConcThickener_close_F) - (ConcThickener_open_Mass * ConcThickener_open_F)+0</f>
        <v>0.29663835131549376</v>
      </c>
      <c r="D54" s="2" t="s">
        <v>0</v>
      </c>
      <c r="E54">
        <f xml:space="preserve"> +(CCLASStreamConcThickenerFeedStream_Mass * CCLASStreamConcThickenerFeedStream_F)+(SpillageReturnStream_Mass * SpillageReturnStream_F)-(ConcThickenerUnderflowStream_Mass * ConcThickenerUnderflowStream_F)</f>
        <v>0.29663861302845973</v>
      </c>
    </row>
    <row r="55" spans="1:5" ht="67.5">
      <c r="A55" s="25" t="s">
        <v>960</v>
      </c>
      <c r="B55" s="25" t="s">
        <v>959</v>
      </c>
      <c r="C55">
        <f>(ConcThickener_close_Mass * ConcThickener_close_Fe) - (ConcThickener_open_Mass * ConcThickener_open_Fe)+0</f>
        <v>-69.422498698102572</v>
      </c>
      <c r="D55" s="2" t="s">
        <v>0</v>
      </c>
      <c r="E55">
        <f xml:space="preserve"> +(CCLASStreamConcThickenerFeedStream_Mass * CCLASStreamConcThickenerFeedStream_Fe)+(SpillageReturnStream_Mass * SpillageReturnStream_Fe)-(ConcThickenerUnderflowStream_Mass * ConcThickenerUnderflowStream_Fe)</f>
        <v>-69.422522046213999</v>
      </c>
    </row>
    <row r="56" spans="1:5" ht="67.5">
      <c r="A56" s="25" t="s">
        <v>958</v>
      </c>
      <c r="B56" s="25" t="s">
        <v>957</v>
      </c>
      <c r="C56">
        <f>(ConcThickener_close_Mass * ConcThickener_close_S) - (ConcThickener_open_Mass * ConcThickener_open_S)+0</f>
        <v>-22.459089474792563</v>
      </c>
      <c r="D56" s="2" t="s">
        <v>0</v>
      </c>
      <c r="E56">
        <f xml:space="preserve"> +(CCLASStreamConcThickenerFeedStream_Mass * CCLASStreamConcThickenerFeedStream_S)+(SpillageReturnStream_Mass * SpillageReturnStream_S)-(ConcThickenerUnderflowStream_Mass * ConcThickenerUnderflowStream_S)</f>
        <v>-22.458897707035248</v>
      </c>
    </row>
    <row r="57" spans="1:5" ht="67.5">
      <c r="A57" s="25" t="s">
        <v>956</v>
      </c>
      <c r="B57" s="25" t="s">
        <v>955</v>
      </c>
      <c r="C57">
        <f>(ConcThickener_close_Mass * ConcThickener_close_U) - (ConcThickener_open_Mass * ConcThickener_open_U)+0</f>
        <v>6.6085144949852292E-2</v>
      </c>
      <c r="D57" s="2" t="s">
        <v>0</v>
      </c>
      <c r="E57">
        <f xml:space="preserve"> +(CCLASStreamConcThickenerFeedStream_Mass * CCLASStreamConcThickenerFeedStream_U)+(SpillageReturnStream_Mass * SpillageReturnStream_U)-(ConcThickenerUnderflowStream_Mass * ConcThickenerUnderflowStream_U)</f>
        <v>6.608519029659754E-2</v>
      </c>
    </row>
    <row r="58" spans="1:5" ht="22.5">
      <c r="A58" s="21" t="s">
        <v>954</v>
      </c>
      <c r="B58" s="21" t="s">
        <v>953</v>
      </c>
      <c r="C58">
        <f>0</f>
        <v>0</v>
      </c>
      <c r="D58" s="2" t="s">
        <v>0</v>
      </c>
      <c r="E58">
        <f xml:space="preserve"> +CCLASStreamRougherFeedStream_Mass-OSAStreamConcThickenerFeedStream_Mass-OSAStreamFlotationTailsStream_Mass</f>
        <v>0</v>
      </c>
    </row>
    <row r="59" spans="1:5" ht="22.5">
      <c r="A59" s="21" t="s">
        <v>952</v>
      </c>
      <c r="B59" s="21" t="s">
        <v>951</v>
      </c>
      <c r="C59">
        <f>0</f>
        <v>0</v>
      </c>
      <c r="D59" s="2" t="s">
        <v>0</v>
      </c>
      <c r="E59">
        <f xml:space="preserve"> +OSAStreamFlotationTailsStream_Mass-CCLASStreamFlotationTailsStream_Mass</f>
        <v>0</v>
      </c>
    </row>
    <row r="60" spans="1:5" ht="33.75">
      <c r="A60" s="21" t="s">
        <v>950</v>
      </c>
      <c r="B60" s="21" t="s">
        <v>949</v>
      </c>
      <c r="C60">
        <f>0</f>
        <v>0</v>
      </c>
      <c r="D60" s="2" t="s">
        <v>0</v>
      </c>
      <c r="E60">
        <f xml:space="preserve"> +(OSAStreamFlotationTailsStream_Mass * OSAStreamFlotationTailsStream_Ag)-(CCLASStreamFlotationTailsStream_Mass * CCLASStreamFlotationTailsStream_Ag)</f>
        <v>4.9630743959028223E-9</v>
      </c>
    </row>
    <row r="61" spans="1:5" ht="33.75">
      <c r="A61" s="21" t="s">
        <v>948</v>
      </c>
      <c r="B61" s="21" t="s">
        <v>947</v>
      </c>
      <c r="C61">
        <f>0</f>
        <v>0</v>
      </c>
      <c r="D61" s="2" t="s">
        <v>0</v>
      </c>
      <c r="E61">
        <f xml:space="preserve"> +(OSAStreamFlotationTailsStream_Mass * OSAStreamFlotationTailsStream_Au)-(CCLASStreamFlotationTailsStream_Mass * CCLASStreamFlotationTailsStream_Au)</f>
        <v>-4.3605527522139198E-10</v>
      </c>
    </row>
    <row r="62" spans="1:5" ht="33.75">
      <c r="A62" s="21" t="s">
        <v>946</v>
      </c>
      <c r="B62" s="21" t="s">
        <v>945</v>
      </c>
      <c r="C62">
        <f>0</f>
        <v>0</v>
      </c>
      <c r="D62" s="2" t="s">
        <v>0</v>
      </c>
      <c r="E62">
        <f xml:space="preserve"> +(OSAStreamFlotationTailsStream_Mass * OSAStreamFlotationTailsStream_Cu)-(CCLASStreamFlotationTailsStream_Mass * CCLASStreamFlotationTailsStream_Cu)</f>
        <v>1.7371348803862929E-9</v>
      </c>
    </row>
    <row r="63" spans="1:5" ht="33.75">
      <c r="A63" s="21" t="s">
        <v>944</v>
      </c>
      <c r="B63" s="21" t="s">
        <v>943</v>
      </c>
      <c r="C63">
        <f>0</f>
        <v>0</v>
      </c>
      <c r="D63" s="2" t="s">
        <v>0</v>
      </c>
      <c r="E63">
        <f xml:space="preserve"> +(OSAStreamFlotationTailsStream_Mass * OSAStreamFlotationTailsStream_F)-(CCLASStreamFlotationTailsStream_Mass * CCLASStreamFlotationTailsStream_F)</f>
        <v>1.7893225958687253E-6</v>
      </c>
    </row>
    <row r="64" spans="1:5" ht="33.75">
      <c r="A64" s="21" t="s">
        <v>942</v>
      </c>
      <c r="B64" s="21" t="s">
        <v>941</v>
      </c>
      <c r="C64">
        <f>0</f>
        <v>0</v>
      </c>
      <c r="D64" s="2" t="s">
        <v>0</v>
      </c>
      <c r="E64">
        <f xml:space="preserve"> +(OSAStreamFlotationTailsStream_Mass * OSAStreamFlotationTailsStream_Fe)-(CCLASStreamFlotationTailsStream_Mass * CCLASStreamFlotationTailsStream_Fe)</f>
        <v>-4.3452018871903419E-8</v>
      </c>
    </row>
    <row r="65" spans="1:5" ht="33.75">
      <c r="A65" s="21" t="s">
        <v>940</v>
      </c>
      <c r="B65" s="21" t="s">
        <v>939</v>
      </c>
      <c r="C65">
        <f>0</f>
        <v>0</v>
      </c>
      <c r="D65" s="2" t="s">
        <v>0</v>
      </c>
      <c r="E65">
        <f xml:space="preserve"> +(OSAStreamFlotationTailsStream_Mass * OSAStreamFlotationTailsStream_S)-(CCLASStreamFlotationTailsStream_Mass * CCLASStreamFlotationTailsStream_S)</f>
        <v>9.1225649521220475E-4</v>
      </c>
    </row>
    <row r="66" spans="1:5" ht="33.75">
      <c r="A66" s="21" t="s">
        <v>938</v>
      </c>
      <c r="B66" s="21" t="s">
        <v>937</v>
      </c>
      <c r="C66">
        <f>0</f>
        <v>0</v>
      </c>
      <c r="D66" s="2" t="s">
        <v>0</v>
      </c>
      <c r="E66">
        <f xml:space="preserve"> +(OSAStreamFlotationTailsStream_Mass * OSAStreamFlotationTailsStream_U)-(CCLASStreamFlotationTailsStream_Mass * CCLASStreamFlotationTailsStream_U)</f>
        <v>6.0150945557779778E-7</v>
      </c>
    </row>
    <row r="67" spans="1:5" ht="45">
      <c r="A67" s="21" t="s">
        <v>936</v>
      </c>
      <c r="B67" s="21" t="s">
        <v>935</v>
      </c>
      <c r="C67">
        <f>0</f>
        <v>0</v>
      </c>
      <c r="D67" s="2" t="s">
        <v>0</v>
      </c>
      <c r="E67">
        <f xml:space="preserve"> +(CCLASStreamRougherFeedStream_Mass * CCLASStreamRougherFeedStream_Ag)-(OSAStreamConcThickenerFeedStream_Mass * OSAStreamConcThickenerFeedStream_Ag)-(OSAStreamFlotationTailsStream_Mass * OSAStreamFlotationTailsStream_Ag)</f>
        <v>-2.371452367810889E-8</v>
      </c>
    </row>
    <row r="68" spans="1:5" ht="45">
      <c r="A68" s="21" t="s">
        <v>934</v>
      </c>
      <c r="B68" s="21" t="s">
        <v>933</v>
      </c>
      <c r="C68">
        <f>0</f>
        <v>0</v>
      </c>
      <c r="D68" s="2" t="s">
        <v>0</v>
      </c>
      <c r="E68">
        <f xml:space="preserve"> +(CCLASStreamRougherFeedStream_Mass * CCLASStreamRougherFeedStream_Au)-(OSAStreamConcThickenerFeedStream_Mass * OSAStreamConcThickenerFeedStream_Au)-(OSAStreamFlotationTailsStream_Mass * OSAStreamFlotationTailsStream_Au)</f>
        <v>-9.4253023302792727E-9</v>
      </c>
    </row>
    <row r="69" spans="1:5" ht="45">
      <c r="A69" s="21" t="s">
        <v>932</v>
      </c>
      <c r="B69" s="21" t="s">
        <v>931</v>
      </c>
      <c r="C69">
        <f>0</f>
        <v>0</v>
      </c>
      <c r="D69" s="2" t="s">
        <v>0</v>
      </c>
      <c r="E69">
        <f xml:space="preserve"> +(CCLASStreamRougherFeedStream_Mass * CCLASStreamRougherFeedStream_Cu)-(OSAStreamConcThickenerFeedStream_Mass * OSAStreamConcThickenerFeedStream_Cu)-(OSAStreamFlotationTailsStream_Mass * OSAStreamFlotationTailsStream_Cu)</f>
        <v>3.4201258586108452E-4</v>
      </c>
    </row>
    <row r="70" spans="1:5" ht="45">
      <c r="A70" s="21" t="s">
        <v>930</v>
      </c>
      <c r="B70" s="21" t="s">
        <v>929</v>
      </c>
      <c r="C70">
        <f>0</f>
        <v>0</v>
      </c>
      <c r="D70" s="2" t="s">
        <v>0</v>
      </c>
      <c r="E70">
        <f xml:space="preserve"> +(CCLASStreamRougherFeedStream_Mass * CCLASStreamRougherFeedStream_F)-(OSAStreamConcThickenerFeedStream_Mass * OSAStreamConcThickenerFeedStream_F)-(OSAStreamFlotationTailsStream_Mass * OSAStreamFlotationTailsStream_F)</f>
        <v>1.0705607792260707E-5</v>
      </c>
    </row>
    <row r="71" spans="1:5" ht="45">
      <c r="A71" s="21" t="s">
        <v>928</v>
      </c>
      <c r="B71" s="21" t="s">
        <v>927</v>
      </c>
      <c r="C71">
        <f>0</f>
        <v>0</v>
      </c>
      <c r="D71" s="2" t="s">
        <v>0</v>
      </c>
      <c r="E71">
        <f xml:space="preserve"> +(CCLASStreamRougherFeedStream_Mass * CCLASStreamRougherFeedStream_Fe)-(OSAStreamConcThickenerFeedStream_Mass * OSAStreamConcThickenerFeedStream_Fe)-(OSAStreamFlotationTailsStream_Mass * OSAStreamFlotationTailsStream_Fe)</f>
        <v>-9.5067662186920643E-7</v>
      </c>
    </row>
    <row r="72" spans="1:5" ht="45">
      <c r="A72" s="21" t="s">
        <v>926</v>
      </c>
      <c r="B72" s="21" t="s">
        <v>925</v>
      </c>
      <c r="C72">
        <f>0</f>
        <v>0</v>
      </c>
      <c r="D72" s="2" t="s">
        <v>0</v>
      </c>
      <c r="E72">
        <f xml:space="preserve"> +(CCLASStreamRougherFeedStream_Mass * CCLASStreamRougherFeedStream_S)-(OSAStreamConcThickenerFeedStream_Mass * OSAStreamConcThickenerFeedStream_S)-(OSAStreamFlotationTailsStream_Mass * OSAStreamFlotationTailsStream_S)</f>
        <v>1.1505307484185323E-3</v>
      </c>
    </row>
    <row r="73" spans="1:5" ht="45">
      <c r="A73" s="21" t="s">
        <v>924</v>
      </c>
      <c r="B73" s="21" t="s">
        <v>923</v>
      </c>
      <c r="C73">
        <f>0</f>
        <v>0</v>
      </c>
      <c r="D73" s="2" t="s">
        <v>0</v>
      </c>
      <c r="E73">
        <f xml:space="preserve"> +(CCLASStreamRougherFeedStream_Mass * CCLASStreamRougherFeedStream_U)-(OSAStreamConcThickenerFeedStream_Mass * OSAStreamConcThickenerFeedStream_U)-(OSAStreamFlotationTailsStream_Mass * OSAStreamFlotationTailsStream_U)</f>
        <v>1.3231774858013523E-6</v>
      </c>
    </row>
    <row r="74" spans="1:5" ht="22.5">
      <c r="A74" s="21" t="s">
        <v>922</v>
      </c>
      <c r="B74" s="21" t="s">
        <v>921</v>
      </c>
      <c r="C74">
        <f>0</f>
        <v>0</v>
      </c>
      <c r="D74" s="2" t="s">
        <v>0</v>
      </c>
      <c r="E74">
        <f xml:space="preserve"> +SAGMillFeedStream_Mass-OSAStreamRougherFeedStream_Mass</f>
        <v>0</v>
      </c>
    </row>
    <row r="75" spans="1:5" ht="22.5">
      <c r="A75" s="21" t="s">
        <v>920</v>
      </c>
      <c r="B75" s="21" t="s">
        <v>919</v>
      </c>
      <c r="C75">
        <f>0</f>
        <v>0</v>
      </c>
      <c r="D75" s="2" t="s">
        <v>0</v>
      </c>
      <c r="E75">
        <f xml:space="preserve"> +(SAGMillFeedStream_Mass * SAGMillFeedStream_Ag)-(OSAStreamRougherFeedStream_Mass * OSAStreamRougherFeedStream_Ag)</f>
        <v>0</v>
      </c>
    </row>
    <row r="76" spans="1:5" ht="22.5">
      <c r="A76" s="21" t="s">
        <v>918</v>
      </c>
      <c r="B76" s="21" t="s">
        <v>917</v>
      </c>
      <c r="C76">
        <f>0</f>
        <v>0</v>
      </c>
      <c r="D76" s="2" t="s">
        <v>0</v>
      </c>
      <c r="E76">
        <f xml:space="preserve"> +(SAGMillFeedStream_Mass * SAGMillFeedStream_Au)-(OSAStreamRougherFeedStream_Mass * OSAStreamRougherFeedStream_Au)</f>
        <v>0</v>
      </c>
    </row>
    <row r="77" spans="1:5" ht="22.5">
      <c r="A77" s="21" t="s">
        <v>916</v>
      </c>
      <c r="B77" s="21" t="s">
        <v>915</v>
      </c>
      <c r="C77">
        <f>0</f>
        <v>0</v>
      </c>
      <c r="D77" s="2" t="s">
        <v>0</v>
      </c>
      <c r="E77">
        <f xml:space="preserve"> +(SAGMillFeedStream_Mass * SAGMillFeedStream_Cu)-(OSAStreamRougherFeedStream_Mass * OSAStreamRougherFeedStream_Cu)</f>
        <v>-3.3160176826640964E-9</v>
      </c>
    </row>
    <row r="78" spans="1:5" ht="22.5">
      <c r="A78" s="21" t="s">
        <v>914</v>
      </c>
      <c r="B78" s="21" t="s">
        <v>913</v>
      </c>
      <c r="C78">
        <f>0</f>
        <v>0</v>
      </c>
      <c r="D78" s="2" t="s">
        <v>0</v>
      </c>
      <c r="E78">
        <f xml:space="preserve"> +(SAGMillFeedStream_Mass * SAGMillFeedStream_F)-(OSAStreamRougherFeedStream_Mass * OSAStreamRougherFeedStream_F)</f>
        <v>-3.3287506084889174E-10</v>
      </c>
    </row>
    <row r="79" spans="1:5" ht="22.5">
      <c r="A79" s="21" t="s">
        <v>912</v>
      </c>
      <c r="B79" s="21" t="s">
        <v>911</v>
      </c>
      <c r="C79">
        <f>0</f>
        <v>0</v>
      </c>
      <c r="D79" s="2" t="s">
        <v>0</v>
      </c>
      <c r="E79">
        <f xml:space="preserve"> +(SAGMillFeedStream_Mass * SAGMillFeedStream_Fe)-(OSAStreamRougherFeedStream_Mass * OSAStreamRougherFeedStream_Fe)</f>
        <v>-1.5264959074556828E-8</v>
      </c>
    </row>
    <row r="80" spans="1:5" ht="22.5">
      <c r="A80" s="21" t="s">
        <v>910</v>
      </c>
      <c r="B80" s="21" t="s">
        <v>909</v>
      </c>
      <c r="C80">
        <f>0</f>
        <v>0</v>
      </c>
      <c r="D80" s="2" t="s">
        <v>0</v>
      </c>
      <c r="E80">
        <f xml:space="preserve"> +(SAGMillFeedStream_Mass * SAGMillFeedStream_S)-(OSAStreamRougherFeedStream_Mass * OSAStreamRougherFeedStream_S)</f>
        <v>-4.5212800614535809E-8</v>
      </c>
    </row>
    <row r="81" spans="1:5" ht="22.5">
      <c r="A81" s="21" t="s">
        <v>908</v>
      </c>
      <c r="B81" s="21" t="s">
        <v>907</v>
      </c>
      <c r="C81">
        <f>0</f>
        <v>0</v>
      </c>
      <c r="D81" s="2" t="s">
        <v>0</v>
      </c>
      <c r="E81">
        <f xml:space="preserve"> +(SAGMillFeedStream_Mass * SAGMillFeedStream_U)-(OSAStreamRougherFeedStream_Mass * OSAStreamRougherFeedStream_U)</f>
        <v>-4.3044678932346869E-11</v>
      </c>
    </row>
    <row r="82" spans="1:5" ht="22.5">
      <c r="A82" s="21" t="s">
        <v>906</v>
      </c>
      <c r="B82" s="21" t="s">
        <v>905</v>
      </c>
      <c r="C82">
        <f>0</f>
        <v>0</v>
      </c>
      <c r="D82" s="2" t="s">
        <v>0</v>
      </c>
      <c r="E82">
        <f xml:space="preserve"> +OSAStreamRougherFeedStream_Mass-CCLASStreamRougherFeedStream_Mass</f>
        <v>0</v>
      </c>
    </row>
    <row r="83" spans="1:5" ht="33.75">
      <c r="A83" s="21" t="s">
        <v>904</v>
      </c>
      <c r="B83" s="21" t="s">
        <v>903</v>
      </c>
      <c r="C83">
        <f>0</f>
        <v>0</v>
      </c>
      <c r="D83" s="2" t="s">
        <v>0</v>
      </c>
      <c r="E83">
        <f xml:space="preserve"> +(OSAStreamRougherFeedStream_Mass * OSAStreamRougherFeedStream_Ag)-(CCLASStreamRougherFeedStream_Mass * CCLASStreamRougherFeedStream_Ag)</f>
        <v>-1.4059864383852982E-12</v>
      </c>
    </row>
    <row r="84" spans="1:5" ht="33.75">
      <c r="A84" s="21" t="s">
        <v>902</v>
      </c>
      <c r="B84" s="21" t="s">
        <v>901</v>
      </c>
      <c r="C84">
        <f>0</f>
        <v>0</v>
      </c>
      <c r="D84" s="2" t="s">
        <v>0</v>
      </c>
      <c r="E84">
        <f xml:space="preserve"> +(OSAStreamRougherFeedStream_Mass * OSAStreamRougherFeedStream_Au)-(CCLASStreamRougherFeedStream_Mass * CCLASStreamRougherFeedStream_Au)</f>
        <v>-1.0591527654923993E-13</v>
      </c>
    </row>
    <row r="85" spans="1:5" ht="33.75">
      <c r="A85" s="21" t="s">
        <v>900</v>
      </c>
      <c r="B85" s="21" t="s">
        <v>899</v>
      </c>
      <c r="C85">
        <f>0</f>
        <v>0</v>
      </c>
      <c r="D85" s="2" t="s">
        <v>0</v>
      </c>
      <c r="E85">
        <f xml:space="preserve"> +(OSAStreamRougherFeedStream_Mass * OSAStreamRougherFeedStream_Cu)-(CCLASStreamRougherFeedStream_Mass * CCLASStreamRougherFeedStream_Cu)</f>
        <v>7.0758687797933817E-10</v>
      </c>
    </row>
    <row r="86" spans="1:5" ht="33.75">
      <c r="A86" s="21" t="s">
        <v>898</v>
      </c>
      <c r="B86" s="21" t="s">
        <v>897</v>
      </c>
      <c r="C86">
        <f>0</f>
        <v>0</v>
      </c>
      <c r="D86" s="2" t="s">
        <v>0</v>
      </c>
      <c r="E86">
        <f xml:space="preserve"> +(OSAStreamRougherFeedStream_Mass * OSAStreamRougherFeedStream_F)-(CCLASStreamRougherFeedStream_Mass * CCLASStreamRougherFeedStream_F)</f>
        <v>-1.1129941412946209E-10</v>
      </c>
    </row>
    <row r="87" spans="1:5" ht="33.75">
      <c r="A87" s="21" t="s">
        <v>896</v>
      </c>
      <c r="B87" s="21" t="s">
        <v>895</v>
      </c>
      <c r="C87">
        <f>0</f>
        <v>0</v>
      </c>
      <c r="D87" s="2" t="s">
        <v>0</v>
      </c>
      <c r="E87">
        <f xml:space="preserve"> +(OSAStreamRougherFeedStream_Mass * OSAStreamRougherFeedStream_Fe)-(CCLASStreamRougherFeedStream_Mass * CCLASStreamRougherFeedStream_Fe)</f>
        <v>-5.1804818212985992E-9</v>
      </c>
    </row>
    <row r="88" spans="1:5" ht="33.75">
      <c r="A88" s="21" t="s">
        <v>894</v>
      </c>
      <c r="B88" s="21" t="s">
        <v>893</v>
      </c>
      <c r="C88">
        <f>0</f>
        <v>0</v>
      </c>
      <c r="D88" s="2" t="s">
        <v>0</v>
      </c>
      <c r="E88">
        <f xml:space="preserve"> +(OSAStreamRougherFeedStream_Mass * OSAStreamRougherFeedStream_S)-(CCLASStreamRougherFeedStream_Mass * CCLASStreamRougherFeedStream_S)</f>
        <v>-1.5061232261359692E-8</v>
      </c>
    </row>
    <row r="89" spans="1:5" ht="33.75">
      <c r="A89" s="21" t="s">
        <v>892</v>
      </c>
      <c r="B89" s="21" t="s">
        <v>891</v>
      </c>
      <c r="C89">
        <f>0</f>
        <v>0</v>
      </c>
      <c r="D89" s="2" t="s">
        <v>0</v>
      </c>
      <c r="E89">
        <f xml:space="preserve"> +(OSAStreamRougherFeedStream_Mass * OSAStreamRougherFeedStream_U)-(CCLASStreamRougherFeedStream_Mass * CCLASStreamRougherFeedStream_U)</f>
        <v>-1.439559582649963E-11</v>
      </c>
    </row>
    <row r="90" spans="1:5" ht="33.75">
      <c r="A90" s="21" t="s">
        <v>890</v>
      </c>
      <c r="B90" s="21" t="s">
        <v>889</v>
      </c>
      <c r="C90">
        <f>TailsThickening_close_Mass - TailsThickening_open_Mass+0</f>
        <v>-10.460518808227789</v>
      </c>
      <c r="D90" s="2" t="s">
        <v>0</v>
      </c>
      <c r="E90">
        <f xml:space="preserve"> +CCLASStreamFlotationTailsStream_Mass-TailsThickenerUnderflowStream_Mass</f>
        <v>-10.460518808229608</v>
      </c>
    </row>
    <row r="91" spans="1:5" ht="45">
      <c r="A91" s="25" t="s">
        <v>888</v>
      </c>
      <c r="B91" s="25" t="s">
        <v>887</v>
      </c>
      <c r="C91">
        <f>(TailsThickening_close_Mass * TailsThickening_close_Ag) - (TailsThickening_open_Mass * TailsThickening_open_Ag)+0</f>
        <v>2.4483737390608384E-2</v>
      </c>
      <c r="D91" s="2" t="s">
        <v>0</v>
      </c>
      <c r="E91">
        <f xml:space="preserve"> +(CCLASStreamFlotationTailsStream_Mass * CCLASStreamFlotationTailsStream_Ag)-(TailsThickenerUnderflowStream_Mass * TailsThickenerUnderflowStream_Ag)</f>
        <v>2.448357212116159E-2</v>
      </c>
    </row>
    <row r="92" spans="1:5" ht="45">
      <c r="A92" s="25" t="s">
        <v>886</v>
      </c>
      <c r="B92" s="25" t="s">
        <v>885</v>
      </c>
      <c r="C92">
        <f>(TailsThickening_close_Mass * TailsThickening_close_Au) - (TailsThickening_open_Mass * TailsThickening_open_Au)+0</f>
        <v>3.8349944416391293E-4</v>
      </c>
      <c r="D92" s="2" t="s">
        <v>0</v>
      </c>
      <c r="E92">
        <f xml:space="preserve"> +(CCLASStreamFlotationTailsStream_Mass * CCLASStreamFlotationTailsStream_Au)-(TailsThickenerUnderflowStream_Mass * TailsThickenerUnderflowStream_Au)</f>
        <v>3.8349157085725005E-4</v>
      </c>
    </row>
    <row r="93" spans="1:5" ht="45">
      <c r="A93" s="25" t="s">
        <v>884</v>
      </c>
      <c r="B93" s="25" t="s">
        <v>883</v>
      </c>
      <c r="C93">
        <f>(TailsThickening_close_Mass * TailsThickening_close_Cu) - (TailsThickening_open_Mass * TailsThickening_open_Cu)+0</f>
        <v>-30.962394825101569</v>
      </c>
      <c r="D93" s="2" t="s">
        <v>0</v>
      </c>
      <c r="E93">
        <f xml:space="preserve"> +(CCLASStreamFlotationTailsStream_Mass * CCLASStreamFlotationTailsStream_Cu)-(TailsThickenerUnderflowStream_Mass * TailsThickenerUnderflowStream_Cu)</f>
        <v>-30.962535796179964</v>
      </c>
    </row>
    <row r="94" spans="1:5" ht="45">
      <c r="A94" s="25" t="s">
        <v>882</v>
      </c>
      <c r="B94" s="25" t="s">
        <v>881</v>
      </c>
      <c r="C94">
        <f>(TailsThickening_close_Mass * TailsThickening_close_F) - (TailsThickening_open_Mass * TailsThickening_open_F)+0</f>
        <v>1.5698491959959995</v>
      </c>
      <c r="D94" s="2" t="s">
        <v>0</v>
      </c>
      <c r="E94">
        <f xml:space="preserve"> +(CCLASStreamFlotationTailsStream_Mass * CCLASStreamFlotationTailsStream_F)-(TailsThickenerUnderflowStream_Mass * TailsThickenerUnderflowStream_F)</f>
        <v>1.569815398438891</v>
      </c>
    </row>
    <row r="95" spans="1:5" ht="45">
      <c r="A95" s="25" t="s">
        <v>880</v>
      </c>
      <c r="B95" s="25" t="s">
        <v>879</v>
      </c>
      <c r="C95">
        <f>(TailsThickening_close_Mass * TailsThickening_close_Fe) - (TailsThickening_open_Mass * TailsThickening_open_Fe)+0</f>
        <v>50.299665850146994</v>
      </c>
      <c r="D95" s="2" t="s">
        <v>0</v>
      </c>
      <c r="E95">
        <f xml:space="preserve"> +(CCLASStreamFlotationTailsStream_Mass * CCLASStreamFlotationTailsStream_Fe)-(TailsThickenerUnderflowStream_Mass * TailsThickenerUnderflowStream_Fe)</f>
        <v>50.294911582808709</v>
      </c>
    </row>
    <row r="96" spans="1:5" ht="45">
      <c r="A96" s="25" t="s">
        <v>878</v>
      </c>
      <c r="B96" s="25" t="s">
        <v>877</v>
      </c>
      <c r="C96">
        <f>(TailsThickening_close_Mass * TailsThickening_close_S) - (TailsThickening_open_Mass * TailsThickening_open_S)+0</f>
        <v>-301.02312734512452</v>
      </c>
      <c r="D96" s="2" t="s">
        <v>0</v>
      </c>
      <c r="E96">
        <f xml:space="preserve"> +(CCLASStreamFlotationTailsStream_Mass * CCLASStreamFlotationTailsStream_S)-(TailsThickenerUnderflowStream_Mass * TailsThickenerUnderflowStream_S)</f>
        <v>-301.02767530725396</v>
      </c>
    </row>
    <row r="97" spans="1:7" ht="45">
      <c r="A97" s="25" t="s">
        <v>876</v>
      </c>
      <c r="B97" s="25" t="s">
        <v>875</v>
      </c>
      <c r="C97">
        <f>(TailsThickening_close_Mass * TailsThickening_close_U) - (TailsThickening_open_Mass * TailsThickening_open_U)+0</f>
        <v>0.24702451831052841</v>
      </c>
      <c r="D97" s="2" t="s">
        <v>0</v>
      </c>
      <c r="E97">
        <f xml:space="preserve"> +(CCLASStreamFlotationTailsStream_Mass * CCLASStreamFlotationTailsStream_U)-(TailsThickenerUnderflowStream_Mass * TailsThickenerUnderflowStream_U)</f>
        <v>0.24702001242647498</v>
      </c>
    </row>
    <row r="98" spans="1:7">
      <c r="A98" s="21"/>
      <c r="B98" s="21"/>
    </row>
    <row r="99" spans="1:7" s="5" customFormat="1">
      <c r="A99" s="24" t="s">
        <v>874</v>
      </c>
      <c r="B99" s="24" t="s">
        <v>808</v>
      </c>
      <c r="C99" s="5" t="s">
        <v>807</v>
      </c>
      <c r="D99" s="5" t="s">
        <v>20</v>
      </c>
      <c r="E99" s="5" t="s">
        <v>807</v>
      </c>
    </row>
    <row r="100" spans="1:7" ht="22.5">
      <c r="A100" s="21" t="s">
        <v>873</v>
      </c>
      <c r="B100" s="21" t="s">
        <v>872</v>
      </c>
      <c r="C100">
        <f>(3*ConcThickenerUnderflowStream_Cu)-(ConcThickener_open_Cu)-(2*OSAStreamConcThickenerFeedStream_Cu)</f>
        <v>0</v>
      </c>
      <c r="D100" s="2" t="s">
        <v>0</v>
      </c>
      <c r="E100" s="22">
        <v>0</v>
      </c>
      <c r="F100" s="22"/>
      <c r="G100" s="22"/>
    </row>
    <row r="101" spans="1:7" ht="22.5">
      <c r="A101" s="21" t="s">
        <v>871</v>
      </c>
      <c r="B101" s="21" t="s">
        <v>870</v>
      </c>
      <c r="C101">
        <f>(3*ConcThickenerUnderflowStream_Fe)-(ConcThickener_open_Fe)-(2*OSAStreamConcThickenerFeedStream_Fe)</f>
        <v>0</v>
      </c>
      <c r="D101" s="2" t="s">
        <v>0</v>
      </c>
      <c r="E101" s="22">
        <v>0</v>
      </c>
      <c r="F101" s="22"/>
      <c r="G101" s="22"/>
    </row>
    <row r="102" spans="1:7" ht="22.5">
      <c r="A102" s="21" t="s">
        <v>869</v>
      </c>
      <c r="B102" s="21" t="s">
        <v>868</v>
      </c>
      <c r="C102">
        <f>(3*ConcThickenerUnderflowStream_Au)-(ConcThickener_open_Au)-(2*OSAStreamConcThickenerFeedStream_Au)</f>
        <v>0</v>
      </c>
      <c r="D102" s="2" t="s">
        <v>0</v>
      </c>
      <c r="E102" s="22">
        <v>0</v>
      </c>
      <c r="F102" s="22"/>
      <c r="G102" s="22"/>
    </row>
    <row r="103" spans="1:7" ht="22.5">
      <c r="A103" s="21" t="s">
        <v>867</v>
      </c>
      <c r="B103" s="21" t="s">
        <v>866</v>
      </c>
      <c r="C103">
        <f>(3*ConcThickenerUnderflowStream_Ag)-(ConcThickener_open_Ag)-(2*OSAStreamConcThickenerFeedStream_Ag)</f>
        <v>0</v>
      </c>
      <c r="D103" s="2" t="s">
        <v>0</v>
      </c>
      <c r="E103" s="22">
        <v>0</v>
      </c>
      <c r="F103" s="22"/>
      <c r="G103" s="22"/>
    </row>
    <row r="104" spans="1:7" ht="22.5">
      <c r="A104" s="21" t="s">
        <v>865</v>
      </c>
      <c r="B104" s="21" t="s">
        <v>864</v>
      </c>
      <c r="C104">
        <f>(3*ConcThickenerUnderflowStream_S)-(ConcThickener_open_S)-(2*OSAStreamConcThickenerFeedStream_S)</f>
        <v>0</v>
      </c>
      <c r="D104" s="2" t="s">
        <v>0</v>
      </c>
      <c r="E104" s="22">
        <v>0</v>
      </c>
      <c r="F104" s="22"/>
      <c r="G104" s="22"/>
    </row>
    <row r="105" spans="1:7" ht="22.5">
      <c r="A105" s="21" t="s">
        <v>863</v>
      </c>
      <c r="B105" s="21" t="s">
        <v>862</v>
      </c>
      <c r="C105">
        <f>(3*ConcThickenerUnderflowStream_U)-(ConcThickener_open_U)-(2*OSAStreamConcThickenerFeedStream_U)</f>
        <v>0</v>
      </c>
      <c r="D105" s="2" t="s">
        <v>0</v>
      </c>
      <c r="E105" s="22">
        <v>0</v>
      </c>
      <c r="F105" s="22"/>
      <c r="G105" s="22"/>
    </row>
    <row r="106" spans="1:7" ht="22.5">
      <c r="A106" s="21" t="s">
        <v>861</v>
      </c>
      <c r="B106" s="21" t="s">
        <v>860</v>
      </c>
      <c r="C106">
        <f>(3*ConcThickenerUnderflowStream_F)-(ConcThickener_open_F)-(2*OSAStreamConcThickenerFeedStream_F)</f>
        <v>0</v>
      </c>
      <c r="D106" s="2" t="s">
        <v>0</v>
      </c>
      <c r="E106" s="22">
        <v>0</v>
      </c>
      <c r="F106" s="22"/>
      <c r="G106" s="22"/>
    </row>
    <row r="107" spans="1:7" ht="22.5">
      <c r="A107" s="21" t="s">
        <v>859</v>
      </c>
      <c r="B107" s="21" t="s">
        <v>858</v>
      </c>
      <c r="C107">
        <f>(4*TailsThickenerUnderflowStream_Cu)-(TailsThickening_open_Cu)-(3*OSAStreamFlotationTailsStream_Cu)</f>
        <v>0</v>
      </c>
      <c r="D107" s="2" t="s">
        <v>0</v>
      </c>
      <c r="E107" s="22">
        <v>0</v>
      </c>
      <c r="F107" s="22"/>
      <c r="G107" s="22"/>
    </row>
    <row r="108" spans="1:7" ht="22.5">
      <c r="A108" s="21" t="s">
        <v>857</v>
      </c>
      <c r="B108" s="21" t="s">
        <v>856</v>
      </c>
      <c r="C108">
        <f>(4*TailsThickenerUnderflowStream_Fe)-(TailsThickening_open_Fe)-(3*OSAStreamFlotationTailsStream_Fe)</f>
        <v>0</v>
      </c>
      <c r="D108" s="2" t="s">
        <v>0</v>
      </c>
      <c r="E108" s="22">
        <v>0</v>
      </c>
      <c r="F108" s="22"/>
      <c r="G108" s="22"/>
    </row>
    <row r="109" spans="1:7" ht="22.5">
      <c r="A109" s="21" t="s">
        <v>855</v>
      </c>
      <c r="B109" s="21" t="s">
        <v>854</v>
      </c>
      <c r="C109">
        <f>(4*TailsThickenerUnderflowStream_Au)-(TailsThickening_open_Au)-(3*OSAStreamFlotationTailsStream_Au)</f>
        <v>0</v>
      </c>
      <c r="D109" s="2" t="s">
        <v>0</v>
      </c>
      <c r="E109" s="22">
        <v>0</v>
      </c>
      <c r="F109" s="22"/>
      <c r="G109" s="22"/>
    </row>
    <row r="110" spans="1:7" ht="22.5">
      <c r="A110" s="21" t="s">
        <v>853</v>
      </c>
      <c r="B110" s="21" t="s">
        <v>852</v>
      </c>
      <c r="C110">
        <f>(4*TailsThickenerUnderflowStream_Ag)-(TailsThickening_open_Ag)-(3*OSAStreamFlotationTailsStream_Ag)</f>
        <v>0</v>
      </c>
      <c r="D110" s="2" t="s">
        <v>0</v>
      </c>
      <c r="E110" s="22">
        <v>0</v>
      </c>
      <c r="F110" s="22"/>
      <c r="G110" s="22"/>
    </row>
    <row r="111" spans="1:7" ht="22.5">
      <c r="A111" s="21" t="s">
        <v>851</v>
      </c>
      <c r="B111" s="21" t="s">
        <v>850</v>
      </c>
      <c r="C111">
        <f>(4*TailsThickenerUnderflowStream_S)-(TailsThickening_open_S)-(3*OSAStreamFlotationTailsStream_S)</f>
        <v>0</v>
      </c>
      <c r="D111" s="2" t="s">
        <v>0</v>
      </c>
      <c r="E111" s="22">
        <v>0</v>
      </c>
      <c r="F111" s="22"/>
      <c r="G111" s="22"/>
    </row>
    <row r="112" spans="1:7" ht="22.5">
      <c r="A112" s="21" t="s">
        <v>849</v>
      </c>
      <c r="B112" s="21" t="s">
        <v>848</v>
      </c>
      <c r="C112">
        <f>(4*TailsThickenerUnderflowStream_U)-(TailsThickening_open_U)-(3*OSAStreamFlotationTailsStream_U)</f>
        <v>0</v>
      </c>
      <c r="D112" s="2" t="s">
        <v>0</v>
      </c>
      <c r="E112" s="22">
        <v>0</v>
      </c>
      <c r="F112" s="22"/>
      <c r="G112" s="22"/>
    </row>
    <row r="113" spans="1:7" ht="22.5">
      <c r="A113" s="21" t="s">
        <v>847</v>
      </c>
      <c r="B113" s="21" t="s">
        <v>846</v>
      </c>
      <c r="C113">
        <f>(4*TailsThickenerUnderflowStream_F)-(TailsThickening_open_F)-(3*OSAStreamFlotationTailsStream_F)</f>
        <v>0</v>
      </c>
      <c r="D113" s="2" t="s">
        <v>0</v>
      </c>
      <c r="E113" s="22">
        <v>0</v>
      </c>
      <c r="F113" s="22"/>
      <c r="G113" s="22"/>
    </row>
    <row r="114" spans="1:7" ht="22.5">
      <c r="A114" s="21" t="s">
        <v>845</v>
      </c>
      <c r="B114" s="21" t="s">
        <v>844</v>
      </c>
      <c r="C114">
        <f>(ConcStorageTank1UnderflowStream_Cu)-(ConcStorageTank1_open_Cu)</f>
        <v>0</v>
      </c>
      <c r="D114" s="2" t="s">
        <v>0</v>
      </c>
      <c r="E114" s="22">
        <v>0</v>
      </c>
      <c r="F114" s="22"/>
      <c r="G114" s="22"/>
    </row>
    <row r="115" spans="1:7" ht="22.5">
      <c r="A115" s="21" t="s">
        <v>843</v>
      </c>
      <c r="B115" s="21" t="s">
        <v>842</v>
      </c>
      <c r="C115">
        <f>(ConcStorageTank1UnderflowStream_Fe)-(ConcStorageTank1_open_Fe)</f>
        <v>0</v>
      </c>
      <c r="D115" s="2" t="s">
        <v>0</v>
      </c>
      <c r="E115" s="22">
        <v>0</v>
      </c>
      <c r="F115" s="22"/>
      <c r="G115" s="22"/>
    </row>
    <row r="116" spans="1:7" ht="22.5">
      <c r="A116" s="21" t="s">
        <v>841</v>
      </c>
      <c r="B116" s="21" t="s">
        <v>840</v>
      </c>
      <c r="C116">
        <f>(ConcStorageTank1UnderflowStream_Au)-(ConcStorageTank1_open_Au)</f>
        <v>0</v>
      </c>
      <c r="D116" s="2" t="s">
        <v>0</v>
      </c>
      <c r="E116" s="22">
        <v>0</v>
      </c>
      <c r="F116" s="22"/>
      <c r="G116" s="22"/>
    </row>
    <row r="117" spans="1:7" ht="22.5">
      <c r="A117" s="21" t="s">
        <v>839</v>
      </c>
      <c r="B117" s="21" t="s">
        <v>838</v>
      </c>
      <c r="C117">
        <f>(ConcStorageTank1UnderflowStream_Ag)-(ConcStorageTank1_open_Ag)</f>
        <v>0</v>
      </c>
      <c r="D117" s="2" t="s">
        <v>0</v>
      </c>
      <c r="E117" s="22">
        <v>0</v>
      </c>
      <c r="F117" s="22"/>
      <c r="G117" s="22"/>
    </row>
    <row r="118" spans="1:7" ht="22.5">
      <c r="A118" s="21" t="s">
        <v>837</v>
      </c>
      <c r="B118" s="21" t="s">
        <v>836</v>
      </c>
      <c r="C118">
        <f>(ConcStorageTank1UnderflowStream_S)-(ConcStorageTank1_open_S)</f>
        <v>0</v>
      </c>
      <c r="D118" s="2" t="s">
        <v>0</v>
      </c>
      <c r="E118" s="22">
        <v>0</v>
      </c>
      <c r="F118" s="22"/>
      <c r="G118" s="22"/>
    </row>
    <row r="119" spans="1:7" ht="22.5">
      <c r="A119" s="21" t="s">
        <v>835</v>
      </c>
      <c r="B119" s="21" t="s">
        <v>834</v>
      </c>
      <c r="C119">
        <f>(ConcStorageTank1UnderflowStream_U)-(ConcStorageTank1_open_U)</f>
        <v>0</v>
      </c>
      <c r="D119" s="2" t="s">
        <v>0</v>
      </c>
      <c r="E119" s="22">
        <v>0</v>
      </c>
      <c r="F119" s="22"/>
      <c r="G119" s="22"/>
    </row>
    <row r="120" spans="1:7" ht="22.5">
      <c r="A120" s="21" t="s">
        <v>833</v>
      </c>
      <c r="B120" s="21" t="s">
        <v>832</v>
      </c>
      <c r="C120">
        <f>(ConcStorageTank1UnderflowStream_F)-(ConcStorageTank1_open_F)</f>
        <v>0</v>
      </c>
      <c r="D120" s="2" t="s">
        <v>0</v>
      </c>
      <c r="E120" s="22">
        <v>0</v>
      </c>
      <c r="F120" s="22"/>
      <c r="G120" s="22"/>
    </row>
    <row r="121" spans="1:7" ht="22.5">
      <c r="A121" s="21" t="s">
        <v>831</v>
      </c>
      <c r="B121" s="21" t="s">
        <v>830</v>
      </c>
      <c r="C121">
        <f>(ConcStorageTank2UnderflowStream_Cu)-(ConcStorageTank2_open_Cu)</f>
        <v>0</v>
      </c>
      <c r="D121" s="2" t="s">
        <v>0</v>
      </c>
      <c r="E121" s="22">
        <v>0</v>
      </c>
      <c r="F121" s="22"/>
      <c r="G121" s="22"/>
    </row>
    <row r="122" spans="1:7" ht="22.5">
      <c r="A122" s="21" t="s">
        <v>829</v>
      </c>
      <c r="B122" s="21" t="s">
        <v>828</v>
      </c>
      <c r="C122">
        <f>(ConcStorageTank2UnderflowStream_Fe)-(ConcStorageTank2_open_Fe)</f>
        <v>0</v>
      </c>
      <c r="D122" s="2" t="s">
        <v>0</v>
      </c>
      <c r="E122" s="22">
        <v>0</v>
      </c>
      <c r="F122" s="22"/>
      <c r="G122" s="22"/>
    </row>
    <row r="123" spans="1:7" ht="22.5">
      <c r="A123" s="21" t="s">
        <v>827</v>
      </c>
      <c r="B123" s="21" t="s">
        <v>826</v>
      </c>
      <c r="C123">
        <f>(ConcStorageTank2UnderflowStream_Au)-(ConcStorageTank2_open_Au)</f>
        <v>0</v>
      </c>
      <c r="D123" s="2" t="s">
        <v>0</v>
      </c>
      <c r="E123" s="22">
        <v>0</v>
      </c>
      <c r="F123" s="22"/>
      <c r="G123" s="22"/>
    </row>
    <row r="124" spans="1:7" ht="22.5">
      <c r="A124" s="21" t="s">
        <v>825</v>
      </c>
      <c r="B124" s="21" t="s">
        <v>824</v>
      </c>
      <c r="C124">
        <f>(ConcStorageTank2UnderflowStream_Ag)-(ConcStorageTank2_open_Ag)</f>
        <v>0</v>
      </c>
      <c r="D124" s="2" t="s">
        <v>0</v>
      </c>
      <c r="E124" s="22">
        <v>0</v>
      </c>
      <c r="F124" s="22"/>
      <c r="G124" s="22"/>
    </row>
    <row r="125" spans="1:7" ht="22.5">
      <c r="A125" s="21" t="s">
        <v>823</v>
      </c>
      <c r="B125" s="21" t="s">
        <v>822</v>
      </c>
      <c r="C125">
        <f>(ConcStorageTank2UnderflowStream_S)-(ConcStorageTank2_open_S)</f>
        <v>0</v>
      </c>
      <c r="D125" s="2" t="s">
        <v>0</v>
      </c>
      <c r="E125" s="22">
        <v>0</v>
      </c>
      <c r="F125" s="22"/>
      <c r="G125" s="22"/>
    </row>
    <row r="126" spans="1:7" ht="22.5">
      <c r="A126" s="21" t="s">
        <v>821</v>
      </c>
      <c r="B126" s="21" t="s">
        <v>820</v>
      </c>
      <c r="C126">
        <f>(ConcStorageTank2UnderflowStream_U)-(ConcStorageTank2_open_U)</f>
        <v>0</v>
      </c>
      <c r="D126" s="2" t="s">
        <v>0</v>
      </c>
      <c r="E126" s="22">
        <v>0</v>
      </c>
      <c r="F126" s="22"/>
      <c r="G126" s="22"/>
    </row>
    <row r="127" spans="1:7" ht="22.5">
      <c r="A127" s="21" t="s">
        <v>819</v>
      </c>
      <c r="B127" s="21" t="s">
        <v>818</v>
      </c>
      <c r="C127">
        <f>(ConcStorageTank2UnderflowStream_F)-(ConcStorageTank2_open_F)</f>
        <v>0</v>
      </c>
      <c r="D127" s="2" t="s">
        <v>0</v>
      </c>
      <c r="E127" s="22">
        <v>0</v>
      </c>
      <c r="F127" s="22"/>
      <c r="G127" s="22"/>
    </row>
    <row r="128" spans="1:7" ht="22.5">
      <c r="A128" s="21" t="s">
        <v>817</v>
      </c>
      <c r="B128" s="21" t="s">
        <v>137</v>
      </c>
      <c r="C128">
        <f>(SpillageReturnStream_Cu)-(PressureFilterFeedStream_Cu)</f>
        <v>0</v>
      </c>
      <c r="D128" s="2" t="s">
        <v>0</v>
      </c>
      <c r="E128" s="22">
        <v>0</v>
      </c>
      <c r="F128" s="22"/>
      <c r="G128" s="22"/>
    </row>
    <row r="129" spans="1:7" ht="22.5">
      <c r="A129" s="21" t="s">
        <v>816</v>
      </c>
      <c r="B129" s="21" t="s">
        <v>135</v>
      </c>
      <c r="C129">
        <f>(SpillageReturnStream_Fe)-(PressureFilterFeedStream_Fe)</f>
        <v>0</v>
      </c>
      <c r="D129" s="2" t="s">
        <v>0</v>
      </c>
      <c r="E129" s="22">
        <v>0</v>
      </c>
      <c r="F129" s="22"/>
      <c r="G129" s="22"/>
    </row>
    <row r="130" spans="1:7" ht="22.5">
      <c r="A130" s="21" t="s">
        <v>815</v>
      </c>
      <c r="B130" s="21" t="s">
        <v>133</v>
      </c>
      <c r="C130">
        <f>(SpillageReturnStream_Au)-(PressureFilterFeedStream_Au)</f>
        <v>0</v>
      </c>
      <c r="D130" s="2" t="s">
        <v>0</v>
      </c>
      <c r="E130" s="22">
        <v>0</v>
      </c>
      <c r="F130" s="22"/>
      <c r="G130" s="22"/>
    </row>
    <row r="131" spans="1:7" ht="22.5">
      <c r="A131" s="21" t="s">
        <v>814</v>
      </c>
      <c r="B131" s="21" t="s">
        <v>131</v>
      </c>
      <c r="C131">
        <f>(SpillageReturnStream_Ag)-(PressureFilterFeedStream_Ag)</f>
        <v>0</v>
      </c>
      <c r="D131" s="2" t="s">
        <v>0</v>
      </c>
      <c r="E131" s="22">
        <v>0</v>
      </c>
      <c r="F131" s="22"/>
      <c r="G131" s="22"/>
    </row>
    <row r="132" spans="1:7">
      <c r="A132" s="21" t="s">
        <v>813</v>
      </c>
      <c r="B132" s="21" t="s">
        <v>129</v>
      </c>
      <c r="C132">
        <f>(SpillageReturnStream_S)-(PressureFilterFeedStream_S)</f>
        <v>0</v>
      </c>
      <c r="D132" s="2" t="s">
        <v>0</v>
      </c>
      <c r="E132" s="22">
        <v>0</v>
      </c>
      <c r="F132" s="22"/>
      <c r="G132" s="22"/>
    </row>
    <row r="133" spans="1:7">
      <c r="A133" s="21" t="s">
        <v>812</v>
      </c>
      <c r="B133" s="21" t="s">
        <v>127</v>
      </c>
      <c r="C133">
        <f>(SpillageReturnStream_U)-(PressureFilterFeedStream_U)</f>
        <v>0</v>
      </c>
      <c r="D133" s="2" t="s">
        <v>0</v>
      </c>
      <c r="E133" s="22">
        <v>0</v>
      </c>
      <c r="F133" s="22"/>
      <c r="G133" s="22"/>
    </row>
    <row r="134" spans="1:7">
      <c r="A134" s="21" t="s">
        <v>811</v>
      </c>
      <c r="B134" s="21" t="s">
        <v>125</v>
      </c>
      <c r="C134">
        <f>(SpillageReturnStream_F)-(PressureFilterFeedStream_F)</f>
        <v>0</v>
      </c>
      <c r="D134" s="2" t="s">
        <v>0</v>
      </c>
      <c r="E134" s="22">
        <v>0</v>
      </c>
      <c r="F134" s="22"/>
      <c r="G134" s="22"/>
    </row>
    <row r="135" spans="1:7">
      <c r="A135" s="21"/>
      <c r="B135" s="21"/>
    </row>
    <row r="136" spans="1:7">
      <c r="A136" s="21" t="s">
        <v>810</v>
      </c>
      <c r="B136" s="21"/>
    </row>
    <row r="137" spans="1:7">
      <c r="A137" s="21"/>
      <c r="B137" s="21"/>
    </row>
    <row r="138" spans="1:7" s="5" customFormat="1">
      <c r="A138" s="24" t="s">
        <v>809</v>
      </c>
      <c r="B138" s="24" t="s">
        <v>808</v>
      </c>
      <c r="C138" s="5" t="s">
        <v>807</v>
      </c>
      <c r="D138" s="5" t="s">
        <v>20</v>
      </c>
      <c r="E138" s="5" t="s">
        <v>807</v>
      </c>
    </row>
    <row r="139" spans="1:7">
      <c r="A139" s="21" t="s">
        <v>806</v>
      </c>
      <c r="B139" s="21" t="s">
        <v>805</v>
      </c>
      <c r="C139">
        <f>ConcStorageTank1_close_Cu</f>
        <v>46.803008000000005</v>
      </c>
      <c r="D139" s="2" t="s">
        <v>463</v>
      </c>
      <c r="E139">
        <v>0</v>
      </c>
    </row>
    <row r="140" spans="1:7">
      <c r="A140" s="21" t="s">
        <v>804</v>
      </c>
      <c r="B140" s="21" t="s">
        <v>803</v>
      </c>
      <c r="C140">
        <f>ConcStorageTank1_close_Fe</f>
        <v>15.514926000000001</v>
      </c>
      <c r="D140" s="2" t="s">
        <v>463</v>
      </c>
      <c r="E140">
        <v>0</v>
      </c>
    </row>
    <row r="141" spans="1:7">
      <c r="A141" s="21" t="s">
        <v>802</v>
      </c>
      <c r="B141" s="21" t="s">
        <v>801</v>
      </c>
      <c r="C141">
        <f>ConcStorageTank1_close_Au</f>
        <v>1.3139073000000008E-3</v>
      </c>
      <c r="D141" s="2" t="s">
        <v>463</v>
      </c>
      <c r="E141">
        <v>0</v>
      </c>
    </row>
    <row r="142" spans="1:7">
      <c r="A142" s="21" t="s">
        <v>800</v>
      </c>
      <c r="B142" s="21" t="s">
        <v>799</v>
      </c>
      <c r="C142">
        <f>ConcStorageTank1_close_Ag</f>
        <v>1.4585253999999999E-2</v>
      </c>
      <c r="D142" s="2" t="s">
        <v>463</v>
      </c>
      <c r="E142">
        <v>0</v>
      </c>
    </row>
    <row r="143" spans="1:7">
      <c r="A143" s="21" t="s">
        <v>798</v>
      </c>
      <c r="B143" s="21" t="s">
        <v>797</v>
      </c>
      <c r="C143">
        <f>ConcStorageTank1_close_S</f>
        <v>17.750843</v>
      </c>
      <c r="D143" s="2" t="s">
        <v>463</v>
      </c>
      <c r="E143">
        <v>0</v>
      </c>
    </row>
    <row r="144" spans="1:7">
      <c r="A144" s="21" t="s">
        <v>796</v>
      </c>
      <c r="B144" s="21" t="s">
        <v>795</v>
      </c>
      <c r="C144">
        <f>ConcStorageTank1_close_U</f>
        <v>5.1087674000000003E-3</v>
      </c>
      <c r="D144" s="2" t="s">
        <v>463</v>
      </c>
      <c r="E144">
        <v>0</v>
      </c>
    </row>
    <row r="145" spans="1:5">
      <c r="A145" s="21" t="s">
        <v>794</v>
      </c>
      <c r="B145" s="21" t="s">
        <v>793</v>
      </c>
      <c r="C145">
        <f>ConcStorageTank1_close_F</f>
        <v>6.7001773400000006E-2</v>
      </c>
      <c r="D145" s="2" t="s">
        <v>463</v>
      </c>
      <c r="E145">
        <v>0</v>
      </c>
    </row>
    <row r="146" spans="1:5">
      <c r="A146" s="21" t="s">
        <v>792</v>
      </c>
      <c r="B146" s="21" t="s">
        <v>791</v>
      </c>
      <c r="C146">
        <f>ConcStorageTank2_close_Cu</f>
        <v>47.482674909300783</v>
      </c>
      <c r="D146" s="2" t="s">
        <v>463</v>
      </c>
      <c r="E146">
        <v>0</v>
      </c>
    </row>
    <row r="147" spans="1:5">
      <c r="A147" s="21" t="s">
        <v>790</v>
      </c>
      <c r="B147" s="21" t="s">
        <v>789</v>
      </c>
      <c r="C147">
        <f>ConcStorageTank2_close_Fe</f>
        <v>15.161846752750108</v>
      </c>
      <c r="D147" s="2" t="s">
        <v>463</v>
      </c>
      <c r="E147">
        <v>0</v>
      </c>
    </row>
    <row r="148" spans="1:5">
      <c r="A148" s="21" t="s">
        <v>788</v>
      </c>
      <c r="B148" s="21" t="s">
        <v>787</v>
      </c>
      <c r="C148">
        <f>ConcStorageTank2_close_Au</f>
        <v>1.3179899776825669E-3</v>
      </c>
      <c r="D148" s="2" t="s">
        <v>463</v>
      </c>
      <c r="E148">
        <v>0</v>
      </c>
    </row>
    <row r="149" spans="1:5">
      <c r="A149" s="21" t="s">
        <v>786</v>
      </c>
      <c r="B149" s="21" t="s">
        <v>785</v>
      </c>
      <c r="C149">
        <f>ConcStorageTank2_close_Ag</f>
        <v>1.4536130147710031E-2</v>
      </c>
      <c r="D149" s="2" t="s">
        <v>463</v>
      </c>
      <c r="E149">
        <v>0</v>
      </c>
    </row>
    <row r="150" spans="1:5">
      <c r="A150" s="21" t="s">
        <v>784</v>
      </c>
      <c r="B150" s="21" t="s">
        <v>783</v>
      </c>
      <c r="C150">
        <f>ConcStorageTank2_close_S</f>
        <v>17.779619780926406</v>
      </c>
      <c r="D150" s="2" t="s">
        <v>463</v>
      </c>
      <c r="E150">
        <v>0</v>
      </c>
    </row>
    <row r="151" spans="1:5">
      <c r="A151" s="21" t="s">
        <v>782</v>
      </c>
      <c r="B151" s="21" t="s">
        <v>781</v>
      </c>
      <c r="C151">
        <f>ConcStorageTank2_close_U</f>
        <v>5.588839935260579E-3</v>
      </c>
      <c r="D151" s="2" t="s">
        <v>463</v>
      </c>
      <c r="E151">
        <v>0</v>
      </c>
    </row>
    <row r="152" spans="1:5">
      <c r="A152" s="21" t="s">
        <v>780</v>
      </c>
      <c r="B152" s="21" t="s">
        <v>779</v>
      </c>
      <c r="C152">
        <f>ConcStorageTank2_close_F</f>
        <v>6.9103167752328248E-2</v>
      </c>
      <c r="D152" s="2" t="s">
        <v>463</v>
      </c>
      <c r="E152">
        <v>0</v>
      </c>
    </row>
    <row r="153" spans="1:5">
      <c r="A153" s="21" t="s">
        <v>778</v>
      </c>
      <c r="B153" s="21" t="s">
        <v>777</v>
      </c>
      <c r="C153">
        <f>ConcThickener_close_Cu</f>
        <v>46.906952062004073</v>
      </c>
      <c r="D153" s="2" t="s">
        <v>463</v>
      </c>
      <c r="E153">
        <v>0</v>
      </c>
    </row>
    <row r="154" spans="1:5">
      <c r="A154" s="21" t="s">
        <v>776</v>
      </c>
      <c r="B154" s="21" t="s">
        <v>775</v>
      </c>
      <c r="C154">
        <f>ConcThickener_close_Fe</f>
        <v>15.3963779956535</v>
      </c>
      <c r="D154" s="2" t="s">
        <v>463</v>
      </c>
      <c r="E154">
        <v>0</v>
      </c>
    </row>
    <row r="155" spans="1:5">
      <c r="A155" s="21" t="s">
        <v>774</v>
      </c>
      <c r="B155" s="21" t="s">
        <v>773</v>
      </c>
      <c r="C155">
        <f>ConcThickener_close_Au</f>
        <v>1.3211697879155087E-3</v>
      </c>
      <c r="D155" s="2" t="s">
        <v>463</v>
      </c>
      <c r="E155">
        <v>0</v>
      </c>
    </row>
    <row r="156" spans="1:5">
      <c r="A156" s="21" t="s">
        <v>772</v>
      </c>
      <c r="B156" s="21" t="s">
        <v>771</v>
      </c>
      <c r="C156">
        <f>ConcThickener_close_Ag</f>
        <v>1.4513015807963808E-2</v>
      </c>
      <c r="D156" s="2" t="s">
        <v>463</v>
      </c>
      <c r="E156">
        <v>0</v>
      </c>
    </row>
    <row r="157" spans="1:5">
      <c r="A157" s="21" t="s">
        <v>770</v>
      </c>
      <c r="B157" s="21" t="s">
        <v>769</v>
      </c>
      <c r="C157">
        <f>ConcThickener_close_S</f>
        <v>17.790395391139498</v>
      </c>
      <c r="D157" s="2" t="s">
        <v>463</v>
      </c>
      <c r="E157">
        <v>0</v>
      </c>
    </row>
    <row r="158" spans="1:5">
      <c r="A158" s="21" t="s">
        <v>768</v>
      </c>
      <c r="B158" s="21" t="s">
        <v>767</v>
      </c>
      <c r="C158">
        <f>ConcThickener_close_U</f>
        <v>5.1792078538315149E-3</v>
      </c>
      <c r="D158" s="2" t="s">
        <v>463</v>
      </c>
      <c r="E158">
        <v>0</v>
      </c>
    </row>
    <row r="159" spans="1:5">
      <c r="A159" s="21" t="s">
        <v>766</v>
      </c>
      <c r="B159" s="21" t="s">
        <v>765</v>
      </c>
      <c r="C159">
        <f>ConcThickener_close_F</f>
        <v>6.6966702005616441E-2</v>
      </c>
      <c r="D159" s="2" t="s">
        <v>463</v>
      </c>
      <c r="E159">
        <v>0</v>
      </c>
    </row>
    <row r="160" spans="1:5">
      <c r="A160" s="21" t="s">
        <v>764</v>
      </c>
      <c r="B160" s="21" t="s">
        <v>763</v>
      </c>
      <c r="C160">
        <f>TailsThickening_close_Cu</f>
        <v>0.18531118521311699</v>
      </c>
      <c r="D160" s="2" t="s">
        <v>463</v>
      </c>
      <c r="E160">
        <v>0</v>
      </c>
    </row>
    <row r="161" spans="1:5">
      <c r="A161" s="21" t="s">
        <v>762</v>
      </c>
      <c r="B161" s="21" t="s">
        <v>761</v>
      </c>
      <c r="C161">
        <f>TailsThickening_close_Fe</f>
        <v>6.1991807380809787</v>
      </c>
      <c r="D161" s="2" t="s">
        <v>463</v>
      </c>
      <c r="E161">
        <v>0</v>
      </c>
    </row>
    <row r="162" spans="1:5">
      <c r="A162" s="21" t="s">
        <v>760</v>
      </c>
      <c r="B162" s="21" t="s">
        <v>759</v>
      </c>
      <c r="C162">
        <f>TailsThickening_close_Au</f>
        <v>1.0422228728033129E-5</v>
      </c>
      <c r="D162" s="2" t="s">
        <v>463</v>
      </c>
      <c r="E162">
        <v>0</v>
      </c>
    </row>
    <row r="163" spans="1:5">
      <c r="A163" s="21" t="s">
        <v>758</v>
      </c>
      <c r="B163" s="21" t="s">
        <v>757</v>
      </c>
      <c r="C163">
        <f>TailsThickening_close_Ag</f>
        <v>2.1911170463235572E-4</v>
      </c>
      <c r="D163" s="2" t="s">
        <v>463</v>
      </c>
      <c r="E163">
        <v>0</v>
      </c>
    </row>
    <row r="164" spans="1:5">
      <c r="A164" s="21" t="s">
        <v>756</v>
      </c>
      <c r="B164" s="21" t="s">
        <v>755</v>
      </c>
      <c r="C164">
        <f>TailsThickening_close_S</f>
        <v>5.9997236922551656</v>
      </c>
      <c r="D164" s="2" t="s">
        <v>463</v>
      </c>
      <c r="E164">
        <v>0</v>
      </c>
    </row>
    <row r="165" spans="1:5">
      <c r="A165" s="21" t="s">
        <v>754</v>
      </c>
      <c r="B165" s="21" t="s">
        <v>753</v>
      </c>
      <c r="C165">
        <f>TailsThickening_close_U</f>
        <v>5.9387532534014272E-3</v>
      </c>
      <c r="D165" s="2" t="s">
        <v>463</v>
      </c>
      <c r="E165">
        <v>0</v>
      </c>
    </row>
    <row r="166" spans="1:5">
      <c r="A166" s="21" t="s">
        <v>752</v>
      </c>
      <c r="B166" s="21" t="s">
        <v>751</v>
      </c>
      <c r="C166">
        <f>TailsThickening_close_F</f>
        <v>4.5039067583107349E-2</v>
      </c>
      <c r="D166" s="2" t="s">
        <v>463</v>
      </c>
      <c r="E166">
        <v>0</v>
      </c>
    </row>
    <row r="167" spans="1:5">
      <c r="A167" s="21" t="s">
        <v>750</v>
      </c>
      <c r="B167" s="21" t="s">
        <v>749</v>
      </c>
      <c r="C167">
        <f>ConcStorageTank1_open_Cu</f>
        <v>46.803007999999998</v>
      </c>
      <c r="D167" s="2" t="s">
        <v>463</v>
      </c>
      <c r="E167">
        <v>0</v>
      </c>
    </row>
    <row r="168" spans="1:5">
      <c r="A168" s="21" t="s">
        <v>748</v>
      </c>
      <c r="B168" s="21" t="s">
        <v>747</v>
      </c>
      <c r="C168">
        <f>ConcStorageTank1_open_Fe</f>
        <v>15.514926000000001</v>
      </c>
      <c r="D168" s="2" t="s">
        <v>463</v>
      </c>
      <c r="E168">
        <v>0</v>
      </c>
    </row>
    <row r="169" spans="1:5">
      <c r="A169" s="21" t="s">
        <v>746</v>
      </c>
      <c r="B169" s="21" t="s">
        <v>745</v>
      </c>
      <c r="C169">
        <f>ConcStorageTank1_open_Au</f>
        <v>1.3139072999999999E-3</v>
      </c>
      <c r="D169" s="2" t="s">
        <v>463</v>
      </c>
      <c r="E169">
        <v>0</v>
      </c>
    </row>
    <row r="170" spans="1:5">
      <c r="A170" s="21" t="s">
        <v>744</v>
      </c>
      <c r="B170" s="21" t="s">
        <v>743</v>
      </c>
      <c r="C170">
        <f>ConcStorageTank1_open_Ag</f>
        <v>1.4585254000000001E-2</v>
      </c>
      <c r="D170" s="2" t="s">
        <v>463</v>
      </c>
      <c r="E170">
        <v>0</v>
      </c>
    </row>
    <row r="171" spans="1:5">
      <c r="A171" s="21" t="s">
        <v>742</v>
      </c>
      <c r="B171" s="21" t="s">
        <v>741</v>
      </c>
      <c r="C171">
        <f>ConcStorageTank1_open_S</f>
        <v>17.750843</v>
      </c>
      <c r="D171" s="2" t="s">
        <v>463</v>
      </c>
      <c r="E171">
        <v>0</v>
      </c>
    </row>
    <row r="172" spans="1:5">
      <c r="A172" s="21" t="s">
        <v>740</v>
      </c>
      <c r="B172" s="21" t="s">
        <v>739</v>
      </c>
      <c r="C172">
        <f>ConcStorageTank1_open_U</f>
        <v>5.1087674000000003E-3</v>
      </c>
      <c r="D172" s="2" t="s">
        <v>463</v>
      </c>
      <c r="E172">
        <v>0</v>
      </c>
    </row>
    <row r="173" spans="1:5">
      <c r="A173" s="21" t="s">
        <v>738</v>
      </c>
      <c r="B173" s="21" t="s">
        <v>737</v>
      </c>
      <c r="C173">
        <f>ConcStorageTank1_open_F</f>
        <v>6.7001773400000006E-2</v>
      </c>
      <c r="D173" s="2" t="s">
        <v>463</v>
      </c>
      <c r="E173">
        <v>0</v>
      </c>
    </row>
    <row r="174" spans="1:5">
      <c r="A174" s="21" t="s">
        <v>736</v>
      </c>
      <c r="B174" s="21" t="s">
        <v>735</v>
      </c>
      <c r="C174">
        <f>ConcStorageTank2_open_Cu</f>
        <v>47.559142999999999</v>
      </c>
      <c r="D174" s="2" t="s">
        <v>463</v>
      </c>
      <c r="E174">
        <v>0</v>
      </c>
    </row>
    <row r="175" spans="1:5">
      <c r="A175" s="21" t="s">
        <v>734</v>
      </c>
      <c r="B175" s="21" t="s">
        <v>733</v>
      </c>
      <c r="C175">
        <f>ConcStorageTank2_open_Fe</f>
        <v>14.991614999999999</v>
      </c>
      <c r="D175" s="2" t="s">
        <v>463</v>
      </c>
      <c r="E175">
        <v>0</v>
      </c>
    </row>
    <row r="176" spans="1:5">
      <c r="A176" s="21" t="s">
        <v>732</v>
      </c>
      <c r="B176" s="21" t="s">
        <v>731</v>
      </c>
      <c r="C176">
        <f>ConcStorageTank2_open_Au</f>
        <v>1.2884337999999999E-3</v>
      </c>
      <c r="D176" s="2" t="s">
        <v>463</v>
      </c>
      <c r="E176">
        <v>0</v>
      </c>
    </row>
    <row r="177" spans="1:5">
      <c r="A177" s="21" t="s">
        <v>730</v>
      </c>
      <c r="B177" s="21" t="s">
        <v>729</v>
      </c>
      <c r="C177">
        <f>ConcStorageTank2_open_Ag</f>
        <v>1.45145034E-2</v>
      </c>
      <c r="D177" s="2" t="s">
        <v>463</v>
      </c>
      <c r="E177">
        <v>0</v>
      </c>
    </row>
    <row r="178" spans="1:5">
      <c r="A178" s="21" t="s">
        <v>728</v>
      </c>
      <c r="B178" s="21" t="s">
        <v>727</v>
      </c>
      <c r="C178">
        <f>ConcStorageTank2_open_S</f>
        <v>17.465229999999998</v>
      </c>
      <c r="D178" s="2" t="s">
        <v>463</v>
      </c>
      <c r="E178">
        <v>0</v>
      </c>
    </row>
    <row r="179" spans="1:5">
      <c r="A179" s="21" t="s">
        <v>726</v>
      </c>
      <c r="B179" s="21" t="s">
        <v>725</v>
      </c>
      <c r="C179">
        <f>ConcStorageTank2_open_U</f>
        <v>5.4770571999999997E-3</v>
      </c>
      <c r="D179" s="2" t="s">
        <v>463</v>
      </c>
      <c r="E179">
        <v>0</v>
      </c>
    </row>
    <row r="180" spans="1:5">
      <c r="A180" s="21" t="s">
        <v>724</v>
      </c>
      <c r="B180" s="21" t="s">
        <v>723</v>
      </c>
      <c r="C180">
        <f>ConcStorageTank2_open_F</f>
        <v>6.7829136200000001E-2</v>
      </c>
      <c r="D180" s="2" t="s">
        <v>463</v>
      </c>
      <c r="E180">
        <v>0</v>
      </c>
    </row>
    <row r="181" spans="1:5">
      <c r="A181" s="21" t="s">
        <v>722</v>
      </c>
      <c r="B181" s="21" t="s">
        <v>721</v>
      </c>
      <c r="C181">
        <f>ConcThickener_open_Cu</f>
        <v>46.817815000000003</v>
      </c>
      <c r="D181" s="2" t="s">
        <v>463</v>
      </c>
      <c r="E181">
        <v>0</v>
      </c>
    </row>
    <row r="182" spans="1:5">
      <c r="A182" s="21" t="s">
        <v>720</v>
      </c>
      <c r="B182" s="21" t="s">
        <v>719</v>
      </c>
      <c r="C182">
        <f>ConcThickener_open_Fe</f>
        <v>15.416853</v>
      </c>
      <c r="D182" s="2" t="s">
        <v>463</v>
      </c>
      <c r="E182">
        <v>0</v>
      </c>
    </row>
    <row r="183" spans="1:5">
      <c r="A183" s="21" t="s">
        <v>718</v>
      </c>
      <c r="B183" s="21" t="s">
        <v>717</v>
      </c>
      <c r="C183">
        <f>ConcThickener_open_Au</f>
        <v>1.3183448E-3</v>
      </c>
      <c r="D183" s="2" t="s">
        <v>463</v>
      </c>
      <c r="E183">
        <v>0</v>
      </c>
    </row>
    <row r="184" spans="1:5">
      <c r="A184" s="21" t="s">
        <v>716</v>
      </c>
      <c r="B184" s="21" t="s">
        <v>715</v>
      </c>
      <c r="C184">
        <f>ConcThickener_open_Ag</f>
        <v>1.45066251E-2</v>
      </c>
      <c r="D184" s="2" t="s">
        <v>463</v>
      </c>
      <c r="E184">
        <v>0</v>
      </c>
    </row>
    <row r="185" spans="1:5">
      <c r="A185" s="21" t="s">
        <v>714</v>
      </c>
      <c r="B185" s="21" t="s">
        <v>713</v>
      </c>
      <c r="C185">
        <f>ConcThickener_open_S</f>
        <v>17.756429000000001</v>
      </c>
      <c r="D185" s="2" t="s">
        <v>463</v>
      </c>
      <c r="E185">
        <v>0</v>
      </c>
    </row>
    <row r="186" spans="1:5">
      <c r="A186" s="21" t="s">
        <v>712</v>
      </c>
      <c r="B186" s="21" t="s">
        <v>711</v>
      </c>
      <c r="C186">
        <f>ConcThickener_open_U</f>
        <v>5.0968630999999997E-3</v>
      </c>
      <c r="D186" s="2" t="s">
        <v>463</v>
      </c>
      <c r="E186">
        <v>0</v>
      </c>
    </row>
    <row r="187" spans="1:5">
      <c r="A187" s="21" t="s">
        <v>710</v>
      </c>
      <c r="B187" s="21" t="s">
        <v>709</v>
      </c>
      <c r="C187">
        <f>ConcThickener_open_F</f>
        <v>6.6458544100000003E-2</v>
      </c>
      <c r="D187" s="2" t="s">
        <v>463</v>
      </c>
      <c r="E187">
        <v>0</v>
      </c>
    </row>
    <row r="188" spans="1:5">
      <c r="A188" s="21" t="s">
        <v>708</v>
      </c>
      <c r="B188" s="21" t="s">
        <v>707</v>
      </c>
      <c r="C188">
        <f>TailsThickening_open_Cu</f>
        <v>0.195048</v>
      </c>
      <c r="D188" s="2" t="s">
        <v>463</v>
      </c>
      <c r="E188">
        <v>0</v>
      </c>
    </row>
    <row r="189" spans="1:5">
      <c r="A189" s="21" t="s">
        <v>706</v>
      </c>
      <c r="B189" s="21" t="s">
        <v>705</v>
      </c>
      <c r="C189">
        <f>TailsThickening_open_Fe</f>
        <v>6.160552</v>
      </c>
      <c r="D189" s="2" t="s">
        <v>463</v>
      </c>
      <c r="E189">
        <v>0</v>
      </c>
    </row>
    <row r="190" spans="1:5">
      <c r="A190" s="21" t="s">
        <v>704</v>
      </c>
      <c r="B190" s="21" t="s">
        <v>703</v>
      </c>
      <c r="C190">
        <f>TailsThickening_open_Au</f>
        <v>1.0257E-5</v>
      </c>
      <c r="D190" s="2" t="s">
        <v>463</v>
      </c>
      <c r="E190">
        <v>0</v>
      </c>
    </row>
    <row r="191" spans="1:5">
      <c r="A191" s="21" t="s">
        <v>702</v>
      </c>
      <c r="B191" s="21" t="s">
        <v>701</v>
      </c>
      <c r="C191">
        <f>TailsThickening_open_Ag</f>
        <v>2.1012909999999999E-4</v>
      </c>
      <c r="D191" s="2" t="s">
        <v>463</v>
      </c>
      <c r="E191">
        <v>0</v>
      </c>
    </row>
    <row r="192" spans="1:5">
      <c r="A192" s="21" t="s">
        <v>700</v>
      </c>
      <c r="B192" s="21" t="s">
        <v>699</v>
      </c>
      <c r="C192">
        <f>TailsThickening_open_S</f>
        <v>6.0796549999999998</v>
      </c>
      <c r="D192" s="2" t="s">
        <v>463</v>
      </c>
      <c r="E192">
        <v>0</v>
      </c>
    </row>
    <row r="193" spans="1:5">
      <c r="A193" s="21" t="s">
        <v>698</v>
      </c>
      <c r="B193" s="21" t="s">
        <v>697</v>
      </c>
      <c r="C193">
        <f>TailsThickening_open_U</f>
        <v>5.8350421E-3</v>
      </c>
      <c r="D193" s="2" t="s">
        <v>463</v>
      </c>
      <c r="E193">
        <v>0</v>
      </c>
    </row>
    <row r="194" spans="1:5">
      <c r="A194" s="21" t="s">
        <v>696</v>
      </c>
      <c r="B194" s="21" t="s">
        <v>695</v>
      </c>
      <c r="C194">
        <f>TailsThickening_open_F</f>
        <v>4.4354368900000003E-2</v>
      </c>
      <c r="D194" s="2" t="s">
        <v>463</v>
      </c>
      <c r="E194">
        <v>0</v>
      </c>
    </row>
    <row r="195" spans="1:5">
      <c r="A195" s="21" t="s">
        <v>694</v>
      </c>
      <c r="B195" s="21" t="s">
        <v>75</v>
      </c>
      <c r="C195">
        <f>CrushedOreStream_Cu</f>
        <v>0</v>
      </c>
      <c r="D195" s="2" t="s">
        <v>463</v>
      </c>
      <c r="E195">
        <v>0</v>
      </c>
    </row>
    <row r="196" spans="1:5">
      <c r="A196" s="21" t="s">
        <v>693</v>
      </c>
      <c r="B196" s="21" t="s">
        <v>73</v>
      </c>
      <c r="C196">
        <f>CrushedOreStream_Fe</f>
        <v>0</v>
      </c>
      <c r="D196" s="2" t="s">
        <v>463</v>
      </c>
      <c r="E196">
        <v>0</v>
      </c>
    </row>
    <row r="197" spans="1:5">
      <c r="A197" s="21" t="s">
        <v>692</v>
      </c>
      <c r="B197" s="21" t="s">
        <v>71</v>
      </c>
      <c r="C197">
        <f>CrushedOreStream_Au</f>
        <v>0</v>
      </c>
      <c r="D197" s="2" t="s">
        <v>463</v>
      </c>
      <c r="E197">
        <v>0</v>
      </c>
    </row>
    <row r="198" spans="1:5">
      <c r="A198" s="21" t="s">
        <v>691</v>
      </c>
      <c r="B198" s="21" t="s">
        <v>69</v>
      </c>
      <c r="C198">
        <f>CrushedOreStream_Ag</f>
        <v>0</v>
      </c>
      <c r="D198" s="2" t="s">
        <v>463</v>
      </c>
      <c r="E198">
        <v>0</v>
      </c>
    </row>
    <row r="199" spans="1:5">
      <c r="A199" s="21" t="s">
        <v>690</v>
      </c>
      <c r="B199" s="21" t="s">
        <v>67</v>
      </c>
      <c r="C199">
        <f>CrushedOreStream_S</f>
        <v>0</v>
      </c>
      <c r="D199" s="2" t="s">
        <v>463</v>
      </c>
      <c r="E199">
        <v>0</v>
      </c>
    </row>
    <row r="200" spans="1:5">
      <c r="A200" s="21" t="s">
        <v>689</v>
      </c>
      <c r="B200" s="21" t="s">
        <v>65</v>
      </c>
      <c r="C200">
        <f>CrushedOreStream_U</f>
        <v>0</v>
      </c>
      <c r="D200" s="2" t="s">
        <v>463</v>
      </c>
      <c r="E200">
        <v>0</v>
      </c>
    </row>
    <row r="201" spans="1:5">
      <c r="A201" s="21" t="s">
        <v>688</v>
      </c>
      <c r="B201" s="21" t="s">
        <v>63</v>
      </c>
      <c r="C201">
        <f>CrushedOreStream_F</f>
        <v>0</v>
      </c>
      <c r="D201" s="2" t="s">
        <v>463</v>
      </c>
      <c r="E201">
        <v>0</v>
      </c>
    </row>
    <row r="202" spans="1:5" ht="22.5">
      <c r="A202" s="21" t="s">
        <v>687</v>
      </c>
      <c r="B202" s="21" t="s">
        <v>686</v>
      </c>
      <c r="C202">
        <f>CCLASStreamConcThickenerFeedStream_Cu</f>
        <v>47.738255125741965</v>
      </c>
      <c r="D202" s="2" t="s">
        <v>463</v>
      </c>
      <c r="E202">
        <v>0</v>
      </c>
    </row>
    <row r="203" spans="1:5" ht="22.5">
      <c r="A203" s="21" t="s">
        <v>685</v>
      </c>
      <c r="B203" s="21" t="s">
        <v>684</v>
      </c>
      <c r="C203">
        <f>CCLASStreamConcThickenerFeedStream_Fe</f>
        <v>15.205424674982988</v>
      </c>
      <c r="D203" s="2" t="s">
        <v>463</v>
      </c>
      <c r="E203">
        <v>0</v>
      </c>
    </row>
    <row r="204" spans="1:5" ht="22.5">
      <c r="A204" s="21" t="s">
        <v>683</v>
      </c>
      <c r="B204" s="21" t="s">
        <v>682</v>
      </c>
      <c r="C204">
        <f>CCLASStreamConcThickenerFeedStream_Au</f>
        <v>1.3475162130437792E-3</v>
      </c>
      <c r="D204" s="2" t="s">
        <v>463</v>
      </c>
      <c r="E204">
        <v>0</v>
      </c>
    </row>
    <row r="205" spans="1:5" ht="22.5">
      <c r="A205" s="21" t="s">
        <v>681</v>
      </c>
      <c r="B205" s="21" t="s">
        <v>680</v>
      </c>
      <c r="C205">
        <f>CCLASStreamConcThickenerFeedStream_Ag</f>
        <v>1.4572617279529724E-2</v>
      </c>
      <c r="D205" s="2" t="s">
        <v>463</v>
      </c>
      <c r="E205">
        <v>0</v>
      </c>
    </row>
    <row r="206" spans="1:5" ht="22.5">
      <c r="A206" s="21" t="s">
        <v>679</v>
      </c>
      <c r="B206" s="21" t="s">
        <v>678</v>
      </c>
      <c r="C206">
        <f>CCLASStreamConcThickenerFeedStream_S</f>
        <v>18.107173595533997</v>
      </c>
      <c r="D206" s="2" t="s">
        <v>463</v>
      </c>
      <c r="E206">
        <v>0</v>
      </c>
    </row>
    <row r="207" spans="1:5" ht="22.5">
      <c r="A207" s="21" t="s">
        <v>677</v>
      </c>
      <c r="B207" s="21" t="s">
        <v>676</v>
      </c>
      <c r="C207">
        <f>CCLASStreamConcThickenerFeedStream_U</f>
        <v>5.9471689146995939E-3</v>
      </c>
      <c r="D207" s="2" t="s">
        <v>463</v>
      </c>
      <c r="E207">
        <v>0</v>
      </c>
    </row>
    <row r="208" spans="1:5" ht="22.5">
      <c r="A208" s="21" t="s">
        <v>675</v>
      </c>
      <c r="B208" s="21" t="s">
        <v>674</v>
      </c>
      <c r="C208">
        <f>CCLASStreamConcThickenerFeedStream_F</f>
        <v>7.1705868377100718E-2</v>
      </c>
      <c r="D208" s="2" t="s">
        <v>463</v>
      </c>
      <c r="E208">
        <v>0</v>
      </c>
    </row>
    <row r="209" spans="1:5" ht="22.5">
      <c r="A209" s="21" t="s">
        <v>673</v>
      </c>
      <c r="B209" s="21" t="s">
        <v>672</v>
      </c>
      <c r="C209">
        <f>CCLASStreamFlotationTailsStream_Cu</f>
        <v>0.1850097535160958</v>
      </c>
      <c r="D209" s="2" t="s">
        <v>463</v>
      </c>
      <c r="E209">
        <v>0</v>
      </c>
    </row>
    <row r="210" spans="1:5" ht="22.5">
      <c r="A210" s="21" t="s">
        <v>671</v>
      </c>
      <c r="B210" s="21" t="s">
        <v>670</v>
      </c>
      <c r="C210">
        <f>CCLASStreamFlotationTailsStream_Fe</f>
        <v>6.2003747598960652</v>
      </c>
      <c r="D210" s="2" t="s">
        <v>463</v>
      </c>
      <c r="E210">
        <v>0</v>
      </c>
    </row>
    <row r="211" spans="1:5" ht="22.5">
      <c r="A211" s="21" t="s">
        <v>669</v>
      </c>
      <c r="B211" s="21" t="s">
        <v>668</v>
      </c>
      <c r="C211">
        <f>CCLASStreamFlotationTailsStream_Au</f>
        <v>1.0427340192027875E-5</v>
      </c>
      <c r="D211" s="2" t="s">
        <v>463</v>
      </c>
      <c r="E211">
        <v>0</v>
      </c>
    </row>
    <row r="212" spans="1:5" ht="22.5">
      <c r="A212" s="21" t="s">
        <v>667</v>
      </c>
      <c r="B212" s="21" t="s">
        <v>666</v>
      </c>
      <c r="C212">
        <f>CCLASStreamFlotationTailsStream_Ag</f>
        <v>2.1938968633341641E-4</v>
      </c>
      <c r="D212" s="2" t="s">
        <v>463</v>
      </c>
      <c r="E212">
        <v>0</v>
      </c>
    </row>
    <row r="213" spans="1:5" ht="22.5">
      <c r="A213" s="21" t="s">
        <v>665</v>
      </c>
      <c r="B213" s="21" t="s">
        <v>664</v>
      </c>
      <c r="C213">
        <f>CCLASStreamFlotationTailsStream_S</f>
        <v>5.9972482447225497</v>
      </c>
      <c r="D213" s="2" t="s">
        <v>463</v>
      </c>
      <c r="E213">
        <v>0</v>
      </c>
    </row>
    <row r="214" spans="1:5" ht="22.5">
      <c r="A214" s="21" t="s">
        <v>663</v>
      </c>
      <c r="B214" s="21" t="s">
        <v>662</v>
      </c>
      <c r="C214">
        <f>CCLASStreamFlotationTailsStream_U</f>
        <v>5.9419620084186654E-3</v>
      </c>
      <c r="D214" s="2" t="s">
        <v>463</v>
      </c>
      <c r="E214">
        <v>0</v>
      </c>
    </row>
    <row r="215" spans="1:5" ht="22.5">
      <c r="A215" s="21" t="s">
        <v>661</v>
      </c>
      <c r="B215" s="21" t="s">
        <v>660</v>
      </c>
      <c r="C215">
        <f>CCLASStreamFlotationTailsStream_F</f>
        <v>4.5060249736913735E-2</v>
      </c>
      <c r="D215" s="2" t="s">
        <v>463</v>
      </c>
      <c r="E215">
        <v>0</v>
      </c>
    </row>
    <row r="216" spans="1:5" ht="22.5">
      <c r="A216" s="21" t="s">
        <v>659</v>
      </c>
      <c r="B216" s="21" t="s">
        <v>658</v>
      </c>
      <c r="C216">
        <f>CCLASStreamRougherFeedStream_Cu</f>
        <v>1.3750583404500738</v>
      </c>
      <c r="D216" s="2" t="s">
        <v>463</v>
      </c>
      <c r="E216">
        <v>0</v>
      </c>
    </row>
    <row r="217" spans="1:5" ht="22.5">
      <c r="A217" s="21" t="s">
        <v>657</v>
      </c>
      <c r="B217" s="21" t="s">
        <v>656</v>
      </c>
      <c r="C217">
        <f>CCLASStreamRougherFeedStream_Fe</f>
        <v>6.4257315502376251</v>
      </c>
      <c r="D217" s="2" t="s">
        <v>463</v>
      </c>
      <c r="E217">
        <v>0</v>
      </c>
    </row>
    <row r="218" spans="1:5" ht="22.5">
      <c r="A218" s="21" t="s">
        <v>655</v>
      </c>
      <c r="B218" s="21" t="s">
        <v>654</v>
      </c>
      <c r="C218">
        <f>CCLASStreamRougherFeedStream_Au</f>
        <v>4.3888792317134675E-5</v>
      </c>
      <c r="D218" s="2" t="s">
        <v>463</v>
      </c>
      <c r="E218">
        <v>0</v>
      </c>
    </row>
    <row r="219" spans="1:5" ht="22.5">
      <c r="A219" s="21" t="s">
        <v>653</v>
      </c>
      <c r="B219" s="21" t="s">
        <v>652</v>
      </c>
      <c r="C219">
        <f>CCLASStreamRougherFeedStream_Ag</f>
        <v>5.7858783592514766E-4</v>
      </c>
      <c r="D219" s="2" t="s">
        <v>463</v>
      </c>
      <c r="E219">
        <v>0</v>
      </c>
    </row>
    <row r="220" spans="1:5" ht="22.5">
      <c r="A220" s="21" t="s">
        <v>651</v>
      </c>
      <c r="B220" s="21" t="s">
        <v>650</v>
      </c>
      <c r="C220">
        <f>CCLASStreamRougherFeedStream_S</f>
        <v>6.3003065820902027</v>
      </c>
      <c r="D220" s="2" t="s">
        <v>463</v>
      </c>
      <c r="E220">
        <v>0</v>
      </c>
    </row>
    <row r="221" spans="1:5" ht="22.5">
      <c r="A221" s="21" t="s">
        <v>649</v>
      </c>
      <c r="B221" s="21" t="s">
        <v>648</v>
      </c>
      <c r="C221">
        <f>CCLASStreamRougherFeedStream_U</f>
        <v>5.9420924747951636E-3</v>
      </c>
      <c r="D221" s="2" t="s">
        <v>463</v>
      </c>
      <c r="E221">
        <v>0</v>
      </c>
    </row>
    <row r="222" spans="1:5" ht="22.5">
      <c r="A222" s="21" t="s">
        <v>647</v>
      </c>
      <c r="B222" s="21" t="s">
        <v>646</v>
      </c>
      <c r="C222">
        <f>CCLASStreamRougherFeedStream_F</f>
        <v>4.5727073408178109E-2</v>
      </c>
      <c r="D222" s="2" t="s">
        <v>463</v>
      </c>
      <c r="E222">
        <v>0</v>
      </c>
    </row>
    <row r="223" spans="1:5">
      <c r="A223" s="21" t="s">
        <v>645</v>
      </c>
      <c r="B223" s="21" t="s">
        <v>644</v>
      </c>
      <c r="C223">
        <f>ConcStorageTank1FeedStream_Cu</f>
        <v>0</v>
      </c>
      <c r="D223" s="2" t="s">
        <v>463</v>
      </c>
      <c r="E223">
        <v>0</v>
      </c>
    </row>
    <row r="224" spans="1:5">
      <c r="A224" s="21" t="s">
        <v>643</v>
      </c>
      <c r="B224" s="21" t="s">
        <v>642</v>
      </c>
      <c r="C224">
        <f>ConcStorageTank1FeedStream_Fe</f>
        <v>0</v>
      </c>
      <c r="D224" s="2" t="s">
        <v>463</v>
      </c>
      <c r="E224">
        <v>0</v>
      </c>
    </row>
    <row r="225" spans="1:5">
      <c r="A225" s="21" t="s">
        <v>641</v>
      </c>
      <c r="B225" s="21" t="s">
        <v>640</v>
      </c>
      <c r="C225">
        <f>ConcStorageTank1FeedStream_Au</f>
        <v>0</v>
      </c>
      <c r="D225" s="2" t="s">
        <v>463</v>
      </c>
      <c r="E225">
        <v>0</v>
      </c>
    </row>
    <row r="226" spans="1:5">
      <c r="A226" s="21" t="s">
        <v>639</v>
      </c>
      <c r="B226" s="21" t="s">
        <v>638</v>
      </c>
      <c r="C226">
        <f>ConcStorageTank1FeedStream_Ag</f>
        <v>0</v>
      </c>
      <c r="D226" s="2" t="s">
        <v>463</v>
      </c>
      <c r="E226">
        <v>0</v>
      </c>
    </row>
    <row r="227" spans="1:5">
      <c r="A227" s="21" t="s">
        <v>637</v>
      </c>
      <c r="B227" s="21" t="s">
        <v>636</v>
      </c>
      <c r="C227">
        <f>ConcStorageTank1FeedStream_S</f>
        <v>0</v>
      </c>
      <c r="D227" s="2" t="s">
        <v>463</v>
      </c>
      <c r="E227">
        <v>0</v>
      </c>
    </row>
    <row r="228" spans="1:5">
      <c r="A228" s="21" t="s">
        <v>635</v>
      </c>
      <c r="B228" s="21" t="s">
        <v>634</v>
      </c>
      <c r="C228">
        <f>ConcStorageTank1FeedStream_U</f>
        <v>0</v>
      </c>
      <c r="D228" s="2" t="s">
        <v>463</v>
      </c>
      <c r="E228">
        <v>0</v>
      </c>
    </row>
    <row r="229" spans="1:5">
      <c r="A229" s="21" t="s">
        <v>633</v>
      </c>
      <c r="B229" s="21" t="s">
        <v>632</v>
      </c>
      <c r="C229">
        <f>ConcStorageTank1FeedStream_F</f>
        <v>0</v>
      </c>
      <c r="D229" s="2" t="s">
        <v>463</v>
      </c>
      <c r="E229">
        <v>0</v>
      </c>
    </row>
    <row r="230" spans="1:5" ht="22.5">
      <c r="A230" s="21" t="s">
        <v>631</v>
      </c>
      <c r="B230" s="21" t="s">
        <v>630</v>
      </c>
      <c r="C230">
        <f>ConcStorageTank1UnderflowStream_Cu</f>
        <v>46.803007999999998</v>
      </c>
      <c r="D230" s="2" t="s">
        <v>463</v>
      </c>
      <c r="E230">
        <v>0</v>
      </c>
    </row>
    <row r="231" spans="1:5" ht="22.5">
      <c r="A231" s="21" t="s">
        <v>629</v>
      </c>
      <c r="B231" s="21" t="s">
        <v>628</v>
      </c>
      <c r="C231">
        <f>ConcStorageTank1UnderflowStream_Fe</f>
        <v>15.514926000000001</v>
      </c>
      <c r="D231" s="2" t="s">
        <v>463</v>
      </c>
      <c r="E231">
        <v>0</v>
      </c>
    </row>
    <row r="232" spans="1:5" ht="22.5">
      <c r="A232" s="21" t="s">
        <v>627</v>
      </c>
      <c r="B232" s="21" t="s">
        <v>626</v>
      </c>
      <c r="C232">
        <f>ConcStorageTank1UnderflowStream_Au</f>
        <v>1.3139072999999999E-3</v>
      </c>
      <c r="D232" s="2" t="s">
        <v>463</v>
      </c>
      <c r="E232">
        <v>0</v>
      </c>
    </row>
    <row r="233" spans="1:5" ht="22.5">
      <c r="A233" s="21" t="s">
        <v>625</v>
      </c>
      <c r="B233" s="21" t="s">
        <v>624</v>
      </c>
      <c r="C233">
        <f>ConcStorageTank1UnderflowStream_Ag</f>
        <v>1.4585254000000001E-2</v>
      </c>
      <c r="D233" s="2" t="s">
        <v>463</v>
      </c>
      <c r="E233">
        <v>0</v>
      </c>
    </row>
    <row r="234" spans="1:5" ht="22.5">
      <c r="A234" s="21" t="s">
        <v>623</v>
      </c>
      <c r="B234" s="21" t="s">
        <v>622</v>
      </c>
      <c r="C234">
        <f>ConcStorageTank1UnderflowStream_S</f>
        <v>17.750843</v>
      </c>
      <c r="D234" s="2" t="s">
        <v>463</v>
      </c>
      <c r="E234">
        <v>0</v>
      </c>
    </row>
    <row r="235" spans="1:5" ht="22.5">
      <c r="A235" s="21" t="s">
        <v>621</v>
      </c>
      <c r="B235" s="21" t="s">
        <v>620</v>
      </c>
      <c r="C235">
        <f>ConcStorageTank1UnderflowStream_U</f>
        <v>5.1087674000000003E-3</v>
      </c>
      <c r="D235" s="2" t="s">
        <v>463</v>
      </c>
      <c r="E235">
        <v>0</v>
      </c>
    </row>
    <row r="236" spans="1:5" ht="22.5">
      <c r="A236" s="21" t="s">
        <v>619</v>
      </c>
      <c r="B236" s="21" t="s">
        <v>618</v>
      </c>
      <c r="C236">
        <f>ConcStorageTank1UnderflowStream_F</f>
        <v>6.7001773400000006E-2</v>
      </c>
      <c r="D236" s="2" t="s">
        <v>463</v>
      </c>
      <c r="E236">
        <v>0</v>
      </c>
    </row>
    <row r="237" spans="1:5">
      <c r="A237" s="21" t="s">
        <v>617</v>
      </c>
      <c r="B237" s="21" t="s">
        <v>616</v>
      </c>
      <c r="C237">
        <f>ConcStorageTank2FeedStream_Cu</f>
        <v>47.431441820688725</v>
      </c>
      <c r="D237" s="2" t="s">
        <v>463</v>
      </c>
      <c r="E237">
        <v>0</v>
      </c>
    </row>
    <row r="238" spans="1:5">
      <c r="A238" s="21" t="s">
        <v>615</v>
      </c>
      <c r="B238" s="21" t="s">
        <v>614</v>
      </c>
      <c r="C238">
        <f>ConcStorageTank2FeedStream_Fe</f>
        <v>15.275900843963626</v>
      </c>
      <c r="D238" s="2" t="s">
        <v>463</v>
      </c>
      <c r="E238">
        <v>0</v>
      </c>
    </row>
    <row r="239" spans="1:5">
      <c r="A239" s="21" t="s">
        <v>613</v>
      </c>
      <c r="B239" s="21" t="s">
        <v>612</v>
      </c>
      <c r="C239">
        <f>ConcStorageTank2FeedStream_Au</f>
        <v>1.3377924103687901E-3</v>
      </c>
      <c r="D239" s="2" t="s">
        <v>463</v>
      </c>
      <c r="E239">
        <v>0</v>
      </c>
    </row>
    <row r="240" spans="1:5">
      <c r="A240" s="21" t="s">
        <v>611</v>
      </c>
      <c r="B240" s="21" t="s">
        <v>610</v>
      </c>
      <c r="C240">
        <f>ConcStorageTank2FeedStream_Ag</f>
        <v>1.4550619918201488E-2</v>
      </c>
      <c r="D240" s="2" t="s">
        <v>463</v>
      </c>
      <c r="E240">
        <v>0</v>
      </c>
    </row>
    <row r="241" spans="1:5">
      <c r="A241" s="21" t="s">
        <v>609</v>
      </c>
      <c r="B241" s="21" t="s">
        <v>608</v>
      </c>
      <c r="C241">
        <f>ConcStorageTank2FeedStream_S</f>
        <v>17.990258748742523</v>
      </c>
      <c r="D241" s="2" t="s">
        <v>463</v>
      </c>
      <c r="E241">
        <v>0</v>
      </c>
    </row>
    <row r="242" spans="1:5">
      <c r="A242" s="21" t="s">
        <v>607</v>
      </c>
      <c r="B242" s="21" t="s">
        <v>606</v>
      </c>
      <c r="C242">
        <f>ConcStorageTank2FeedStream_U</f>
        <v>5.6637335908540322E-3</v>
      </c>
      <c r="D242" s="2" t="s">
        <v>463</v>
      </c>
      <c r="E242">
        <v>0</v>
      </c>
    </row>
    <row r="243" spans="1:5">
      <c r="A243" s="21" t="s">
        <v>605</v>
      </c>
      <c r="B243" s="21" t="s">
        <v>604</v>
      </c>
      <c r="C243">
        <f>ConcStorageTank2FeedStream_F</f>
        <v>6.9956760037470103E-2</v>
      </c>
      <c r="D243" s="2" t="s">
        <v>463</v>
      </c>
      <c r="E243">
        <v>0</v>
      </c>
    </row>
    <row r="244" spans="1:5" ht="22.5">
      <c r="A244" s="21" t="s">
        <v>603</v>
      </c>
      <c r="B244" s="21" t="s">
        <v>602</v>
      </c>
      <c r="C244">
        <f>ConcStorageTank2UnderflowStream_Cu</f>
        <v>47.559142999999999</v>
      </c>
      <c r="D244" s="2" t="s">
        <v>463</v>
      </c>
      <c r="E244">
        <v>0</v>
      </c>
    </row>
    <row r="245" spans="1:5" ht="22.5">
      <c r="A245" s="21" t="s">
        <v>601</v>
      </c>
      <c r="B245" s="21" t="s">
        <v>600</v>
      </c>
      <c r="C245">
        <f>ConcStorageTank2UnderflowStream_Fe</f>
        <v>14.991614999999999</v>
      </c>
      <c r="D245" s="2" t="s">
        <v>463</v>
      </c>
      <c r="E245">
        <v>0</v>
      </c>
    </row>
    <row r="246" spans="1:5" ht="22.5">
      <c r="A246" s="21" t="s">
        <v>599</v>
      </c>
      <c r="B246" s="21" t="s">
        <v>598</v>
      </c>
      <c r="C246">
        <f>ConcStorageTank2UnderflowStream_Au</f>
        <v>1.2884337999999999E-3</v>
      </c>
      <c r="D246" s="2" t="s">
        <v>463</v>
      </c>
      <c r="E246">
        <v>0</v>
      </c>
    </row>
    <row r="247" spans="1:5" ht="22.5">
      <c r="A247" s="21" t="s">
        <v>597</v>
      </c>
      <c r="B247" s="21" t="s">
        <v>596</v>
      </c>
      <c r="C247">
        <f>ConcStorageTank2UnderflowStream_Ag</f>
        <v>1.45145034E-2</v>
      </c>
      <c r="D247" s="2" t="s">
        <v>463</v>
      </c>
      <c r="E247">
        <v>0</v>
      </c>
    </row>
    <row r="248" spans="1:5" ht="22.5">
      <c r="A248" s="21" t="s">
        <v>595</v>
      </c>
      <c r="B248" s="21" t="s">
        <v>594</v>
      </c>
      <c r="C248">
        <f>ConcStorageTank2UnderflowStream_S</f>
        <v>17.465229999999998</v>
      </c>
      <c r="D248" s="2" t="s">
        <v>463</v>
      </c>
      <c r="E248">
        <v>0</v>
      </c>
    </row>
    <row r="249" spans="1:5" ht="22.5">
      <c r="A249" s="21" t="s">
        <v>593</v>
      </c>
      <c r="B249" s="21" t="s">
        <v>592</v>
      </c>
      <c r="C249">
        <f>ConcStorageTank2UnderflowStream_U</f>
        <v>5.4770571999999997E-3</v>
      </c>
      <c r="D249" s="2" t="s">
        <v>463</v>
      </c>
      <c r="E249">
        <v>0</v>
      </c>
    </row>
    <row r="250" spans="1:5" ht="22.5">
      <c r="A250" s="21" t="s">
        <v>591</v>
      </c>
      <c r="B250" s="21" t="s">
        <v>590</v>
      </c>
      <c r="C250">
        <f>ConcStorageTank2UnderflowStream_F</f>
        <v>6.7829136200000001E-2</v>
      </c>
      <c r="D250" s="2" t="s">
        <v>463</v>
      </c>
      <c r="E250">
        <v>0</v>
      </c>
    </row>
    <row r="251" spans="1:5" ht="22.5">
      <c r="A251" s="21" t="s">
        <v>589</v>
      </c>
      <c r="B251" s="21" t="s">
        <v>588</v>
      </c>
      <c r="C251">
        <f>ConcThickenerUnderflowStream_Cu</f>
        <v>47.431441820687567</v>
      </c>
      <c r="D251" s="2" t="s">
        <v>463</v>
      </c>
      <c r="E251">
        <v>0</v>
      </c>
    </row>
    <row r="252" spans="1:5" ht="22.5">
      <c r="A252" s="21" t="s">
        <v>587</v>
      </c>
      <c r="B252" s="21" t="s">
        <v>586</v>
      </c>
      <c r="C252">
        <f>ConcThickenerUnderflowStream_Fe</f>
        <v>15.275900843962694</v>
      </c>
      <c r="D252" s="2" t="s">
        <v>463</v>
      </c>
      <c r="E252">
        <v>0</v>
      </c>
    </row>
    <row r="253" spans="1:5" ht="22.5">
      <c r="A253" s="21" t="s">
        <v>585</v>
      </c>
      <c r="B253" s="21" t="s">
        <v>584</v>
      </c>
      <c r="C253">
        <f>ConcThickenerUnderflowStream_Au</f>
        <v>1.3377924094478304E-3</v>
      </c>
      <c r="D253" s="2" t="s">
        <v>463</v>
      </c>
      <c r="E253">
        <v>0</v>
      </c>
    </row>
    <row r="254" spans="1:5" ht="22.5">
      <c r="A254" s="21" t="s">
        <v>583</v>
      </c>
      <c r="B254" s="21" t="s">
        <v>582</v>
      </c>
      <c r="C254">
        <f>ConcThickenerUnderflowStream_Ag</f>
        <v>1.4550619918158031E-2</v>
      </c>
      <c r="D254" s="2" t="s">
        <v>463</v>
      </c>
      <c r="E254">
        <v>0</v>
      </c>
    </row>
    <row r="255" spans="1:5">
      <c r="A255" s="21" t="s">
        <v>581</v>
      </c>
      <c r="B255" s="21" t="s">
        <v>580</v>
      </c>
      <c r="C255">
        <f>ConcThickenerUnderflowStream_S</f>
        <v>17.990258748741837</v>
      </c>
      <c r="D255" s="2" t="s">
        <v>463</v>
      </c>
      <c r="E255">
        <v>0</v>
      </c>
    </row>
    <row r="256" spans="1:5">
      <c r="A256" s="21" t="s">
        <v>579</v>
      </c>
      <c r="B256" s="21" t="s">
        <v>578</v>
      </c>
      <c r="C256">
        <f>ConcThickenerUnderflowStream_U</f>
        <v>5.6637335907633087E-3</v>
      </c>
      <c r="D256" s="2" t="s">
        <v>463</v>
      </c>
      <c r="E256">
        <v>0</v>
      </c>
    </row>
    <row r="257" spans="1:5">
      <c r="A257" s="21" t="s">
        <v>577</v>
      </c>
      <c r="B257" s="21" t="s">
        <v>576</v>
      </c>
      <c r="C257">
        <f>ConcThickenerUnderflowStream_F</f>
        <v>6.995676003746179E-2</v>
      </c>
      <c r="D257" s="2" t="s">
        <v>463</v>
      </c>
      <c r="E257">
        <v>0</v>
      </c>
    </row>
    <row r="258" spans="1:5" ht="22.5">
      <c r="A258" s="21" t="s">
        <v>575</v>
      </c>
      <c r="B258" s="21" t="s">
        <v>574</v>
      </c>
      <c r="C258">
        <f>OSAStreamConcThickenerFeedStream_Cu</f>
        <v>47.738255231031374</v>
      </c>
      <c r="D258" s="2" t="s">
        <v>463</v>
      </c>
      <c r="E258">
        <v>0</v>
      </c>
    </row>
    <row r="259" spans="1:5" ht="22.5">
      <c r="A259" s="21" t="s">
        <v>573</v>
      </c>
      <c r="B259" s="21" t="s">
        <v>572</v>
      </c>
      <c r="C259">
        <f>OSAStreamConcThickenerFeedStream_Fe</f>
        <v>15.205424765944041</v>
      </c>
      <c r="D259" s="2" t="s">
        <v>463</v>
      </c>
      <c r="E259">
        <v>0</v>
      </c>
    </row>
    <row r="260" spans="1:5" ht="22.5">
      <c r="A260" s="21" t="s">
        <v>571</v>
      </c>
      <c r="B260" s="21" t="s">
        <v>570</v>
      </c>
      <c r="C260">
        <f>OSAStreamConcThickenerFeedStream_Au</f>
        <v>1.3475162141717454E-3</v>
      </c>
      <c r="D260" s="2" t="s">
        <v>463</v>
      </c>
      <c r="E260">
        <v>0</v>
      </c>
    </row>
    <row r="261" spans="1:5" ht="22.5">
      <c r="A261" s="21" t="s">
        <v>569</v>
      </c>
      <c r="B261" s="21" t="s">
        <v>568</v>
      </c>
      <c r="C261">
        <f>OSAStreamConcThickenerFeedStream_Ag</f>
        <v>1.4572617327237041E-2</v>
      </c>
      <c r="D261" s="2" t="s">
        <v>463</v>
      </c>
      <c r="E261">
        <v>0</v>
      </c>
    </row>
    <row r="262" spans="1:5" ht="22.5">
      <c r="A262" s="21" t="s">
        <v>567</v>
      </c>
      <c r="B262" s="21" t="s">
        <v>566</v>
      </c>
      <c r="C262">
        <f>OSAStreamConcThickenerFeedStream_S</f>
        <v>18.107173623112754</v>
      </c>
      <c r="D262" s="2" t="s">
        <v>463</v>
      </c>
      <c r="E262">
        <v>0</v>
      </c>
    </row>
    <row r="263" spans="1:5" ht="22.5">
      <c r="A263" s="21" t="s">
        <v>565</v>
      </c>
      <c r="B263" s="21" t="s">
        <v>564</v>
      </c>
      <c r="C263">
        <f>OSAStreamConcThickenerFeedStream_U</f>
        <v>5.9471688361449624E-3</v>
      </c>
      <c r="D263" s="2" t="s">
        <v>463</v>
      </c>
      <c r="E263">
        <v>0</v>
      </c>
    </row>
    <row r="264" spans="1:5" ht="22.5">
      <c r="A264" s="21" t="s">
        <v>563</v>
      </c>
      <c r="B264" s="21" t="s">
        <v>562</v>
      </c>
      <c r="C264">
        <f>OSAStreamConcThickenerFeedStream_F</f>
        <v>7.1705868006192636E-2</v>
      </c>
      <c r="D264" s="2" t="s">
        <v>463</v>
      </c>
      <c r="E264">
        <v>0</v>
      </c>
    </row>
    <row r="265" spans="1:5">
      <c r="A265" s="21" t="s">
        <v>561</v>
      </c>
      <c r="B265" s="21" t="s">
        <v>560</v>
      </c>
      <c r="C265">
        <f>OSAStreamFlotationTailsStream_Cu</f>
        <v>0.18500975351624613</v>
      </c>
      <c r="D265" s="2" t="s">
        <v>463</v>
      </c>
      <c r="E265">
        <v>0</v>
      </c>
    </row>
    <row r="266" spans="1:5">
      <c r="A266" s="21" t="s">
        <v>559</v>
      </c>
      <c r="B266" s="21" t="s">
        <v>558</v>
      </c>
      <c r="C266">
        <f>OSAStreamFlotationTailsStream_Fe</f>
        <v>6.2003747598923047</v>
      </c>
      <c r="D266" s="2" t="s">
        <v>463</v>
      </c>
      <c r="E266">
        <v>0</v>
      </c>
    </row>
    <row r="267" spans="1:5">
      <c r="A267" s="21" t="s">
        <v>557</v>
      </c>
      <c r="B267" s="21" t="s">
        <v>556</v>
      </c>
      <c r="C267">
        <f>OSAStreamFlotationTailsStream_Au</f>
        <v>1.0427340154294414E-5</v>
      </c>
      <c r="D267" s="2" t="s">
        <v>463</v>
      </c>
      <c r="E267">
        <v>0</v>
      </c>
    </row>
    <row r="268" spans="1:5">
      <c r="A268" s="21" t="s">
        <v>555</v>
      </c>
      <c r="B268" s="21" t="s">
        <v>554</v>
      </c>
      <c r="C268">
        <f>OSAStreamFlotationTailsStream_Ag</f>
        <v>2.1938968676288941E-4</v>
      </c>
      <c r="D268" s="2" t="s">
        <v>463</v>
      </c>
      <c r="E268">
        <v>0</v>
      </c>
    </row>
    <row r="269" spans="1:5">
      <c r="A269" s="21" t="s">
        <v>553</v>
      </c>
      <c r="B269" s="21" t="s">
        <v>552</v>
      </c>
      <c r="C269">
        <f>OSAStreamFlotationTailsStream_S</f>
        <v>5.9972483236634462</v>
      </c>
      <c r="D269" s="2" t="s">
        <v>463</v>
      </c>
      <c r="E269">
        <v>0</v>
      </c>
    </row>
    <row r="270" spans="1:5">
      <c r="A270" s="21" t="s">
        <v>551</v>
      </c>
      <c r="B270" s="21" t="s">
        <v>550</v>
      </c>
      <c r="C270">
        <f>OSAStreamFlotationTailsStream_U</f>
        <v>5.9419620604694821E-3</v>
      </c>
      <c r="D270" s="2" t="s">
        <v>463</v>
      </c>
      <c r="E270">
        <v>0</v>
      </c>
    </row>
    <row r="271" spans="1:5">
      <c r="A271" s="21" t="s">
        <v>549</v>
      </c>
      <c r="B271" s="21" t="s">
        <v>548</v>
      </c>
      <c r="C271">
        <f>OSAStreamFlotationTailsStream_F</f>
        <v>4.5060249891750379E-2</v>
      </c>
      <c r="D271" s="2" t="s">
        <v>463</v>
      </c>
      <c r="E271">
        <v>0</v>
      </c>
    </row>
    <row r="272" spans="1:5" ht="22.5">
      <c r="A272" s="21" t="s">
        <v>547</v>
      </c>
      <c r="B272" s="21" t="s">
        <v>546</v>
      </c>
      <c r="C272">
        <f>OSAStreamRougherFeedStream_Cu</f>
        <v>1.3750583404501335</v>
      </c>
      <c r="D272" s="2" t="s">
        <v>463</v>
      </c>
      <c r="E272">
        <v>0</v>
      </c>
    </row>
    <row r="273" spans="1:5" ht="22.5">
      <c r="A273" s="21" t="s">
        <v>545</v>
      </c>
      <c r="B273" s="21" t="s">
        <v>544</v>
      </c>
      <c r="C273">
        <f>OSAStreamRougherFeedStream_Fe</f>
        <v>6.4257315502371881</v>
      </c>
      <c r="D273" s="2" t="s">
        <v>463</v>
      </c>
      <c r="E273">
        <v>0</v>
      </c>
    </row>
    <row r="274" spans="1:5" ht="22.5">
      <c r="A274" s="21" t="s">
        <v>543</v>
      </c>
      <c r="B274" s="21" t="s">
        <v>542</v>
      </c>
      <c r="C274">
        <f>OSAStreamRougherFeedStream_Au</f>
        <v>4.3888792317125744E-5</v>
      </c>
      <c r="D274" s="2" t="s">
        <v>463</v>
      </c>
      <c r="E274">
        <v>0</v>
      </c>
    </row>
    <row r="275" spans="1:5" ht="22.5">
      <c r="A275" s="21" t="s">
        <v>541</v>
      </c>
      <c r="B275" s="21" t="s">
        <v>540</v>
      </c>
      <c r="C275">
        <f>OSAStreamRougherFeedStream_Ag</f>
        <v>5.7858783592502905E-4</v>
      </c>
      <c r="D275" s="2" t="s">
        <v>463</v>
      </c>
      <c r="E275">
        <v>0</v>
      </c>
    </row>
    <row r="276" spans="1:5">
      <c r="A276" s="21" t="s">
        <v>539</v>
      </c>
      <c r="B276" s="21" t="s">
        <v>538</v>
      </c>
      <c r="C276">
        <f>OSAStreamRougherFeedStream_S</f>
        <v>6.3003065820889326</v>
      </c>
      <c r="D276" s="2" t="s">
        <v>463</v>
      </c>
      <c r="E276">
        <v>0</v>
      </c>
    </row>
    <row r="277" spans="1:5">
      <c r="A277" s="21" t="s">
        <v>537</v>
      </c>
      <c r="B277" s="21" t="s">
        <v>536</v>
      </c>
      <c r="C277">
        <f>OSAStreamRougherFeedStream_U</f>
        <v>5.9420924747939485E-3</v>
      </c>
      <c r="D277" s="2" t="s">
        <v>463</v>
      </c>
      <c r="E277">
        <v>0</v>
      </c>
    </row>
    <row r="278" spans="1:5">
      <c r="A278" s="21" t="s">
        <v>535</v>
      </c>
      <c r="B278" s="21" t="s">
        <v>534</v>
      </c>
      <c r="C278">
        <f>OSAStreamRougherFeedStream_F</f>
        <v>4.5727073408168721E-2</v>
      </c>
      <c r="D278" s="2" t="s">
        <v>463</v>
      </c>
      <c r="E278">
        <v>0</v>
      </c>
    </row>
    <row r="279" spans="1:5">
      <c r="A279" s="21" t="s">
        <v>533</v>
      </c>
      <c r="B279" s="21" t="s">
        <v>532</v>
      </c>
      <c r="C279">
        <f>PressureFilterFeedStream_Cu</f>
        <v>46.803007999999998</v>
      </c>
      <c r="D279" s="2" t="s">
        <v>463</v>
      </c>
      <c r="E279">
        <v>0</v>
      </c>
    </row>
    <row r="280" spans="1:5">
      <c r="A280" s="21" t="s">
        <v>531</v>
      </c>
      <c r="B280" s="21" t="s">
        <v>530</v>
      </c>
      <c r="C280">
        <f>PressureFilterFeedStream_Fe</f>
        <v>15.514926000000001</v>
      </c>
      <c r="D280" s="2" t="s">
        <v>463</v>
      </c>
      <c r="E280">
        <v>0</v>
      </c>
    </row>
    <row r="281" spans="1:5">
      <c r="A281" s="21" t="s">
        <v>529</v>
      </c>
      <c r="B281" s="21" t="s">
        <v>528</v>
      </c>
      <c r="C281">
        <f>PressureFilterFeedStream_Au</f>
        <v>1.3139073000000001E-3</v>
      </c>
      <c r="D281" s="2" t="s">
        <v>463</v>
      </c>
      <c r="E281">
        <v>0</v>
      </c>
    </row>
    <row r="282" spans="1:5">
      <c r="A282" s="21" t="s">
        <v>527</v>
      </c>
      <c r="B282" s="21" t="s">
        <v>526</v>
      </c>
      <c r="C282">
        <f>PressureFilterFeedStream_Ag</f>
        <v>1.4585254000000001E-2</v>
      </c>
      <c r="D282" s="2" t="s">
        <v>463</v>
      </c>
      <c r="E282">
        <v>0</v>
      </c>
    </row>
    <row r="283" spans="1:5">
      <c r="A283" s="21" t="s">
        <v>525</v>
      </c>
      <c r="B283" s="21" t="s">
        <v>524</v>
      </c>
      <c r="C283">
        <f>PressureFilterFeedStream_S</f>
        <v>17.750843</v>
      </c>
      <c r="D283" s="2" t="s">
        <v>463</v>
      </c>
      <c r="E283">
        <v>0</v>
      </c>
    </row>
    <row r="284" spans="1:5">
      <c r="A284" s="21" t="s">
        <v>523</v>
      </c>
      <c r="B284" s="21" t="s">
        <v>522</v>
      </c>
      <c r="C284">
        <f>PressureFilterFeedStream_U</f>
        <v>5.1087674000000003E-3</v>
      </c>
      <c r="D284" s="2" t="s">
        <v>463</v>
      </c>
      <c r="E284">
        <v>0</v>
      </c>
    </row>
    <row r="285" spans="1:5">
      <c r="A285" s="21" t="s">
        <v>521</v>
      </c>
      <c r="B285" s="21" t="s">
        <v>520</v>
      </c>
      <c r="C285">
        <f>PressureFilterFeedStream_F</f>
        <v>6.7001773400000006E-2</v>
      </c>
      <c r="D285" s="2" t="s">
        <v>463</v>
      </c>
      <c r="E285">
        <v>0</v>
      </c>
    </row>
    <row r="286" spans="1:5">
      <c r="A286" s="21" t="s">
        <v>519</v>
      </c>
      <c r="B286" s="21" t="s">
        <v>518</v>
      </c>
      <c r="C286">
        <f>PressureFilterUnderflowStream_Cu</f>
        <v>46.803007999999998</v>
      </c>
      <c r="D286" s="2" t="s">
        <v>463</v>
      </c>
      <c r="E286">
        <v>0</v>
      </c>
    </row>
    <row r="287" spans="1:5">
      <c r="A287" s="21" t="s">
        <v>517</v>
      </c>
      <c r="B287" s="21" t="s">
        <v>516</v>
      </c>
      <c r="C287">
        <f>PressureFilterUnderflowStream_Fe</f>
        <v>15.514926000000001</v>
      </c>
      <c r="D287" s="2" t="s">
        <v>463</v>
      </c>
      <c r="E287">
        <v>0</v>
      </c>
    </row>
    <row r="288" spans="1:5">
      <c r="A288" s="21" t="s">
        <v>515</v>
      </c>
      <c r="B288" s="21" t="s">
        <v>514</v>
      </c>
      <c r="C288">
        <f>PressureFilterUnderflowStream_Au</f>
        <v>1.3139073000000003E-3</v>
      </c>
      <c r="D288" s="2" t="s">
        <v>463</v>
      </c>
      <c r="E288">
        <v>0</v>
      </c>
    </row>
    <row r="289" spans="1:5">
      <c r="A289" s="21" t="s">
        <v>513</v>
      </c>
      <c r="B289" s="21" t="s">
        <v>512</v>
      </c>
      <c r="C289">
        <f>PressureFilterUnderflowStream_Ag</f>
        <v>1.4585254000000001E-2</v>
      </c>
      <c r="D289" s="2" t="s">
        <v>463</v>
      </c>
      <c r="E289">
        <v>0</v>
      </c>
    </row>
    <row r="290" spans="1:5">
      <c r="A290" s="21" t="s">
        <v>511</v>
      </c>
      <c r="B290" s="21" t="s">
        <v>510</v>
      </c>
      <c r="C290">
        <f>PressureFilterUnderflowStream_S</f>
        <v>17.750843</v>
      </c>
      <c r="D290" s="2" t="s">
        <v>463</v>
      </c>
      <c r="E290">
        <v>0</v>
      </c>
    </row>
    <row r="291" spans="1:5">
      <c r="A291" s="21" t="s">
        <v>509</v>
      </c>
      <c r="B291" s="21" t="s">
        <v>508</v>
      </c>
      <c r="C291">
        <f>PressureFilterUnderflowStream_U</f>
        <v>5.1087674000000003E-3</v>
      </c>
      <c r="D291" s="2" t="s">
        <v>463</v>
      </c>
      <c r="E291">
        <v>0</v>
      </c>
    </row>
    <row r="292" spans="1:5">
      <c r="A292" s="21" t="s">
        <v>507</v>
      </c>
      <c r="B292" s="21" t="s">
        <v>506</v>
      </c>
      <c r="C292">
        <f>PressureFilterUnderflowStream_F</f>
        <v>6.7001773400000006E-2</v>
      </c>
      <c r="D292" s="2" t="s">
        <v>463</v>
      </c>
      <c r="E292">
        <v>0</v>
      </c>
    </row>
    <row r="293" spans="1:5">
      <c r="A293" s="21" t="s">
        <v>505</v>
      </c>
      <c r="B293" s="21" t="s">
        <v>504</v>
      </c>
      <c r="C293">
        <f>SAGMillFeedStream_Cu</f>
        <v>1.3750583404498538</v>
      </c>
      <c r="D293" s="2" t="s">
        <v>463</v>
      </c>
      <c r="E293">
        <v>0</v>
      </c>
    </row>
    <row r="294" spans="1:5">
      <c r="A294" s="21" t="s">
        <v>503</v>
      </c>
      <c r="B294" s="21" t="s">
        <v>502</v>
      </c>
      <c r="C294">
        <f>SAGMillFeedStream_Fe</f>
        <v>6.4257315502358994</v>
      </c>
      <c r="D294" s="2" t="s">
        <v>463</v>
      </c>
      <c r="E294">
        <v>0</v>
      </c>
    </row>
    <row r="295" spans="1:5">
      <c r="A295" s="21" t="s">
        <v>501</v>
      </c>
      <c r="B295" s="21" t="s">
        <v>500</v>
      </c>
      <c r="C295">
        <f>SAGMillFeedStream_Au</f>
        <v>4.3888792317125738E-5</v>
      </c>
      <c r="D295" s="2" t="s">
        <v>463</v>
      </c>
      <c r="E295">
        <v>0</v>
      </c>
    </row>
    <row r="296" spans="1:5">
      <c r="A296" s="21" t="s">
        <v>499</v>
      </c>
      <c r="B296" s="21" t="s">
        <v>498</v>
      </c>
      <c r="C296">
        <f>SAGMillFeedStream_Ag</f>
        <v>5.7858783592502905E-4</v>
      </c>
      <c r="D296" s="2" t="s">
        <v>463</v>
      </c>
      <c r="E296">
        <v>0</v>
      </c>
    </row>
    <row r="297" spans="1:5">
      <c r="A297" s="21" t="s">
        <v>497</v>
      </c>
      <c r="B297" s="21" t="s">
        <v>496</v>
      </c>
      <c r="C297">
        <f>SAGMillFeedStream_S</f>
        <v>6.3003065820851178</v>
      </c>
      <c r="D297" s="2" t="s">
        <v>463</v>
      </c>
      <c r="E297">
        <v>0</v>
      </c>
    </row>
    <row r="298" spans="1:5">
      <c r="A298" s="21" t="s">
        <v>495</v>
      </c>
      <c r="B298" s="21" t="s">
        <v>494</v>
      </c>
      <c r="C298">
        <f>SAGMillFeedStream_U</f>
        <v>5.9420924747903177E-3</v>
      </c>
      <c r="D298" s="2" t="s">
        <v>463</v>
      </c>
      <c r="E298">
        <v>0</v>
      </c>
    </row>
    <row r="299" spans="1:5">
      <c r="A299" s="21" t="s">
        <v>493</v>
      </c>
      <c r="B299" s="21" t="s">
        <v>492</v>
      </c>
      <c r="C299">
        <f>SAGMillFeedStream_F</f>
        <v>4.5727073408140639E-2</v>
      </c>
      <c r="D299" s="2" t="s">
        <v>463</v>
      </c>
      <c r="E299">
        <v>0</v>
      </c>
    </row>
    <row r="300" spans="1:5">
      <c r="A300" s="21" t="s">
        <v>491</v>
      </c>
      <c r="B300" s="21" t="s">
        <v>490</v>
      </c>
      <c r="C300">
        <f>SpillageReturnStream_Cu</f>
        <v>46.803007999999998</v>
      </c>
      <c r="D300" s="2" t="s">
        <v>463</v>
      </c>
      <c r="E300">
        <v>0</v>
      </c>
    </row>
    <row r="301" spans="1:5">
      <c r="A301" s="21" t="s">
        <v>489</v>
      </c>
      <c r="B301" s="21" t="s">
        <v>488</v>
      </c>
      <c r="C301">
        <f>SpillageReturnStream_Fe</f>
        <v>15.514926000000001</v>
      </c>
      <c r="D301" s="2" t="s">
        <v>463</v>
      </c>
      <c r="E301">
        <v>0</v>
      </c>
    </row>
    <row r="302" spans="1:5">
      <c r="A302" s="21" t="s">
        <v>487</v>
      </c>
      <c r="B302" s="21" t="s">
        <v>486</v>
      </c>
      <c r="C302">
        <f>SpillageReturnStream_Au</f>
        <v>1.3139073000000001E-3</v>
      </c>
      <c r="D302" s="2" t="s">
        <v>463</v>
      </c>
      <c r="E302">
        <v>0</v>
      </c>
    </row>
    <row r="303" spans="1:5">
      <c r="A303" s="21" t="s">
        <v>485</v>
      </c>
      <c r="B303" s="21" t="s">
        <v>484</v>
      </c>
      <c r="C303">
        <f>SpillageReturnStream_Ag</f>
        <v>1.4585254000000001E-2</v>
      </c>
      <c r="D303" s="2" t="s">
        <v>463</v>
      </c>
      <c r="E303">
        <v>0</v>
      </c>
    </row>
    <row r="304" spans="1:5">
      <c r="A304" s="21" t="s">
        <v>483</v>
      </c>
      <c r="B304" s="21" t="s">
        <v>482</v>
      </c>
      <c r="C304">
        <f>SpillageReturnStream_S</f>
        <v>17.750843</v>
      </c>
      <c r="D304" s="2" t="s">
        <v>463</v>
      </c>
      <c r="E304">
        <v>0</v>
      </c>
    </row>
    <row r="305" spans="1:11">
      <c r="A305" s="21" t="s">
        <v>481</v>
      </c>
      <c r="B305" s="21" t="s">
        <v>480</v>
      </c>
      <c r="C305">
        <f>SpillageReturnStream_U</f>
        <v>5.1087674000000003E-3</v>
      </c>
      <c r="D305" s="2" t="s">
        <v>463</v>
      </c>
      <c r="E305">
        <v>0</v>
      </c>
    </row>
    <row r="306" spans="1:11">
      <c r="A306" s="21" t="s">
        <v>479</v>
      </c>
      <c r="B306" s="21" t="s">
        <v>478</v>
      </c>
      <c r="C306">
        <f>SpillageReturnStream_F</f>
        <v>6.7001773400000006E-2</v>
      </c>
      <c r="D306" s="2" t="s">
        <v>463</v>
      </c>
      <c r="E306">
        <v>0</v>
      </c>
    </row>
    <row r="307" spans="1:11">
      <c r="A307" s="21" t="s">
        <v>477</v>
      </c>
      <c r="B307" s="21" t="s">
        <v>476</v>
      </c>
      <c r="C307">
        <f>TailsThickenerUnderflowStream_Cu</f>
        <v>0.18751931513718464</v>
      </c>
      <c r="D307" s="2" t="s">
        <v>463</v>
      </c>
      <c r="E307">
        <v>0</v>
      </c>
    </row>
    <row r="308" spans="1:11">
      <c r="A308" s="21" t="s">
        <v>475</v>
      </c>
      <c r="B308" s="21" t="s">
        <v>474</v>
      </c>
      <c r="C308">
        <f>TailsThickenerUnderflowStream_Fe</f>
        <v>6.1904190699192281</v>
      </c>
      <c r="D308" s="2" t="s">
        <v>463</v>
      </c>
      <c r="E308">
        <v>0</v>
      </c>
    </row>
    <row r="309" spans="1:11" ht="22.5">
      <c r="A309" s="21" t="s">
        <v>473</v>
      </c>
      <c r="B309" s="21" t="s">
        <v>472</v>
      </c>
      <c r="C309">
        <f>TailsThickenerUnderflowStream_Au</f>
        <v>1.0384755115720809E-5</v>
      </c>
      <c r="D309" s="2" t="s">
        <v>463</v>
      </c>
      <c r="E309">
        <v>0</v>
      </c>
    </row>
    <row r="310" spans="1:11" ht="22.5">
      <c r="A310" s="21" t="s">
        <v>471</v>
      </c>
      <c r="B310" s="21" t="s">
        <v>470</v>
      </c>
      <c r="C310">
        <f>TailsThickenerUnderflowStream_Ag</f>
        <v>2.1707454007216696E-4</v>
      </c>
      <c r="D310" s="2" t="s">
        <v>463</v>
      </c>
      <c r="E310">
        <v>0</v>
      </c>
    </row>
    <row r="311" spans="1:11">
      <c r="A311" s="21" t="s">
        <v>469</v>
      </c>
      <c r="B311" s="21" t="s">
        <v>468</v>
      </c>
      <c r="C311">
        <f>TailsThickenerUnderflowStream_S</f>
        <v>6.0178499927475846</v>
      </c>
      <c r="D311" s="2" t="s">
        <v>463</v>
      </c>
      <c r="E311">
        <v>0</v>
      </c>
    </row>
    <row r="312" spans="1:11">
      <c r="A312" s="21" t="s">
        <v>467</v>
      </c>
      <c r="B312" s="21" t="s">
        <v>466</v>
      </c>
      <c r="C312">
        <f>TailsThickenerUnderflowStream_U</f>
        <v>5.9152320703521107E-3</v>
      </c>
      <c r="D312" s="2" t="s">
        <v>463</v>
      </c>
      <c r="E312">
        <v>0</v>
      </c>
    </row>
    <row r="313" spans="1:11">
      <c r="A313" s="21" t="s">
        <v>465</v>
      </c>
      <c r="B313" s="21" t="s">
        <v>464</v>
      </c>
      <c r="C313">
        <f>TailsThickenerUnderflowStream_F</f>
        <v>4.488377964381278E-2</v>
      </c>
      <c r="D313" s="2" t="s">
        <v>463</v>
      </c>
      <c r="E313">
        <v>0</v>
      </c>
    </row>
    <row r="314" spans="1:11">
      <c r="A314" s="21"/>
      <c r="B314" s="21"/>
    </row>
    <row r="315" spans="1:11" s="5" customFormat="1">
      <c r="A315" s="24" t="s">
        <v>462</v>
      </c>
      <c r="B315" s="24" t="s">
        <v>461</v>
      </c>
      <c r="C315" s="5" t="s">
        <v>57</v>
      </c>
      <c r="D315" s="5" t="s">
        <v>25</v>
      </c>
      <c r="E315" s="5" t="s">
        <v>26</v>
      </c>
      <c r="F315" s="5" t="s">
        <v>30</v>
      </c>
      <c r="I315" s="5">
        <v>0</v>
      </c>
      <c r="J315" s="5" t="s">
        <v>1070</v>
      </c>
      <c r="K315" s="28"/>
    </row>
    <row r="316" spans="1:11">
      <c r="A316" s="21" t="s">
        <v>460</v>
      </c>
      <c r="B316" s="21" t="s">
        <v>459</v>
      </c>
      <c r="C316">
        <f t="array" ref="C316">D316:F316</f>
        <v>296.62395046819034</v>
      </c>
      <c r="D316">
        <v>296.62395046819034</v>
      </c>
      <c r="E316" s="22"/>
      <c r="F316" s="23"/>
      <c r="G316" s="23"/>
      <c r="I316">
        <v>268.92501270632107</v>
      </c>
      <c r="J316">
        <v>296.75877625028426</v>
      </c>
      <c r="K316" s="4">
        <f>I316-J316</f>
        <v>-27.833763543963187</v>
      </c>
    </row>
    <row r="317" spans="1:11">
      <c r="A317" s="21" t="s">
        <v>458</v>
      </c>
      <c r="B317" s="21" t="s">
        <v>457</v>
      </c>
      <c r="C317">
        <f t="array" ref="C317">D317:F317</f>
        <v>47.738255125741965</v>
      </c>
      <c r="D317">
        <v>47.738255125741965</v>
      </c>
      <c r="E317" s="22"/>
      <c r="F317" s="23"/>
      <c r="G317" s="23"/>
      <c r="I317">
        <v>45.844703076093452</v>
      </c>
      <c r="J317">
        <v>47.725840330984774</v>
      </c>
      <c r="K317" s="4">
        <f t="shared" ref="K317:K380" si="0">I317-J317</f>
        <v>-1.8811372548913212</v>
      </c>
    </row>
    <row r="318" spans="1:11">
      <c r="A318" s="21" t="s">
        <v>456</v>
      </c>
      <c r="B318" s="21" t="s">
        <v>455</v>
      </c>
      <c r="C318">
        <f t="array" ref="C318">D318:F318</f>
        <v>15.205424674982988</v>
      </c>
      <c r="D318">
        <v>15.205424674982988</v>
      </c>
      <c r="E318" s="22"/>
      <c r="F318" s="22"/>
      <c r="G318" s="22"/>
      <c r="I318">
        <v>15.157563389041302</v>
      </c>
      <c r="J318">
        <v>15.158961237000831</v>
      </c>
      <c r="K318" s="4">
        <f t="shared" si="0"/>
        <v>-1.3978479595291304E-3</v>
      </c>
    </row>
    <row r="319" spans="1:11">
      <c r="A319" s="21" t="s">
        <v>454</v>
      </c>
      <c r="B319" s="21" t="s">
        <v>453</v>
      </c>
      <c r="C319">
        <f t="array" ref="C319">D319:F319</f>
        <v>1.3475162130437792E-3</v>
      </c>
      <c r="D319">
        <v>1.3475162130437792E-3</v>
      </c>
      <c r="E319" s="22"/>
      <c r="F319" s="22"/>
      <c r="G319" s="22"/>
      <c r="I319">
        <v>1.2997704006036575E-3</v>
      </c>
      <c r="J319">
        <v>1.3496946326550805E-3</v>
      </c>
      <c r="K319">
        <f t="shared" si="0"/>
        <v>-4.9924232051423018E-5</v>
      </c>
    </row>
    <row r="320" spans="1:11">
      <c r="A320" s="21" t="s">
        <v>452</v>
      </c>
      <c r="B320" s="21" t="s">
        <v>451</v>
      </c>
      <c r="C320">
        <f t="array" ref="C320">D320:F320</f>
        <v>1.4572617279529724E-2</v>
      </c>
      <c r="D320">
        <v>1.4572617279529724E-2</v>
      </c>
      <c r="E320" s="22"/>
      <c r="F320" s="22"/>
      <c r="G320" s="22"/>
      <c r="I320">
        <v>1.3801701688307577E-2</v>
      </c>
      <c r="J320">
        <v>1.4575916995244839E-2</v>
      </c>
      <c r="K320">
        <f t="shared" si="0"/>
        <v>-7.7421530693726204E-4</v>
      </c>
    </row>
    <row r="321" spans="1:11">
      <c r="A321" s="21" t="s">
        <v>450</v>
      </c>
      <c r="B321" s="21" t="s">
        <v>449</v>
      </c>
      <c r="C321">
        <f t="array" ref="C321">D321:F321</f>
        <v>18.107173595533997</v>
      </c>
      <c r="D321">
        <v>18.107173595533997</v>
      </c>
      <c r="E321" s="22"/>
      <c r="F321" s="22"/>
      <c r="G321" s="22"/>
      <c r="I321">
        <v>18.063414996281502</v>
      </c>
      <c r="J321">
        <v>18.111739612568321</v>
      </c>
      <c r="K321">
        <f t="shared" si="0"/>
        <v>-4.8324616286819833E-2</v>
      </c>
    </row>
    <row r="322" spans="1:11">
      <c r="A322" s="21" t="s">
        <v>448</v>
      </c>
      <c r="B322" s="21" t="s">
        <v>447</v>
      </c>
      <c r="C322">
        <f t="array" ref="C322">D322:F322</f>
        <v>5.9471689146995939E-3</v>
      </c>
      <c r="D322">
        <v>5.9471689146995939E-3</v>
      </c>
      <c r="E322" s="22"/>
      <c r="F322" s="22"/>
      <c r="G322" s="22"/>
      <c r="I322">
        <v>5.9378173627749175E-3</v>
      </c>
      <c r="J322">
        <v>5.9478038613041163E-3</v>
      </c>
      <c r="K322">
        <f t="shared" si="0"/>
        <v>-9.9864985291988478E-6</v>
      </c>
    </row>
    <row r="323" spans="1:11">
      <c r="A323" s="21" t="s">
        <v>446</v>
      </c>
      <c r="B323" s="21" t="s">
        <v>445</v>
      </c>
      <c r="C323">
        <f t="array" ref="C323">D323:F323</f>
        <v>7.1705868377100718E-2</v>
      </c>
      <c r="D323">
        <v>7.1705868377100718E-2</v>
      </c>
      <c r="E323" s="22"/>
      <c r="F323" s="22"/>
      <c r="G323" s="22"/>
      <c r="I323">
        <v>6.9901698362815193E-2</v>
      </c>
      <c r="J323">
        <v>7.0106552847975984E-2</v>
      </c>
      <c r="K323">
        <f t="shared" si="0"/>
        <v>-2.0485448516079086E-4</v>
      </c>
    </row>
    <row r="324" spans="1:11">
      <c r="A324" s="21" t="s">
        <v>444</v>
      </c>
      <c r="B324" s="21" t="s">
        <v>443</v>
      </c>
      <c r="C324">
        <f t="array" ref="C324">D324:F324</f>
        <v>11556.196201589231</v>
      </c>
      <c r="D324">
        <v>11556.196201589231</v>
      </c>
      <c r="E324" s="22"/>
      <c r="F324" s="22"/>
      <c r="G324" s="22"/>
      <c r="I324">
        <v>9786.9578036897583</v>
      </c>
      <c r="J324">
        <v>11568.0754220813</v>
      </c>
      <c r="K324">
        <f t="shared" si="0"/>
        <v>-1781.1176183915413</v>
      </c>
    </row>
    <row r="325" spans="1:11">
      <c r="A325" s="21" t="s">
        <v>442</v>
      </c>
      <c r="B325" s="21" t="s">
        <v>441</v>
      </c>
      <c r="C325">
        <f t="array" ref="C325">D325:F325</f>
        <v>0.1850097535160958</v>
      </c>
      <c r="D325">
        <v>0.1850097535160958</v>
      </c>
      <c r="E325" s="22">
        <v>1.8662000000000002E-2</v>
      </c>
      <c r="F325" s="22">
        <v>0.18662000000000001</v>
      </c>
      <c r="G325" s="22"/>
      <c r="I325">
        <v>0.18448264951131566</v>
      </c>
      <c r="J325">
        <v>0.18502718135376128</v>
      </c>
      <c r="K325">
        <f t="shared" si="0"/>
        <v>-5.4453184244562802E-4</v>
      </c>
    </row>
    <row r="326" spans="1:11">
      <c r="A326" s="21" t="s">
        <v>440</v>
      </c>
      <c r="B326" s="21" t="s">
        <v>439</v>
      </c>
      <c r="C326">
        <f t="array" ref="C326">D326:F326</f>
        <v>6.2003747598960652</v>
      </c>
      <c r="D326">
        <v>6.2003747598960652</v>
      </c>
      <c r="E326" s="22">
        <v>0.62823899999999999</v>
      </c>
      <c r="F326" s="22">
        <v>6.2823900000000004</v>
      </c>
      <c r="G326" s="22"/>
      <c r="I326">
        <v>6.19676921758224</v>
      </c>
      <c r="J326">
        <v>6.204204779529304</v>
      </c>
      <c r="K326">
        <f t="shared" si="0"/>
        <v>-7.4355619470640733E-3</v>
      </c>
    </row>
    <row r="327" spans="1:11">
      <c r="A327" s="21" t="s">
        <v>438</v>
      </c>
      <c r="B327" s="21" t="s">
        <v>437</v>
      </c>
      <c r="C327">
        <f t="array" ref="C327">D327:F327</f>
        <v>1.0427340192027875E-5</v>
      </c>
      <c r="D327">
        <v>1.0427340192027875E-5</v>
      </c>
      <c r="E327" s="22">
        <v>1.0442000000000001E-6</v>
      </c>
      <c r="F327" s="22">
        <v>1.0441999999999999E-5</v>
      </c>
      <c r="G327" s="22"/>
      <c r="I327">
        <v>1.0704026310768811E-5</v>
      </c>
      <c r="J327">
        <v>1.0425323350075322E-5</v>
      </c>
      <c r="K327">
        <f t="shared" si="0"/>
        <v>2.7870296069348971E-7</v>
      </c>
    </row>
    <row r="328" spans="1:11">
      <c r="A328" s="21" t="s">
        <v>436</v>
      </c>
      <c r="B328" s="21" t="s">
        <v>435</v>
      </c>
      <c r="C328">
        <f t="array" ref="C328">D328:F328</f>
        <v>2.1938968633341641E-4</v>
      </c>
      <c r="D328">
        <v>2.1938968633341641E-4</v>
      </c>
      <c r="E328" s="22">
        <v>2.1928300000000001E-5</v>
      </c>
      <c r="F328" s="22">
        <v>2.1928299999999999E-4</v>
      </c>
      <c r="G328" s="22"/>
      <c r="I328">
        <v>2.4514672987876378E-4</v>
      </c>
      <c r="J328">
        <v>2.1940413564273966E-4</v>
      </c>
      <c r="K328">
        <f t="shared" si="0"/>
        <v>2.5742594236024115E-5</v>
      </c>
    </row>
    <row r="329" spans="1:11">
      <c r="A329" s="21" t="s">
        <v>434</v>
      </c>
      <c r="B329" s="21" t="s">
        <v>433</v>
      </c>
      <c r="C329">
        <f t="array" ref="C329">D329:F329</f>
        <v>5.9972482447225497</v>
      </c>
      <c r="D329">
        <v>5.9972482447225497</v>
      </c>
      <c r="E329" s="22">
        <v>0.59978200000000004</v>
      </c>
      <c r="F329" s="22">
        <v>5.9978199999999999</v>
      </c>
      <c r="G329" s="22"/>
      <c r="I329">
        <v>6.1229639772157354</v>
      </c>
      <c r="J329">
        <v>5.9971226473437182</v>
      </c>
      <c r="K329">
        <f t="shared" si="0"/>
        <v>0.12584132987201713</v>
      </c>
    </row>
    <row r="330" spans="1:11">
      <c r="A330" s="21" t="s">
        <v>432</v>
      </c>
      <c r="B330" s="21" t="s">
        <v>431</v>
      </c>
      <c r="C330">
        <f t="array" ref="C330">D330:F330</f>
        <v>5.9419620084186654E-3</v>
      </c>
      <c r="D330">
        <v>5.9419620084186654E-3</v>
      </c>
      <c r="E330" s="22">
        <v>5.9454099999999997E-4</v>
      </c>
      <c r="F330" s="22">
        <v>5.9454099999999999E-3</v>
      </c>
      <c r="G330" s="22"/>
      <c r="I330">
        <v>6.2155655668483488E-3</v>
      </c>
      <c r="J330">
        <v>5.9417770519456436E-3</v>
      </c>
      <c r="K330">
        <f t="shared" si="0"/>
        <v>2.7378851490270518E-4</v>
      </c>
    </row>
    <row r="331" spans="1:11">
      <c r="A331" s="21" t="s">
        <v>430</v>
      </c>
      <c r="B331" s="21" t="s">
        <v>429</v>
      </c>
      <c r="C331">
        <f t="array" ref="C331">D331:F331</f>
        <v>4.5060249736913735E-2</v>
      </c>
      <c r="D331">
        <v>4.5060249736913735E-2</v>
      </c>
      <c r="E331" s="22">
        <v>4.5309369999999996E-3</v>
      </c>
      <c r="F331" s="22">
        <v>4.5309370000000002E-2</v>
      </c>
      <c r="G331" s="22"/>
      <c r="I331">
        <v>4.7482317556896636E-2</v>
      </c>
      <c r="J331">
        <v>4.5295464483937654E-2</v>
      </c>
      <c r="K331" s="4">
        <f t="shared" si="0"/>
        <v>2.1868530729589816E-3</v>
      </c>
    </row>
    <row r="332" spans="1:11">
      <c r="A332" s="21" t="s">
        <v>428</v>
      </c>
      <c r="B332" s="21" t="s">
        <v>427</v>
      </c>
      <c r="C332">
        <f t="array" ref="C332">D332:F332</f>
        <v>11852.820152057422</v>
      </c>
      <c r="D332">
        <v>11852.820152057422</v>
      </c>
      <c r="E332" s="22"/>
      <c r="F332" s="22"/>
      <c r="G332" s="22"/>
      <c r="I332">
        <v>10055.882816396079</v>
      </c>
      <c r="J332">
        <v>11864.834198331584</v>
      </c>
      <c r="K332" s="4">
        <f t="shared" si="0"/>
        <v>-1808.9513819355052</v>
      </c>
    </row>
    <row r="333" spans="1:11">
      <c r="A333" s="21" t="s">
        <v>426</v>
      </c>
      <c r="B333" s="21" t="s">
        <v>425</v>
      </c>
      <c r="C333">
        <f t="array" ref="C333">D333:F333</f>
        <v>1.3750583404500738</v>
      </c>
      <c r="D333">
        <v>1.3750583404500738</v>
      </c>
      <c r="E333" s="22">
        <v>0.13874500000000001</v>
      </c>
      <c r="F333" s="22">
        <v>1.3874500000000001</v>
      </c>
      <c r="G333" s="22"/>
      <c r="I333">
        <v>1.405575358928562</v>
      </c>
      <c r="J333">
        <v>1.3741001423680592</v>
      </c>
      <c r="K333" s="4">
        <f t="shared" si="0"/>
        <v>3.1475216560502783E-2</v>
      </c>
    </row>
    <row r="334" spans="1:11">
      <c r="A334" s="21" t="s">
        <v>424</v>
      </c>
      <c r="B334" s="21" t="s">
        <v>423</v>
      </c>
      <c r="C334">
        <f t="array" ref="C334">D334:F334</f>
        <v>6.4257315502376251</v>
      </c>
      <c r="D334">
        <v>6.4257315502376251</v>
      </c>
      <c r="E334" s="22">
        <v>0.64935500000000002</v>
      </c>
      <c r="F334" s="22">
        <v>6.4935499999999999</v>
      </c>
      <c r="G334" s="22"/>
      <c r="I334">
        <v>6.4364081933415562</v>
      </c>
      <c r="J334">
        <v>6.4281777844202974</v>
      </c>
      <c r="K334">
        <f t="shared" si="0"/>
        <v>8.2304089212588138E-3</v>
      </c>
    </row>
    <row r="335" spans="1:11">
      <c r="A335" s="21" t="s">
        <v>422</v>
      </c>
      <c r="B335" s="21" t="s">
        <v>421</v>
      </c>
      <c r="C335">
        <f t="array" ref="C335">D335:F335</f>
        <v>4.3888792317134675E-5</v>
      </c>
      <c r="D335">
        <v>4.3888792317134675E-5</v>
      </c>
      <c r="E335" s="22">
        <v>4.3623999999999999E-6</v>
      </c>
      <c r="F335" s="22">
        <v>4.3624000000000001E-5</v>
      </c>
      <c r="G335" s="22"/>
      <c r="I335">
        <v>4.51776458643428E-5</v>
      </c>
      <c r="J335">
        <v>4.3922623579689801E-5</v>
      </c>
      <c r="K335">
        <f t="shared" si="0"/>
        <v>1.2550222846529987E-6</v>
      </c>
    </row>
    <row r="336" spans="1:11">
      <c r="A336" s="21" t="s">
        <v>420</v>
      </c>
      <c r="B336" s="21" t="s">
        <v>419</v>
      </c>
      <c r="C336">
        <f t="array" ref="C336">D336:F336</f>
        <v>5.7858783592514766E-4</v>
      </c>
      <c r="D336">
        <v>5.7858783592514766E-4</v>
      </c>
      <c r="E336" s="22">
        <v>5.7935200000000001E-5</v>
      </c>
      <c r="F336" s="22">
        <v>5.7935199999999999E-4</v>
      </c>
      <c r="G336" s="22"/>
      <c r="I336">
        <v>6.076903176781103E-4</v>
      </c>
      <c r="J336">
        <v>5.7848384266922679E-4</v>
      </c>
      <c r="K336">
        <f t="shared" si="0"/>
        <v>2.9206475008883509E-5</v>
      </c>
    </row>
    <row r="337" spans="1:11">
      <c r="A337" s="21" t="s">
        <v>418</v>
      </c>
      <c r="B337" s="21" t="s">
        <v>417</v>
      </c>
      <c r="C337">
        <f t="array" ref="C337">D337:F337</f>
        <v>6.3003065820902027</v>
      </c>
      <c r="D337">
        <v>6.3003065820902027</v>
      </c>
      <c r="E337" s="22">
        <v>0.62993399999999999</v>
      </c>
      <c r="F337" s="22">
        <v>6.2993399999999999</v>
      </c>
      <c r="G337" s="22"/>
      <c r="I337">
        <v>6.442288297103099</v>
      </c>
      <c r="J337">
        <v>6.3001288963355968</v>
      </c>
      <c r="K337">
        <f t="shared" si="0"/>
        <v>0.14215940076750222</v>
      </c>
    </row>
    <row r="338" spans="1:11">
      <c r="A338" s="21" t="s">
        <v>416</v>
      </c>
      <c r="B338" s="21" t="s">
        <v>415</v>
      </c>
      <c r="C338">
        <f t="array" ref="C338">D338:F338</f>
        <v>5.9420924747951636E-3</v>
      </c>
      <c r="D338">
        <v>5.9420924747951636E-3</v>
      </c>
      <c r="E338" s="22">
        <v>5.9382089999999998E-4</v>
      </c>
      <c r="F338" s="22">
        <v>5.9382089999999998E-3</v>
      </c>
      <c r="G338" s="22"/>
      <c r="I338">
        <v>6.2081379518576178E-3</v>
      </c>
      <c r="J338">
        <v>5.9419277922402175E-3</v>
      </c>
      <c r="K338">
        <f t="shared" si="0"/>
        <v>2.6621015961740026E-4</v>
      </c>
    </row>
    <row r="339" spans="1:11">
      <c r="A339" s="21" t="s">
        <v>414</v>
      </c>
      <c r="B339" s="21" t="s">
        <v>413</v>
      </c>
      <c r="C339">
        <f t="array" ref="C339">D339:F339</f>
        <v>4.5727073408178109E-2</v>
      </c>
      <c r="D339">
        <v>4.5727073408178109E-2</v>
      </c>
      <c r="E339" s="22">
        <v>4.5901387000000004E-3</v>
      </c>
      <c r="F339" s="22">
        <v>4.5901387000000002E-2</v>
      </c>
      <c r="G339" s="22"/>
      <c r="I339">
        <v>4.808188178462882E-2</v>
      </c>
      <c r="J339">
        <v>4.5916030106479447E-2</v>
      </c>
      <c r="K339">
        <f t="shared" si="0"/>
        <v>2.1658516781493733E-3</v>
      </c>
    </row>
    <row r="340" spans="1:11">
      <c r="A340" s="21" t="s">
        <v>412</v>
      </c>
      <c r="B340" s="21" t="s">
        <v>411</v>
      </c>
      <c r="C340">
        <f t="array" ref="C340">D340:F340</f>
        <v>506.31380097207312</v>
      </c>
      <c r="D340">
        <v>506.31380097207312</v>
      </c>
      <c r="E340" s="22">
        <v>49.180712999999997</v>
      </c>
      <c r="F340" s="22">
        <v>491.80712999999997</v>
      </c>
      <c r="G340" s="22"/>
      <c r="I340">
        <v>506.31383173831262</v>
      </c>
      <c r="J340">
        <v>506.31383173828351</v>
      </c>
      <c r="K340">
        <f t="shared" si="0"/>
        <v>2.9103830456733704E-11</v>
      </c>
    </row>
    <row r="341" spans="1:11">
      <c r="A341" s="21" t="s">
        <v>410</v>
      </c>
      <c r="B341" s="21" t="s">
        <v>409</v>
      </c>
      <c r="C341">
        <f t="array" ref="C341">D341:F341</f>
        <v>931.07897800000001</v>
      </c>
      <c r="D341">
        <v>931.07897800000001</v>
      </c>
      <c r="E341" s="22">
        <v>0</v>
      </c>
      <c r="F341" s="22">
        <v>931.07897800000001</v>
      </c>
      <c r="G341" s="22"/>
      <c r="I341">
        <v>931.07897800000001</v>
      </c>
      <c r="J341">
        <v>931.07897800000001</v>
      </c>
      <c r="K341">
        <f t="shared" si="0"/>
        <v>0</v>
      </c>
    </row>
    <row r="342" spans="1:11">
      <c r="A342" s="21" t="s">
        <v>408</v>
      </c>
      <c r="B342" s="21" t="s">
        <v>407</v>
      </c>
      <c r="C342">
        <f t="array" ref="C342">D342:F342</f>
        <v>46.803008000000005</v>
      </c>
      <c r="D342">
        <v>46.803008000000005</v>
      </c>
      <c r="E342" s="22">
        <v>4.8614610000000003</v>
      </c>
      <c r="F342" s="22">
        <v>48.614609999999999</v>
      </c>
      <c r="G342" s="22"/>
      <c r="I342">
        <v>46.803008000000005</v>
      </c>
      <c r="J342">
        <v>46.803008000000005</v>
      </c>
      <c r="K342">
        <f t="shared" si="0"/>
        <v>0</v>
      </c>
    </row>
    <row r="343" spans="1:11">
      <c r="A343" s="21" t="s">
        <v>406</v>
      </c>
      <c r="B343" s="21" t="s">
        <v>405</v>
      </c>
      <c r="C343">
        <f t="array" ref="C343">D343:F343</f>
        <v>46.803007999999998</v>
      </c>
      <c r="D343">
        <v>46.803007999999998</v>
      </c>
      <c r="E343" s="22">
        <v>0</v>
      </c>
      <c r="F343" s="22">
        <v>46.803007999999998</v>
      </c>
      <c r="G343" s="22"/>
      <c r="I343">
        <v>46.803007999999998</v>
      </c>
      <c r="J343">
        <v>46.803007999999998</v>
      </c>
      <c r="K343">
        <f t="shared" si="0"/>
        <v>0</v>
      </c>
    </row>
    <row r="344" spans="1:11">
      <c r="A344" s="21" t="s">
        <v>404</v>
      </c>
      <c r="B344" s="21" t="s">
        <v>403</v>
      </c>
      <c r="C344">
        <f t="array" ref="C344">D344:F344</f>
        <v>15.514926000000001</v>
      </c>
      <c r="D344">
        <v>15.514926000000001</v>
      </c>
      <c r="E344" s="22">
        <v>1.570195</v>
      </c>
      <c r="F344" s="22">
        <v>15.70195</v>
      </c>
      <c r="G344" s="22"/>
      <c r="I344">
        <v>15.514925999999999</v>
      </c>
      <c r="J344">
        <v>15.514926000000001</v>
      </c>
      <c r="K344">
        <f t="shared" si="0"/>
        <v>0</v>
      </c>
    </row>
    <row r="345" spans="1:11">
      <c r="A345" s="21" t="s">
        <v>402</v>
      </c>
      <c r="B345" s="21" t="s">
        <v>401</v>
      </c>
      <c r="C345">
        <f t="array" ref="C345">D345:F345</f>
        <v>15.514926000000001</v>
      </c>
      <c r="D345">
        <v>15.514926000000001</v>
      </c>
      <c r="E345" s="22">
        <v>0</v>
      </c>
      <c r="F345" s="22">
        <v>15.514926000000001</v>
      </c>
      <c r="G345" s="22"/>
      <c r="I345">
        <v>15.514926000000001</v>
      </c>
      <c r="J345">
        <v>15.514926000000001</v>
      </c>
      <c r="K345">
        <f t="shared" si="0"/>
        <v>0</v>
      </c>
    </row>
    <row r="346" spans="1:11">
      <c r="A346" s="21" t="s">
        <v>400</v>
      </c>
      <c r="B346" s="21" t="s">
        <v>399</v>
      </c>
      <c r="C346">
        <f t="array" ref="C346">D346:F346</f>
        <v>1.3139073000000008E-3</v>
      </c>
      <c r="D346">
        <v>1.3139073000000008E-3</v>
      </c>
      <c r="E346" s="22">
        <v>1.335109E-4</v>
      </c>
      <c r="F346" s="22">
        <v>1.3351089999999999E-3</v>
      </c>
      <c r="G346" s="22"/>
      <c r="I346">
        <v>1.3139073000215981E-3</v>
      </c>
      <c r="J346">
        <v>1.3139073000215981E-3</v>
      </c>
      <c r="K346">
        <f t="shared" si="0"/>
        <v>0</v>
      </c>
    </row>
    <row r="347" spans="1:11">
      <c r="A347" s="21" t="s">
        <v>398</v>
      </c>
      <c r="B347" s="21" t="s">
        <v>397</v>
      </c>
      <c r="C347">
        <f t="array" ref="C347">D347:F347</f>
        <v>1.3139072999999999E-3</v>
      </c>
      <c r="D347">
        <v>1.3139072999999999E-3</v>
      </c>
      <c r="E347" s="22">
        <v>0</v>
      </c>
      <c r="F347" s="22">
        <v>1.3139072999999999E-3</v>
      </c>
      <c r="G347" s="22"/>
      <c r="I347">
        <v>1.3139072999999999E-3</v>
      </c>
      <c r="J347">
        <v>1.3139072999999999E-3</v>
      </c>
      <c r="K347">
        <f t="shared" si="0"/>
        <v>0</v>
      </c>
    </row>
    <row r="348" spans="1:11">
      <c r="A348" s="21" t="s">
        <v>396</v>
      </c>
      <c r="B348" s="21" t="s">
        <v>395</v>
      </c>
      <c r="C348">
        <f t="array" ref="C348">D348:F348</f>
        <v>1.4585253999999999E-2</v>
      </c>
      <c r="D348">
        <v>1.4585253999999999E-2</v>
      </c>
      <c r="E348" s="22">
        <v>1.4855127000000001E-3</v>
      </c>
      <c r="F348" s="22">
        <v>1.4855126999999999E-2</v>
      </c>
      <c r="G348" s="22"/>
      <c r="I348">
        <v>1.4585254000000001E-2</v>
      </c>
      <c r="J348">
        <v>1.4585254000000001E-2</v>
      </c>
      <c r="K348">
        <f t="shared" si="0"/>
        <v>0</v>
      </c>
    </row>
    <row r="349" spans="1:11">
      <c r="A349" s="21" t="s">
        <v>394</v>
      </c>
      <c r="B349" s="21" t="s">
        <v>393</v>
      </c>
      <c r="C349">
        <f t="array" ref="C349">D349:F349</f>
        <v>1.4585254000000001E-2</v>
      </c>
      <c r="D349">
        <v>1.4585254000000001E-2</v>
      </c>
      <c r="E349" s="22">
        <v>0</v>
      </c>
      <c r="F349" s="22">
        <v>1.4585254000000001E-2</v>
      </c>
      <c r="G349" s="22"/>
      <c r="I349">
        <v>1.4585254000000001E-2</v>
      </c>
      <c r="J349">
        <v>1.4585254000000001E-2</v>
      </c>
      <c r="K349">
        <f t="shared" si="0"/>
        <v>0</v>
      </c>
    </row>
    <row r="350" spans="1:11">
      <c r="A350" s="21" t="s">
        <v>392</v>
      </c>
      <c r="B350" s="21" t="s">
        <v>391</v>
      </c>
      <c r="C350">
        <f t="array" ref="C350">D350:F350</f>
        <v>17.750843</v>
      </c>
      <c r="D350">
        <v>17.750843</v>
      </c>
      <c r="E350" s="22">
        <v>1.8148120000000001</v>
      </c>
      <c r="F350" s="22">
        <v>18.148119999999999</v>
      </c>
      <c r="G350" s="22"/>
      <c r="I350">
        <v>17.750843</v>
      </c>
      <c r="J350">
        <v>17.750843</v>
      </c>
      <c r="K350">
        <f t="shared" si="0"/>
        <v>0</v>
      </c>
    </row>
    <row r="351" spans="1:11">
      <c r="A351" s="21" t="s">
        <v>390</v>
      </c>
      <c r="B351" s="21" t="s">
        <v>389</v>
      </c>
      <c r="C351">
        <f t="array" ref="C351">D351:F351</f>
        <v>17.750843</v>
      </c>
      <c r="D351">
        <v>17.750843</v>
      </c>
      <c r="E351" s="22">
        <v>0</v>
      </c>
      <c r="F351" s="22">
        <v>17.750843</v>
      </c>
      <c r="G351" s="22"/>
      <c r="I351">
        <v>17.750843</v>
      </c>
      <c r="J351">
        <v>17.750843</v>
      </c>
      <c r="K351">
        <f t="shared" si="0"/>
        <v>0</v>
      </c>
    </row>
    <row r="352" spans="1:11">
      <c r="A352" s="21" t="s">
        <v>388</v>
      </c>
      <c r="B352" s="21" t="s">
        <v>387</v>
      </c>
      <c r="C352">
        <f t="array" ref="C352">D352:F352</f>
        <v>5.1087674000000003E-3</v>
      </c>
      <c r="D352">
        <v>5.1087674000000003E-3</v>
      </c>
      <c r="E352" s="22">
        <v>5.2169879999999997E-4</v>
      </c>
      <c r="F352" s="22">
        <v>5.2169879999999997E-3</v>
      </c>
      <c r="G352" s="22"/>
      <c r="I352">
        <v>5.1087674000003238E-3</v>
      </c>
      <c r="J352">
        <v>5.1087674000003238E-3</v>
      </c>
      <c r="K352">
        <f t="shared" si="0"/>
        <v>0</v>
      </c>
    </row>
    <row r="353" spans="1:11">
      <c r="A353" s="21" t="s">
        <v>386</v>
      </c>
      <c r="B353" s="21" t="s">
        <v>385</v>
      </c>
      <c r="C353">
        <f t="array" ref="C353">D353:F353</f>
        <v>5.1087674000000003E-3</v>
      </c>
      <c r="D353">
        <v>5.1087674000000003E-3</v>
      </c>
      <c r="E353" s="22">
        <v>0</v>
      </c>
      <c r="F353" s="22">
        <v>5.1087674000000003E-3</v>
      </c>
      <c r="G353" s="22"/>
      <c r="I353">
        <v>5.1087674000000003E-3</v>
      </c>
      <c r="J353">
        <v>5.1087674000000003E-3</v>
      </c>
      <c r="K353">
        <f t="shared" si="0"/>
        <v>0</v>
      </c>
    </row>
    <row r="354" spans="1:11">
      <c r="A354" s="21" t="s">
        <v>384</v>
      </c>
      <c r="B354" s="21" t="s">
        <v>383</v>
      </c>
      <c r="C354">
        <f t="array" ref="C354">D354:F354</f>
        <v>6.7001773400000006E-2</v>
      </c>
      <c r="D354">
        <v>6.7001773400000006E-2</v>
      </c>
      <c r="E354" s="22">
        <v>6.8473830999999999E-3</v>
      </c>
      <c r="F354" s="22">
        <v>6.8473830999999999E-2</v>
      </c>
      <c r="G354" s="22"/>
      <c r="I354">
        <v>6.7001773400000006E-2</v>
      </c>
      <c r="J354">
        <v>6.7001773399999992E-2</v>
      </c>
      <c r="K354">
        <f t="shared" si="0"/>
        <v>0</v>
      </c>
    </row>
    <row r="355" spans="1:11">
      <c r="A355" s="21" t="s">
        <v>382</v>
      </c>
      <c r="B355" s="21" t="s">
        <v>381</v>
      </c>
      <c r="C355">
        <f t="array" ref="C355">D355:F355</f>
        <v>6.7001773400000006E-2</v>
      </c>
      <c r="D355">
        <v>6.7001773400000006E-2</v>
      </c>
      <c r="E355" s="22">
        <v>0</v>
      </c>
      <c r="F355" s="22">
        <v>6.7001773400000006E-2</v>
      </c>
      <c r="G355" s="22"/>
      <c r="I355">
        <v>6.7001773400000006E-2</v>
      </c>
      <c r="J355">
        <v>6.7001773400000006E-2</v>
      </c>
      <c r="K355">
        <f t="shared" si="0"/>
        <v>0</v>
      </c>
    </row>
    <row r="356" spans="1:11">
      <c r="A356" s="21" t="s">
        <v>380</v>
      </c>
      <c r="B356" s="21" t="s">
        <v>379</v>
      </c>
      <c r="C356">
        <f t="array" ref="C356">D356:F356</f>
        <v>0</v>
      </c>
      <c r="D356">
        <v>0</v>
      </c>
      <c r="E356" s="22">
        <v>0</v>
      </c>
      <c r="F356" s="22">
        <v>0</v>
      </c>
      <c r="G356" s="22"/>
      <c r="I356">
        <v>0</v>
      </c>
      <c r="J356">
        <v>0</v>
      </c>
      <c r="K356">
        <f t="shared" si="0"/>
        <v>0</v>
      </c>
    </row>
    <row r="357" spans="1:11">
      <c r="A357" s="21" t="s">
        <v>378</v>
      </c>
      <c r="B357" s="21" t="s">
        <v>377</v>
      </c>
      <c r="C357">
        <f t="array" ref="C357">D357:F357</f>
        <v>0</v>
      </c>
      <c r="D357">
        <v>0</v>
      </c>
      <c r="E357" s="22"/>
      <c r="F357" s="22"/>
      <c r="G357" s="22"/>
      <c r="I357">
        <v>0</v>
      </c>
      <c r="J357">
        <v>0</v>
      </c>
      <c r="K357">
        <f t="shared" si="0"/>
        <v>0</v>
      </c>
    </row>
    <row r="358" spans="1:11">
      <c r="A358" s="21" t="s">
        <v>376</v>
      </c>
      <c r="B358" s="21" t="s">
        <v>375</v>
      </c>
      <c r="C358">
        <f t="array" ref="C358">D358:F358</f>
        <v>0</v>
      </c>
      <c r="D358">
        <v>0</v>
      </c>
      <c r="E358" s="22"/>
      <c r="F358" s="22"/>
      <c r="G358" s="22"/>
      <c r="I358">
        <v>0</v>
      </c>
      <c r="J358">
        <v>0</v>
      </c>
      <c r="K358">
        <f t="shared" si="0"/>
        <v>0</v>
      </c>
    </row>
    <row r="359" spans="1:11">
      <c r="A359" s="21" t="s">
        <v>374</v>
      </c>
      <c r="B359" s="21" t="s">
        <v>373</v>
      </c>
      <c r="C359">
        <f t="array" ref="C359">D359:F359</f>
        <v>0</v>
      </c>
      <c r="D359">
        <v>0</v>
      </c>
      <c r="E359" s="22"/>
      <c r="F359" s="22"/>
      <c r="G359" s="22"/>
      <c r="I359">
        <v>0</v>
      </c>
      <c r="J359">
        <v>0</v>
      </c>
      <c r="K359">
        <f t="shared" si="0"/>
        <v>0</v>
      </c>
    </row>
    <row r="360" spans="1:11">
      <c r="A360" s="21" t="s">
        <v>372</v>
      </c>
      <c r="B360" s="21" t="s">
        <v>371</v>
      </c>
      <c r="C360">
        <f t="array" ref="C360">D360:F360</f>
        <v>0</v>
      </c>
      <c r="D360">
        <v>0</v>
      </c>
      <c r="E360" s="22"/>
      <c r="F360" s="22"/>
      <c r="G360" s="22"/>
      <c r="I360">
        <v>0</v>
      </c>
      <c r="J360">
        <v>0</v>
      </c>
      <c r="K360">
        <f t="shared" si="0"/>
        <v>0</v>
      </c>
    </row>
    <row r="361" spans="1:11">
      <c r="A361" s="21" t="s">
        <v>370</v>
      </c>
      <c r="B361" s="21" t="s">
        <v>369</v>
      </c>
      <c r="C361">
        <f t="array" ref="C361">D361:F361</f>
        <v>0</v>
      </c>
      <c r="D361">
        <v>0</v>
      </c>
      <c r="E361" s="22"/>
      <c r="F361" s="22"/>
      <c r="G361" s="22"/>
      <c r="I361">
        <v>0</v>
      </c>
      <c r="J361">
        <v>0</v>
      </c>
      <c r="K361">
        <f t="shared" si="0"/>
        <v>0</v>
      </c>
    </row>
    <row r="362" spans="1:11">
      <c r="A362" s="21" t="s">
        <v>368</v>
      </c>
      <c r="B362" s="21" t="s">
        <v>367</v>
      </c>
      <c r="C362">
        <f t="array" ref="C362">D362:F362</f>
        <v>0</v>
      </c>
      <c r="D362">
        <v>0</v>
      </c>
      <c r="E362" s="22"/>
      <c r="F362" s="22"/>
      <c r="G362" s="22"/>
      <c r="I362">
        <v>0</v>
      </c>
      <c r="J362">
        <v>0</v>
      </c>
      <c r="K362">
        <f t="shared" si="0"/>
        <v>0</v>
      </c>
    </row>
    <row r="363" spans="1:11">
      <c r="A363" s="21" t="s">
        <v>366</v>
      </c>
      <c r="B363" s="21" t="s">
        <v>365</v>
      </c>
      <c r="C363">
        <f t="array" ref="C363">D363:F363</f>
        <v>0</v>
      </c>
      <c r="D363">
        <v>0</v>
      </c>
      <c r="E363" s="22"/>
      <c r="F363" s="22"/>
      <c r="G363" s="22"/>
      <c r="I363">
        <v>0</v>
      </c>
      <c r="J363">
        <v>0</v>
      </c>
      <c r="K363">
        <f t="shared" si="0"/>
        <v>0</v>
      </c>
    </row>
    <row r="364" spans="1:11">
      <c r="A364" s="21" t="s">
        <v>364</v>
      </c>
      <c r="B364" s="21" t="s">
        <v>363</v>
      </c>
      <c r="C364">
        <f t="array" ref="C364">D364:F364</f>
        <v>424.76517702792688</v>
      </c>
      <c r="D364">
        <v>424.76517702792688</v>
      </c>
      <c r="E364" s="22">
        <v>41.889960000000002</v>
      </c>
      <c r="F364" s="22">
        <v>418.89960000000002</v>
      </c>
      <c r="G364" s="22"/>
      <c r="I364">
        <v>424.76514626168739</v>
      </c>
      <c r="J364">
        <v>424.7651462617165</v>
      </c>
      <c r="K364">
        <f t="shared" si="0"/>
        <v>-2.9103830456733704E-11</v>
      </c>
    </row>
    <row r="365" spans="1:11">
      <c r="A365" s="21" t="s">
        <v>362</v>
      </c>
      <c r="B365" s="21" t="s">
        <v>361</v>
      </c>
      <c r="C365">
        <f t="array" ref="C365">D365:F365</f>
        <v>46.803007999999998</v>
      </c>
      <c r="D365">
        <v>46.803007999999998</v>
      </c>
      <c r="E365" s="22"/>
      <c r="F365" s="22"/>
      <c r="G365" s="22"/>
      <c r="I365">
        <v>46.803007999999998</v>
      </c>
      <c r="J365">
        <v>46.803007999999998</v>
      </c>
      <c r="K365">
        <f t="shared" si="0"/>
        <v>0</v>
      </c>
    </row>
    <row r="366" spans="1:11">
      <c r="A366" s="21" t="s">
        <v>360</v>
      </c>
      <c r="B366" s="21" t="s">
        <v>359</v>
      </c>
      <c r="C366">
        <f t="array" ref="C366">D366:F366</f>
        <v>15.514926000000001</v>
      </c>
      <c r="D366">
        <v>15.514926000000001</v>
      </c>
      <c r="E366" s="22"/>
      <c r="F366" s="22"/>
      <c r="G366" s="22"/>
      <c r="I366">
        <v>15.514926000000001</v>
      </c>
      <c r="J366">
        <v>15.514926000000001</v>
      </c>
      <c r="K366">
        <f t="shared" si="0"/>
        <v>0</v>
      </c>
    </row>
    <row r="367" spans="1:11">
      <c r="A367" s="21" t="s">
        <v>358</v>
      </c>
      <c r="B367" s="21" t="s">
        <v>357</v>
      </c>
      <c r="C367">
        <f t="array" ref="C367">D367:F367</f>
        <v>1.3139072999999999E-3</v>
      </c>
      <c r="D367">
        <v>1.3139072999999999E-3</v>
      </c>
      <c r="E367" s="22"/>
      <c r="F367" s="22"/>
      <c r="G367" s="22"/>
      <c r="I367">
        <v>1.3139072999999999E-3</v>
      </c>
      <c r="J367">
        <v>1.3139072999999999E-3</v>
      </c>
      <c r="K367">
        <f t="shared" si="0"/>
        <v>0</v>
      </c>
    </row>
    <row r="368" spans="1:11">
      <c r="A368" s="21" t="s">
        <v>356</v>
      </c>
      <c r="B368" s="21" t="s">
        <v>355</v>
      </c>
      <c r="C368">
        <f t="array" ref="C368">D368:F368</f>
        <v>1.4585254000000001E-2</v>
      </c>
      <c r="D368">
        <v>1.4585254000000001E-2</v>
      </c>
      <c r="E368" s="22"/>
      <c r="F368" s="22"/>
      <c r="G368" s="22"/>
      <c r="I368">
        <v>1.4585254000000001E-2</v>
      </c>
      <c r="J368">
        <v>1.4585254000000001E-2</v>
      </c>
      <c r="K368">
        <f t="shared" si="0"/>
        <v>0</v>
      </c>
    </row>
    <row r="369" spans="1:11">
      <c r="A369" s="21" t="s">
        <v>354</v>
      </c>
      <c r="B369" s="21" t="s">
        <v>353</v>
      </c>
      <c r="C369">
        <f t="array" ref="C369">D369:F369</f>
        <v>17.750843</v>
      </c>
      <c r="D369">
        <v>17.750843</v>
      </c>
      <c r="E369" s="22"/>
      <c r="F369" s="22"/>
      <c r="G369" s="22"/>
      <c r="I369">
        <v>17.750843</v>
      </c>
      <c r="J369">
        <v>17.750843</v>
      </c>
      <c r="K369">
        <f t="shared" si="0"/>
        <v>0</v>
      </c>
    </row>
    <row r="370" spans="1:11">
      <c r="A370" s="21" t="s">
        <v>352</v>
      </c>
      <c r="B370" s="21" t="s">
        <v>351</v>
      </c>
      <c r="C370">
        <f t="array" ref="C370">D370:F370</f>
        <v>5.1087674000000003E-3</v>
      </c>
      <c r="D370">
        <v>5.1087674000000003E-3</v>
      </c>
      <c r="E370" s="22"/>
      <c r="F370" s="22"/>
      <c r="G370" s="22"/>
      <c r="I370">
        <v>5.1087674000000003E-3</v>
      </c>
      <c r="J370">
        <v>5.1087674000000003E-3</v>
      </c>
      <c r="K370">
        <f t="shared" si="0"/>
        <v>0</v>
      </c>
    </row>
    <row r="371" spans="1:11">
      <c r="A371" s="21" t="s">
        <v>350</v>
      </c>
      <c r="B371" s="21" t="s">
        <v>349</v>
      </c>
      <c r="C371">
        <f t="array" ref="C371">D371:F371</f>
        <v>6.7001773400000006E-2</v>
      </c>
      <c r="D371">
        <v>6.7001773400000006E-2</v>
      </c>
      <c r="E371" s="22"/>
      <c r="F371" s="22"/>
      <c r="G371" s="22"/>
      <c r="I371">
        <v>6.7001773400000006E-2</v>
      </c>
      <c r="J371">
        <v>6.7001773400000006E-2</v>
      </c>
      <c r="K371">
        <f t="shared" si="0"/>
        <v>0</v>
      </c>
    </row>
    <row r="372" spans="1:11">
      <c r="A372" s="21" t="s">
        <v>348</v>
      </c>
      <c r="B372" s="21" t="s">
        <v>347</v>
      </c>
      <c r="C372">
        <f t="array" ref="C372">D372:F372</f>
        <v>500.66398027375931</v>
      </c>
      <c r="D372">
        <v>500.66398027375931</v>
      </c>
      <c r="E372" s="22">
        <v>50.140380999999998</v>
      </c>
      <c r="F372" s="22">
        <v>501.40381000000002</v>
      </c>
      <c r="G372" s="22"/>
      <c r="I372">
        <v>497.35562875569536</v>
      </c>
      <c r="J372">
        <v>499.60986363175954</v>
      </c>
      <c r="K372">
        <f t="shared" si="0"/>
        <v>-2.2542348760641744</v>
      </c>
    </row>
    <row r="373" spans="1:11">
      <c r="A373" s="21" t="s">
        <v>346</v>
      </c>
      <c r="B373" s="21" t="s">
        <v>345</v>
      </c>
      <c r="C373">
        <f t="array" ref="C373">D373:F373</f>
        <v>200.86394200000001</v>
      </c>
      <c r="D373">
        <v>200.86394200000001</v>
      </c>
      <c r="E373" s="22">
        <v>0</v>
      </c>
      <c r="F373" s="22">
        <v>200.86394200000001</v>
      </c>
      <c r="G373" s="22"/>
      <c r="I373">
        <v>200.86394200000001</v>
      </c>
      <c r="J373">
        <v>200.86394200000001</v>
      </c>
      <c r="K373">
        <f t="shared" si="0"/>
        <v>0</v>
      </c>
    </row>
    <row r="374" spans="1:11">
      <c r="A374" s="21" t="s">
        <v>344</v>
      </c>
      <c r="B374" s="21" t="s">
        <v>343</v>
      </c>
      <c r="C374">
        <f t="array" ref="C374">D374:F374</f>
        <v>47.482674909300783</v>
      </c>
      <c r="D374">
        <v>47.482674909300783</v>
      </c>
      <c r="E374" s="22">
        <v>4.7920959999999999</v>
      </c>
      <c r="F374" s="22">
        <v>47.920960000000001</v>
      </c>
      <c r="G374" s="22"/>
      <c r="I374">
        <v>46.730470375408281</v>
      </c>
      <c r="J374">
        <v>47.477833942307441</v>
      </c>
      <c r="K374">
        <f t="shared" si="0"/>
        <v>-0.7473635668991605</v>
      </c>
    </row>
    <row r="375" spans="1:11">
      <c r="A375" s="21" t="s">
        <v>342</v>
      </c>
      <c r="B375" s="21" t="s">
        <v>341</v>
      </c>
      <c r="C375">
        <f t="array" ref="C375">D375:F375</f>
        <v>47.559142999999999</v>
      </c>
      <c r="D375">
        <v>47.559142999999999</v>
      </c>
      <c r="E375" s="22">
        <v>0</v>
      </c>
      <c r="F375" s="22">
        <v>47.559142999999999</v>
      </c>
      <c r="G375" s="22"/>
      <c r="I375">
        <v>47.559142999999999</v>
      </c>
      <c r="J375">
        <v>47.559142999999999</v>
      </c>
      <c r="K375">
        <f t="shared" si="0"/>
        <v>0</v>
      </c>
    </row>
    <row r="376" spans="1:11">
      <c r="A376" s="21" t="s">
        <v>340</v>
      </c>
      <c r="B376" s="21" t="s">
        <v>339</v>
      </c>
      <c r="C376">
        <f t="array" ref="C376">D376:F376</f>
        <v>15.161846752750108</v>
      </c>
      <c r="D376">
        <v>15.161846752750108</v>
      </c>
      <c r="E376" s="22">
        <v>1.4817830000000001</v>
      </c>
      <c r="F376" s="22">
        <v>14.817830000000001</v>
      </c>
      <c r="G376" s="22"/>
      <c r="I376">
        <v>15.142066392620942</v>
      </c>
      <c r="J376">
        <v>15.14308394030552</v>
      </c>
      <c r="K376">
        <f t="shared" si="0"/>
        <v>-1.0175476845777354E-3</v>
      </c>
    </row>
    <row r="377" spans="1:11">
      <c r="A377" s="21" t="s">
        <v>338</v>
      </c>
      <c r="B377" s="21" t="s">
        <v>337</v>
      </c>
      <c r="C377">
        <f t="array" ref="C377">D377:F377</f>
        <v>14.991614999999999</v>
      </c>
      <c r="D377">
        <v>14.991614999999999</v>
      </c>
      <c r="E377" s="22">
        <v>0</v>
      </c>
      <c r="F377" s="22">
        <v>14.991614999999999</v>
      </c>
      <c r="G377" s="22"/>
      <c r="I377">
        <v>14.991614999999999</v>
      </c>
      <c r="J377">
        <v>14.991614999999999</v>
      </c>
      <c r="K377">
        <f t="shared" si="0"/>
        <v>0</v>
      </c>
    </row>
    <row r="378" spans="1:11">
      <c r="A378" s="21" t="s">
        <v>336</v>
      </c>
      <c r="B378" s="21" t="s">
        <v>335</v>
      </c>
      <c r="C378">
        <f t="array" ref="C378">D378:F378</f>
        <v>1.3179899776825669E-3</v>
      </c>
      <c r="D378">
        <v>1.3179899776825669E-3</v>
      </c>
      <c r="E378" s="22">
        <v>1.314217E-4</v>
      </c>
      <c r="F378" s="22">
        <v>1.3142169999999999E-3</v>
      </c>
      <c r="G378" s="22"/>
      <c r="I378">
        <v>1.2988828026748967E-3</v>
      </c>
      <c r="J378">
        <v>1.3188166103706505E-3</v>
      </c>
      <c r="K378">
        <f t="shared" si="0"/>
        <v>-1.9933807695753786E-5</v>
      </c>
    </row>
    <row r="379" spans="1:11">
      <c r="A379" s="21" t="s">
        <v>334</v>
      </c>
      <c r="B379" s="21" t="s">
        <v>333</v>
      </c>
      <c r="C379">
        <f t="array" ref="C379">D379:F379</f>
        <v>1.2884337999999999E-3</v>
      </c>
      <c r="D379">
        <v>1.2884337999999999E-3</v>
      </c>
      <c r="E379" s="22">
        <v>0</v>
      </c>
      <c r="F379" s="22">
        <v>1.2884337999999999E-3</v>
      </c>
      <c r="G379" s="22"/>
      <c r="I379">
        <v>1.2884337999999999E-3</v>
      </c>
      <c r="J379">
        <v>1.2884337999999999E-3</v>
      </c>
      <c r="K379">
        <f t="shared" si="0"/>
        <v>0</v>
      </c>
    </row>
    <row r="380" spans="1:11">
      <c r="A380" s="21" t="s">
        <v>332</v>
      </c>
      <c r="B380" s="21" t="s">
        <v>331</v>
      </c>
      <c r="C380">
        <f t="array" ref="C380">D380:F380</f>
        <v>1.4536130147710031E-2</v>
      </c>
      <c r="D380">
        <v>1.4536130147710031E-2</v>
      </c>
      <c r="E380" s="22">
        <v>1.4544872E-3</v>
      </c>
      <c r="F380" s="22">
        <v>1.4544872E-2</v>
      </c>
      <c r="G380" s="22"/>
      <c r="I380">
        <v>1.4229653257411806E-2</v>
      </c>
      <c r="J380">
        <v>1.4537414951515717E-2</v>
      </c>
      <c r="K380">
        <f t="shared" si="0"/>
        <v>-3.0776169410391165E-4</v>
      </c>
    </row>
    <row r="381" spans="1:11">
      <c r="A381" s="21" t="s">
        <v>330</v>
      </c>
      <c r="B381" s="21" t="s">
        <v>329</v>
      </c>
      <c r="C381">
        <f t="array" ref="C381">D381:F381</f>
        <v>1.45145034E-2</v>
      </c>
      <c r="D381">
        <v>1.45145034E-2</v>
      </c>
      <c r="E381" s="22">
        <v>0</v>
      </c>
      <c r="F381" s="22">
        <v>1.45145034E-2</v>
      </c>
      <c r="G381" s="22"/>
      <c r="I381">
        <v>1.45145034E-2</v>
      </c>
      <c r="J381">
        <v>1.45145034E-2</v>
      </c>
      <c r="K381">
        <f t="shared" ref="K381:K444" si="1">I381-J381</f>
        <v>0</v>
      </c>
    </row>
    <row r="382" spans="1:11">
      <c r="A382" s="21" t="s">
        <v>328</v>
      </c>
      <c r="B382" s="21" t="s">
        <v>327</v>
      </c>
      <c r="C382">
        <f t="array" ref="C382">D382:F382</f>
        <v>17.779619780926406</v>
      </c>
      <c r="D382">
        <v>17.779619780926406</v>
      </c>
      <c r="E382" s="22">
        <v>1.7804249999999999</v>
      </c>
      <c r="F382" s="22">
        <v>17.80425</v>
      </c>
      <c r="G382" s="22"/>
      <c r="I382">
        <v>17.760827529126978</v>
      </c>
      <c r="J382">
        <v>17.780995539065646</v>
      </c>
      <c r="K382">
        <f t="shared" si="1"/>
        <v>-2.0168009938668519E-2</v>
      </c>
    </row>
    <row r="383" spans="1:11">
      <c r="A383" s="21" t="s">
        <v>326</v>
      </c>
      <c r="B383" s="21" t="s">
        <v>325</v>
      </c>
      <c r="C383">
        <f t="array" ref="C383">D383:F383</f>
        <v>17.465229999999998</v>
      </c>
      <c r="D383">
        <v>17.465229999999998</v>
      </c>
      <c r="E383" s="22">
        <v>0</v>
      </c>
      <c r="F383" s="22">
        <v>17.465229999999998</v>
      </c>
      <c r="G383" s="22"/>
      <c r="I383">
        <v>17.465229999999998</v>
      </c>
      <c r="J383">
        <v>17.465229999999998</v>
      </c>
      <c r="K383">
        <f t="shared" si="1"/>
        <v>0</v>
      </c>
    </row>
    <row r="384" spans="1:11">
      <c r="A384" s="21" t="s">
        <v>324</v>
      </c>
      <c r="B384" s="21" t="s">
        <v>323</v>
      </c>
      <c r="C384">
        <f t="array" ref="C384">D384:F384</f>
        <v>5.588839935260579E-3</v>
      </c>
      <c r="D384">
        <v>5.588839935260579E-3</v>
      </c>
      <c r="E384" s="22">
        <v>5.5959070000000002E-4</v>
      </c>
      <c r="F384" s="22">
        <v>5.5959069999999998E-3</v>
      </c>
      <c r="G384" s="22"/>
      <c r="I384">
        <v>5.5846252196891325E-3</v>
      </c>
      <c r="J384">
        <v>5.5889350642824185E-3</v>
      </c>
      <c r="K384">
        <f t="shared" si="1"/>
        <v>-4.3098445932860177E-6</v>
      </c>
    </row>
    <row r="385" spans="1:11">
      <c r="A385" s="21" t="s">
        <v>322</v>
      </c>
      <c r="B385" s="21" t="s">
        <v>321</v>
      </c>
      <c r="C385">
        <f t="array" ref="C385">D385:F385</f>
        <v>5.4770571999999997E-3</v>
      </c>
      <c r="D385">
        <v>5.4770571999999997E-3</v>
      </c>
      <c r="E385" s="22">
        <v>0</v>
      </c>
      <c r="F385" s="22">
        <v>5.4770571999999997E-3</v>
      </c>
      <c r="G385" s="22"/>
      <c r="I385">
        <v>5.4770571999999997E-3</v>
      </c>
      <c r="J385">
        <v>5.4770571999999997E-3</v>
      </c>
      <c r="K385">
        <f t="shared" si="1"/>
        <v>0</v>
      </c>
    </row>
    <row r="386" spans="1:11">
      <c r="A386" s="21" t="s">
        <v>320</v>
      </c>
      <c r="B386" s="21" t="s">
        <v>319</v>
      </c>
      <c r="C386">
        <f t="array" ref="C386">D386:F386</f>
        <v>6.9103167752328248E-2</v>
      </c>
      <c r="D386">
        <v>6.9103167752328248E-2</v>
      </c>
      <c r="E386" s="22">
        <v>6.8559125999999998E-3</v>
      </c>
      <c r="F386" s="22">
        <v>6.8559125999999998E-2</v>
      </c>
      <c r="G386" s="22"/>
      <c r="I386">
        <v>6.8380468081837176E-2</v>
      </c>
      <c r="J386">
        <v>6.8463817471685451E-2</v>
      </c>
      <c r="K386">
        <f t="shared" si="1"/>
        <v>-8.3349389848275113E-5</v>
      </c>
    </row>
    <row r="387" spans="1:11">
      <c r="A387" s="21" t="s">
        <v>318</v>
      </c>
      <c r="B387" s="21" t="s">
        <v>317</v>
      </c>
      <c r="C387">
        <f t="array" ref="C387">D387:F387</f>
        <v>6.7829136200000001E-2</v>
      </c>
      <c r="D387">
        <v>6.7829136200000001E-2</v>
      </c>
      <c r="E387" s="22">
        <v>0</v>
      </c>
      <c r="F387" s="22">
        <v>6.7829136200000001E-2</v>
      </c>
      <c r="G387" s="22"/>
      <c r="I387">
        <v>6.7829136200000001E-2</v>
      </c>
      <c r="J387">
        <v>6.7829136200000001E-2</v>
      </c>
      <c r="K387">
        <f t="shared" si="1"/>
        <v>0</v>
      </c>
    </row>
    <row r="388" spans="1:11">
      <c r="A388" s="21" t="s">
        <v>316</v>
      </c>
      <c r="B388" s="21" t="s">
        <v>315</v>
      </c>
      <c r="C388">
        <f t="array" ref="C388">D388:F388</f>
        <v>299.8000382737593</v>
      </c>
      <c r="D388">
        <v>299.8000382737593</v>
      </c>
      <c r="E388" s="22">
        <v>29.861424</v>
      </c>
      <c r="F388" s="22">
        <v>298.61424</v>
      </c>
      <c r="G388" s="22"/>
      <c r="I388">
        <v>296.49168675569535</v>
      </c>
      <c r="J388">
        <v>298.74592163175953</v>
      </c>
      <c r="K388">
        <f t="shared" si="1"/>
        <v>-2.2542348760641744</v>
      </c>
    </row>
    <row r="389" spans="1:11">
      <c r="A389" s="21" t="s">
        <v>314</v>
      </c>
      <c r="B389" s="21" t="s">
        <v>313</v>
      </c>
      <c r="C389">
        <f t="array" ref="C389">D389:F389</f>
        <v>47.431441820688725</v>
      </c>
      <c r="D389">
        <v>47.431441820688725</v>
      </c>
      <c r="E389" s="22"/>
      <c r="F389" s="22"/>
      <c r="G389" s="22"/>
      <c r="I389">
        <v>46.169070317662666</v>
      </c>
      <c r="J389">
        <v>47.423165219939001</v>
      </c>
      <c r="K389">
        <f t="shared" si="1"/>
        <v>-1.2540949022763357</v>
      </c>
    </row>
    <row r="390" spans="1:11">
      <c r="A390" s="21" t="s">
        <v>312</v>
      </c>
      <c r="B390" s="21" t="s">
        <v>311</v>
      </c>
      <c r="C390">
        <f t="array" ref="C390">D390:F390</f>
        <v>15.275900843963626</v>
      </c>
      <c r="D390">
        <v>15.275900843963626</v>
      </c>
      <c r="E390" s="22"/>
      <c r="F390" s="22"/>
      <c r="G390" s="22"/>
      <c r="I390">
        <v>15.243992554977014</v>
      </c>
      <c r="J390">
        <v>15.244925158000312</v>
      </c>
      <c r="K390">
        <f t="shared" si="1"/>
        <v>-9.3260302329767342E-4</v>
      </c>
    </row>
    <row r="391" spans="1:11">
      <c r="A391" s="21" t="s">
        <v>310</v>
      </c>
      <c r="B391" s="21" t="s">
        <v>309</v>
      </c>
      <c r="C391">
        <f t="array" ref="C391">D391:F391</f>
        <v>1.3377924103687901E-3</v>
      </c>
      <c r="D391">
        <v>1.3377924103687901E-3</v>
      </c>
      <c r="E391" s="22"/>
      <c r="F391" s="22"/>
      <c r="G391" s="22"/>
      <c r="I391">
        <v>1.3059619601813487E-3</v>
      </c>
      <c r="J391">
        <v>1.3392446985513069E-3</v>
      </c>
      <c r="K391">
        <f t="shared" si="1"/>
        <v>-3.3282738369958204E-5</v>
      </c>
    </row>
    <row r="392" spans="1:11">
      <c r="A392" s="21" t="s">
        <v>308</v>
      </c>
      <c r="B392" s="21" t="s">
        <v>307</v>
      </c>
      <c r="C392">
        <f t="array" ref="C392">D392:F392</f>
        <v>1.4550619918201488E-2</v>
      </c>
      <c r="D392">
        <v>1.4550619918201488E-2</v>
      </c>
      <c r="E392" s="22"/>
      <c r="F392" s="22"/>
      <c r="G392" s="22"/>
      <c r="I392">
        <v>1.4036676136385109E-2</v>
      </c>
      <c r="J392">
        <v>1.4552819696219266E-2</v>
      </c>
      <c r="K392">
        <f t="shared" si="1"/>
        <v>-5.1614355983415662E-4</v>
      </c>
    </row>
    <row r="393" spans="1:11">
      <c r="A393" s="21" t="s">
        <v>306</v>
      </c>
      <c r="B393" s="21" t="s">
        <v>305</v>
      </c>
      <c r="C393">
        <f t="array" ref="C393">D393:F393</f>
        <v>17.990258748742523</v>
      </c>
      <c r="D393">
        <v>17.990258748742523</v>
      </c>
      <c r="E393" s="22"/>
      <c r="F393" s="22"/>
      <c r="G393" s="22"/>
      <c r="I393">
        <v>17.96108570701433</v>
      </c>
      <c r="J393">
        <v>17.99330274171481</v>
      </c>
      <c r="K393">
        <f t="shared" si="1"/>
        <v>-3.2217034700479985E-2</v>
      </c>
    </row>
    <row r="394" spans="1:11">
      <c r="A394" s="21" t="s">
        <v>304</v>
      </c>
      <c r="B394" s="21" t="s">
        <v>303</v>
      </c>
      <c r="C394">
        <f t="array" ref="C394">D394:F394</f>
        <v>5.6637335908540322E-3</v>
      </c>
      <c r="D394">
        <v>5.6637335908540322E-3</v>
      </c>
      <c r="E394" s="22"/>
      <c r="F394" s="22"/>
      <c r="G394" s="22"/>
      <c r="I394">
        <v>5.6574992253955025E-3</v>
      </c>
      <c r="J394">
        <v>5.6641569408598328E-3</v>
      </c>
      <c r="K394">
        <f t="shared" si="1"/>
        <v>-6.6577154643303327E-6</v>
      </c>
    </row>
    <row r="395" spans="1:11">
      <c r="A395" s="21" t="s">
        <v>302</v>
      </c>
      <c r="B395" s="21" t="s">
        <v>301</v>
      </c>
      <c r="C395">
        <f t="array" ref="C395">D395:F395</f>
        <v>6.9956760037470103E-2</v>
      </c>
      <c r="D395">
        <v>6.9956760037470103E-2</v>
      </c>
      <c r="E395" s="22"/>
      <c r="F395" s="22"/>
      <c r="G395" s="22"/>
      <c r="I395">
        <v>6.8753978369487767E-2</v>
      </c>
      <c r="J395">
        <v>6.8890549931992895E-2</v>
      </c>
      <c r="K395">
        <f t="shared" si="1"/>
        <v>-1.3657156250512781E-4</v>
      </c>
    </row>
    <row r="396" spans="1:11">
      <c r="A396" s="21" t="s">
        <v>300</v>
      </c>
      <c r="B396" s="21" t="s">
        <v>299</v>
      </c>
      <c r="C396">
        <f t="array" ref="C396">D396:F396</f>
        <v>0</v>
      </c>
      <c r="D396">
        <v>0</v>
      </c>
      <c r="E396" s="22">
        <v>0</v>
      </c>
      <c r="F396" s="22">
        <v>0</v>
      </c>
      <c r="G396" s="22"/>
      <c r="I396">
        <v>0</v>
      </c>
      <c r="J396">
        <v>0</v>
      </c>
      <c r="K396">
        <f t="shared" si="1"/>
        <v>0</v>
      </c>
    </row>
    <row r="397" spans="1:11">
      <c r="A397" s="21" t="s">
        <v>298</v>
      </c>
      <c r="B397" s="21" t="s">
        <v>297</v>
      </c>
      <c r="C397">
        <f t="array" ref="C397">D397:F397</f>
        <v>47.559142999999999</v>
      </c>
      <c r="D397">
        <v>47.559142999999999</v>
      </c>
      <c r="E397" s="22"/>
      <c r="F397" s="22"/>
      <c r="G397" s="22"/>
      <c r="I397">
        <v>47.559142999999999</v>
      </c>
      <c r="J397">
        <v>47.559142999999999</v>
      </c>
      <c r="K397">
        <f t="shared" si="1"/>
        <v>0</v>
      </c>
    </row>
    <row r="398" spans="1:11">
      <c r="A398" s="21" t="s">
        <v>296</v>
      </c>
      <c r="B398" s="21" t="s">
        <v>295</v>
      </c>
      <c r="C398">
        <f t="array" ref="C398">D398:F398</f>
        <v>14.991614999999999</v>
      </c>
      <c r="D398">
        <v>14.991614999999999</v>
      </c>
      <c r="E398" s="22"/>
      <c r="F398" s="22"/>
      <c r="G398" s="22"/>
      <c r="I398">
        <v>14.991614999999999</v>
      </c>
      <c r="J398">
        <v>14.991614999999999</v>
      </c>
      <c r="K398">
        <f t="shared" si="1"/>
        <v>0</v>
      </c>
    </row>
    <row r="399" spans="1:11">
      <c r="A399" s="21" t="s">
        <v>294</v>
      </c>
      <c r="B399" s="21" t="s">
        <v>293</v>
      </c>
      <c r="C399">
        <f t="array" ref="C399">D399:F399</f>
        <v>1.2884337999999999E-3</v>
      </c>
      <c r="D399">
        <v>1.2884337999999999E-3</v>
      </c>
      <c r="E399" s="22"/>
      <c r="F399" s="22"/>
      <c r="G399" s="22"/>
      <c r="I399">
        <v>1.2884337999999999E-3</v>
      </c>
      <c r="J399">
        <v>1.2884337999999999E-3</v>
      </c>
      <c r="K399">
        <f t="shared" si="1"/>
        <v>0</v>
      </c>
    </row>
    <row r="400" spans="1:11">
      <c r="A400" s="21" t="s">
        <v>292</v>
      </c>
      <c r="B400" s="21" t="s">
        <v>291</v>
      </c>
      <c r="C400">
        <f t="array" ref="C400">D400:F400</f>
        <v>1.45145034E-2</v>
      </c>
      <c r="D400">
        <v>1.45145034E-2</v>
      </c>
      <c r="E400" s="22"/>
      <c r="F400" s="22"/>
      <c r="G400" s="22"/>
      <c r="I400">
        <v>1.45145034E-2</v>
      </c>
      <c r="J400">
        <v>1.45145034E-2</v>
      </c>
      <c r="K400">
        <f t="shared" si="1"/>
        <v>0</v>
      </c>
    </row>
    <row r="401" spans="1:11">
      <c r="A401" s="21" t="s">
        <v>290</v>
      </c>
      <c r="B401" s="21" t="s">
        <v>289</v>
      </c>
      <c r="C401">
        <f t="array" ref="C401">D401:F401</f>
        <v>17.465229999999998</v>
      </c>
      <c r="D401">
        <v>17.465229999999998</v>
      </c>
      <c r="E401" s="22"/>
      <c r="F401" s="22"/>
      <c r="G401" s="22"/>
      <c r="I401">
        <v>17.465229999999998</v>
      </c>
      <c r="J401">
        <v>17.465229999999998</v>
      </c>
      <c r="K401">
        <f t="shared" si="1"/>
        <v>0</v>
      </c>
    </row>
    <row r="402" spans="1:11">
      <c r="A402" s="21" t="s">
        <v>288</v>
      </c>
      <c r="B402" s="21" t="s">
        <v>287</v>
      </c>
      <c r="C402">
        <f t="array" ref="C402">D402:F402</f>
        <v>5.4770571999999997E-3</v>
      </c>
      <c r="D402">
        <v>5.4770571999999997E-3</v>
      </c>
      <c r="E402" s="22"/>
      <c r="F402" s="22"/>
      <c r="G402" s="22"/>
      <c r="I402">
        <v>5.4770571999999997E-3</v>
      </c>
      <c r="J402">
        <v>5.4770571999999997E-3</v>
      </c>
      <c r="K402">
        <f t="shared" si="1"/>
        <v>0</v>
      </c>
    </row>
    <row r="403" spans="1:11">
      <c r="A403" s="21" t="s">
        <v>286</v>
      </c>
      <c r="B403" s="21" t="s">
        <v>285</v>
      </c>
      <c r="C403">
        <f t="array" ref="C403">D403:F403</f>
        <v>6.7829136200000001E-2</v>
      </c>
      <c r="D403">
        <v>6.7829136200000001E-2</v>
      </c>
      <c r="E403" s="22"/>
      <c r="F403" s="22"/>
      <c r="G403" s="22"/>
      <c r="I403">
        <v>6.7829136200000001E-2</v>
      </c>
      <c r="J403">
        <v>6.7829136200000001E-2</v>
      </c>
      <c r="K403" s="4">
        <f t="shared" si="1"/>
        <v>0</v>
      </c>
    </row>
    <row r="404" spans="1:11">
      <c r="A404" s="21" t="s">
        <v>284</v>
      </c>
      <c r="B404" s="21" t="s">
        <v>283</v>
      </c>
      <c r="C404">
        <f t="array" ref="C404">D404:F404</f>
        <v>999.13140619443118</v>
      </c>
      <c r="D404">
        <v>999.13140619443118</v>
      </c>
      <c r="E404" s="22"/>
      <c r="F404" s="22"/>
      <c r="G404" s="22"/>
      <c r="I404">
        <v>974.74081995062579</v>
      </c>
      <c r="J404">
        <v>1000.3203486185247</v>
      </c>
      <c r="K404" s="4">
        <f t="shared" si="1"/>
        <v>-25.579528667898899</v>
      </c>
    </row>
    <row r="405" spans="1:11">
      <c r="A405" s="21" t="s">
        <v>282</v>
      </c>
      <c r="B405" s="21" t="s">
        <v>281</v>
      </c>
      <c r="C405">
        <f t="array" ref="C405">D405:F405</f>
        <v>1002.307494</v>
      </c>
      <c r="D405">
        <v>1002.307494</v>
      </c>
      <c r="E405" s="22">
        <v>0</v>
      </c>
      <c r="F405" s="22">
        <v>1002.307494</v>
      </c>
      <c r="G405" s="22"/>
      <c r="I405">
        <v>1002.307494</v>
      </c>
      <c r="J405">
        <v>1002.307494</v>
      </c>
      <c r="K405" s="4">
        <f t="shared" si="1"/>
        <v>0</v>
      </c>
    </row>
    <row r="406" spans="1:11">
      <c r="A406" s="21" t="s">
        <v>280</v>
      </c>
      <c r="B406" s="21" t="s">
        <v>279</v>
      </c>
      <c r="C406">
        <f t="array" ref="C406">D406:F406</f>
        <v>46.906952062004073</v>
      </c>
      <c r="D406">
        <v>46.906952062004073</v>
      </c>
      <c r="E406" s="22"/>
      <c r="F406" s="22"/>
      <c r="G406" s="22"/>
      <c r="I406">
        <v>46.746644704938319</v>
      </c>
      <c r="J406">
        <v>46.906405166629575</v>
      </c>
      <c r="K406" s="4">
        <f t="shared" si="1"/>
        <v>-0.15976046169125624</v>
      </c>
    </row>
    <row r="407" spans="1:11">
      <c r="A407" s="21" t="s">
        <v>278</v>
      </c>
      <c r="B407" s="21" t="s">
        <v>277</v>
      </c>
      <c r="C407">
        <f t="array" ref="C407">D407:F407</f>
        <v>46.817815000000003</v>
      </c>
      <c r="D407">
        <v>46.817815000000003</v>
      </c>
      <c r="E407" s="22">
        <v>0</v>
      </c>
      <c r="F407" s="22">
        <v>46.817815000000003</v>
      </c>
      <c r="G407" s="22"/>
      <c r="I407">
        <v>46.817815000000003</v>
      </c>
      <c r="J407">
        <v>46.817815000000003</v>
      </c>
      <c r="K407">
        <f t="shared" si="1"/>
        <v>0</v>
      </c>
    </row>
    <row r="408" spans="1:11">
      <c r="A408" s="21" t="s">
        <v>276</v>
      </c>
      <c r="B408" s="21" t="s">
        <v>275</v>
      </c>
      <c r="C408">
        <f t="array" ref="C408">D408:F408</f>
        <v>15.3963779956535</v>
      </c>
      <c r="D408">
        <v>15.3963779956535</v>
      </c>
      <c r="E408" s="22"/>
      <c r="F408" s="22"/>
      <c r="G408" s="22"/>
      <c r="I408">
        <v>15.397893679127103</v>
      </c>
      <c r="J408">
        <v>15.391692157730251</v>
      </c>
      <c r="K408">
        <f t="shared" si="1"/>
        <v>6.2015213968518168E-3</v>
      </c>
    </row>
    <row r="409" spans="1:11">
      <c r="A409" s="21" t="s">
        <v>274</v>
      </c>
      <c r="B409" s="21" t="s">
        <v>273</v>
      </c>
      <c r="C409">
        <f t="array" ref="C409">D409:F409</f>
        <v>15.416853</v>
      </c>
      <c r="D409">
        <v>15.416853</v>
      </c>
      <c r="E409" s="22">
        <v>0</v>
      </c>
      <c r="F409" s="22">
        <v>15.416853</v>
      </c>
      <c r="G409" s="22"/>
      <c r="I409">
        <v>15.416853</v>
      </c>
      <c r="J409">
        <v>15.416853</v>
      </c>
      <c r="K409">
        <f t="shared" si="1"/>
        <v>0</v>
      </c>
    </row>
    <row r="410" spans="1:11">
      <c r="A410" s="21" t="s">
        <v>272</v>
      </c>
      <c r="B410" s="21" t="s">
        <v>271</v>
      </c>
      <c r="C410">
        <f t="array" ref="C410">D410:F410</f>
        <v>1.3211697879155087E-3</v>
      </c>
      <c r="D410">
        <v>1.3211697879155087E-3</v>
      </c>
      <c r="E410" s="22"/>
      <c r="F410" s="22"/>
      <c r="G410" s="22"/>
      <c r="I410">
        <v>1.3169864223135039E-3</v>
      </c>
      <c r="J410">
        <v>1.3214034008958348E-3</v>
      </c>
      <c r="K410">
        <f t="shared" si="1"/>
        <v>-4.4169785823309788E-6</v>
      </c>
    </row>
    <row r="411" spans="1:11">
      <c r="A411" s="21" t="s">
        <v>270</v>
      </c>
      <c r="B411" s="21" t="s">
        <v>269</v>
      </c>
      <c r="C411">
        <f t="array" ref="C411">D411:F411</f>
        <v>1.3183448E-3</v>
      </c>
      <c r="D411">
        <v>1.3183448E-3</v>
      </c>
      <c r="E411" s="22">
        <v>0</v>
      </c>
      <c r="F411" s="22">
        <v>1.3183448E-3</v>
      </c>
      <c r="G411" s="22"/>
      <c r="I411">
        <v>1.3183448E-3</v>
      </c>
      <c r="J411">
        <v>1.3183448E-3</v>
      </c>
      <c r="K411">
        <f t="shared" si="1"/>
        <v>0</v>
      </c>
    </row>
    <row r="412" spans="1:11">
      <c r="A412" s="21" t="s">
        <v>268</v>
      </c>
      <c r="B412" s="21" t="s">
        <v>267</v>
      </c>
      <c r="C412">
        <f t="array" ref="C412">D412:F412</f>
        <v>1.4513015807963808E-2</v>
      </c>
      <c r="D412">
        <v>1.4513015807963808E-2</v>
      </c>
      <c r="E412" s="22"/>
      <c r="F412" s="22"/>
      <c r="G412" s="22"/>
      <c r="I412">
        <v>1.4455076572094659E-2</v>
      </c>
      <c r="J412">
        <v>1.4513385454203002E-2</v>
      </c>
      <c r="K412">
        <f t="shared" si="1"/>
        <v>-5.8308882108342938E-5</v>
      </c>
    </row>
    <row r="413" spans="1:11">
      <c r="A413" s="21" t="s">
        <v>266</v>
      </c>
      <c r="B413" s="21" t="s">
        <v>265</v>
      </c>
      <c r="C413">
        <f t="array" ref="C413">D413:F413</f>
        <v>1.45066251E-2</v>
      </c>
      <c r="D413">
        <v>1.45066251E-2</v>
      </c>
      <c r="E413" s="22">
        <v>0</v>
      </c>
      <c r="F413" s="22">
        <v>1.45066251E-2</v>
      </c>
      <c r="G413" s="22"/>
      <c r="I413">
        <v>1.45066251E-2</v>
      </c>
      <c r="J413">
        <v>1.45066251E-2</v>
      </c>
      <c r="K413">
        <f t="shared" si="1"/>
        <v>0</v>
      </c>
    </row>
    <row r="414" spans="1:11">
      <c r="A414" s="21" t="s">
        <v>264</v>
      </c>
      <c r="B414" s="21" t="s">
        <v>263</v>
      </c>
      <c r="C414">
        <f t="array" ref="C414">D414:F414</f>
        <v>17.790395391139498</v>
      </c>
      <c r="D414">
        <v>17.790395391139498</v>
      </c>
      <c r="E414" s="22"/>
      <c r="F414" s="22"/>
      <c r="G414" s="22"/>
      <c r="I414">
        <v>17.778880726124143</v>
      </c>
      <c r="J414">
        <v>17.791094372799797</v>
      </c>
      <c r="K414">
        <f t="shared" si="1"/>
        <v>-1.2213646675654388E-2</v>
      </c>
    </row>
    <row r="415" spans="1:11">
      <c r="A415" s="21" t="s">
        <v>262</v>
      </c>
      <c r="B415" s="21" t="s">
        <v>261</v>
      </c>
      <c r="C415">
        <f t="array" ref="C415">D415:F415</f>
        <v>17.756429000000001</v>
      </c>
      <c r="D415">
        <v>17.756429000000001</v>
      </c>
      <c r="E415" s="22">
        <v>0</v>
      </c>
      <c r="F415" s="22">
        <v>17.756429000000001</v>
      </c>
      <c r="G415" s="22"/>
      <c r="I415">
        <v>17.756429000000001</v>
      </c>
      <c r="J415">
        <v>17.756429000000001</v>
      </c>
      <c r="K415">
        <f t="shared" si="1"/>
        <v>0</v>
      </c>
    </row>
    <row r="416" spans="1:11">
      <c r="A416" s="21" t="s">
        <v>260</v>
      </c>
      <c r="B416" s="21" t="s">
        <v>259</v>
      </c>
      <c r="C416">
        <f t="array" ref="C416">D416:F416</f>
        <v>5.1792078538315149E-3</v>
      </c>
      <c r="D416">
        <v>5.1792078538315149E-3</v>
      </c>
      <c r="E416" s="22"/>
      <c r="F416" s="22"/>
      <c r="G416" s="22"/>
      <c r="I416">
        <v>5.1583613259972303E-3</v>
      </c>
      <c r="J416">
        <v>5.179883922290289E-3</v>
      </c>
      <c r="K416">
        <f t="shared" si="1"/>
        <v>-2.1522596293058714E-5</v>
      </c>
    </row>
    <row r="417" spans="1:11">
      <c r="A417" s="21" t="s">
        <v>258</v>
      </c>
      <c r="B417" s="21" t="s">
        <v>257</v>
      </c>
      <c r="C417">
        <f t="array" ref="C417">D417:F417</f>
        <v>5.0968630999999997E-3</v>
      </c>
      <c r="D417">
        <v>5.0968630999999997E-3</v>
      </c>
      <c r="E417" s="22">
        <v>0</v>
      </c>
      <c r="F417" s="22">
        <v>5.0968630999999997E-3</v>
      </c>
      <c r="G417" s="22"/>
      <c r="I417">
        <v>5.0968630999999997E-3</v>
      </c>
      <c r="J417">
        <v>5.0968630999999997E-3</v>
      </c>
      <c r="K417">
        <f t="shared" si="1"/>
        <v>0</v>
      </c>
    </row>
    <row r="418" spans="1:11">
      <c r="A418" s="21" t="s">
        <v>256</v>
      </c>
      <c r="B418" s="21" t="s">
        <v>255</v>
      </c>
      <c r="C418">
        <f t="array" ref="C418">D418:F418</f>
        <v>6.6966702005616441E-2</v>
      </c>
      <c r="D418">
        <v>6.6966702005616441E-2</v>
      </c>
      <c r="E418" s="22"/>
      <c r="F418" s="22"/>
      <c r="G418" s="22"/>
      <c r="I418">
        <v>6.6710344548336853E-2</v>
      </c>
      <c r="J418">
        <v>6.6814456870744665E-2</v>
      </c>
      <c r="K418">
        <f t="shared" si="1"/>
        <v>-1.0411232240781221E-4</v>
      </c>
    </row>
    <row r="419" spans="1:11">
      <c r="A419" s="21" t="s">
        <v>254</v>
      </c>
      <c r="B419" s="21" t="s">
        <v>253</v>
      </c>
      <c r="C419">
        <f t="array" ref="C419">D419:F419</f>
        <v>6.6458544100000003E-2</v>
      </c>
      <c r="D419">
        <v>6.6458544100000003E-2</v>
      </c>
      <c r="E419" s="22">
        <v>0</v>
      </c>
      <c r="F419" s="22">
        <v>6.6458544100000003E-2</v>
      </c>
      <c r="G419" s="22"/>
      <c r="I419">
        <v>6.6458544100000003E-2</v>
      </c>
      <c r="J419">
        <v>6.6458544100000003E-2</v>
      </c>
      <c r="K419">
        <f t="shared" si="1"/>
        <v>0</v>
      </c>
    </row>
    <row r="420" spans="1:11">
      <c r="A420" s="21" t="s">
        <v>252</v>
      </c>
      <c r="B420" s="21" t="s">
        <v>251</v>
      </c>
      <c r="C420">
        <f t="array" ref="C420">D420:F420</f>
        <v>299.8000382737593</v>
      </c>
      <c r="D420">
        <v>299.8000382737593</v>
      </c>
      <c r="E420" s="22">
        <v>29.861424</v>
      </c>
      <c r="F420" s="22">
        <v>298.61424</v>
      </c>
      <c r="G420" s="22"/>
      <c r="I420">
        <v>296.49168675569535</v>
      </c>
      <c r="J420">
        <v>298.74592163175953</v>
      </c>
      <c r="K420">
        <f t="shared" si="1"/>
        <v>-2.2542348760641744</v>
      </c>
    </row>
    <row r="421" spans="1:11">
      <c r="A421" s="21" t="s">
        <v>250</v>
      </c>
      <c r="B421" s="21" t="s">
        <v>249</v>
      </c>
      <c r="C421">
        <f t="array" ref="C421">D421:F421</f>
        <v>47.431441820687567</v>
      </c>
      <c r="D421">
        <v>47.431441820687567</v>
      </c>
      <c r="E421" s="22">
        <v>4.7902209999999998</v>
      </c>
      <c r="F421" s="22">
        <v>47.902209999999997</v>
      </c>
      <c r="G421" s="22"/>
      <c r="I421">
        <v>46.169070317663881</v>
      </c>
      <c r="J421">
        <v>47.423165219939008</v>
      </c>
      <c r="K421">
        <f t="shared" si="1"/>
        <v>-1.2540949022751278</v>
      </c>
    </row>
    <row r="422" spans="1:11">
      <c r="A422" s="21" t="s">
        <v>248</v>
      </c>
      <c r="B422" s="21" t="s">
        <v>247</v>
      </c>
      <c r="C422">
        <f t="array" ref="C422">D422:F422</f>
        <v>15.275900843962694</v>
      </c>
      <c r="D422">
        <v>15.275900843962694</v>
      </c>
      <c r="E422" s="22">
        <v>1.4672449999999999</v>
      </c>
      <c r="F422" s="22">
        <v>14.67245</v>
      </c>
      <c r="G422" s="22"/>
      <c r="I422">
        <v>15.243992554976712</v>
      </c>
      <c r="J422">
        <v>15.244925158000308</v>
      </c>
      <c r="K422">
        <f t="shared" si="1"/>
        <v>-9.3260302359610137E-4</v>
      </c>
    </row>
    <row r="423" spans="1:11">
      <c r="A423" s="21" t="s">
        <v>246</v>
      </c>
      <c r="B423" s="21" t="s">
        <v>245</v>
      </c>
      <c r="C423">
        <f t="array" ref="C423">D423:F423</f>
        <v>1.3377924094478304E-3</v>
      </c>
      <c r="D423">
        <v>1.3377924094478304E-3</v>
      </c>
      <c r="E423" s="22">
        <v>1.3530660000000001E-4</v>
      </c>
      <c r="F423" s="22">
        <v>1.353066E-3</v>
      </c>
      <c r="G423" s="22"/>
      <c r="I423">
        <v>1.3059622417412519E-3</v>
      </c>
      <c r="J423">
        <v>1.3392446884111281E-3</v>
      </c>
      <c r="K423">
        <f t="shared" si="1"/>
        <v>-3.3282446669876146E-5</v>
      </c>
    </row>
    <row r="424" spans="1:11">
      <c r="A424" s="21" t="s">
        <v>244</v>
      </c>
      <c r="B424" s="21" t="s">
        <v>243</v>
      </c>
      <c r="C424">
        <f t="array" ref="C424">D424:F424</f>
        <v>1.4550619918158031E-2</v>
      </c>
      <c r="D424">
        <v>1.4550619918158031E-2</v>
      </c>
      <c r="E424" s="22">
        <v>1.4527066E-3</v>
      </c>
      <c r="F424" s="22">
        <v>1.4527066E-2</v>
      </c>
      <c r="G424" s="22"/>
      <c r="I424">
        <v>1.4036676171360797E-2</v>
      </c>
      <c r="J424">
        <v>1.4552819696550928E-2</v>
      </c>
      <c r="K424">
        <f t="shared" si="1"/>
        <v>-5.1614352519013112E-4</v>
      </c>
    </row>
    <row r="425" spans="1:11">
      <c r="A425" s="21" t="s">
        <v>242</v>
      </c>
      <c r="B425" s="21" t="s">
        <v>241</v>
      </c>
      <c r="C425">
        <f t="array" ref="C425">D425:F425</f>
        <v>17.990258748741837</v>
      </c>
      <c r="D425">
        <v>17.990258748741837</v>
      </c>
      <c r="E425" s="22">
        <v>1.797936</v>
      </c>
      <c r="F425" s="22">
        <v>17.97936</v>
      </c>
      <c r="G425" s="22"/>
      <c r="I425">
        <v>17.961085707013901</v>
      </c>
      <c r="J425">
        <v>17.99330274171481</v>
      </c>
      <c r="K425" s="4">
        <f t="shared" si="1"/>
        <v>-3.2217034700909863E-2</v>
      </c>
    </row>
    <row r="426" spans="1:11">
      <c r="A426" s="21" t="s">
        <v>240</v>
      </c>
      <c r="B426" s="21" t="s">
        <v>239</v>
      </c>
      <c r="C426">
        <f t="array" ref="C426">D426:F426</f>
        <v>5.6637335907633087E-3</v>
      </c>
      <c r="D426">
        <v>5.6637335907633087E-3</v>
      </c>
      <c r="E426" s="22">
        <v>5.6600200000000002E-4</v>
      </c>
      <c r="F426" s="22">
        <v>5.66002E-3</v>
      </c>
      <c r="G426" s="22"/>
      <c r="I426">
        <v>5.6574992267596743E-3</v>
      </c>
      <c r="J426">
        <v>5.6641569408688109E-3</v>
      </c>
      <c r="K426" s="4">
        <f t="shared" si="1"/>
        <v>-6.6577141091365977E-6</v>
      </c>
    </row>
    <row r="427" spans="1:11">
      <c r="A427" s="21" t="s">
        <v>238</v>
      </c>
      <c r="B427" s="21" t="s">
        <v>237</v>
      </c>
      <c r="C427">
        <f t="array" ref="C427">D427:F427</f>
        <v>6.995676003746179E-2</v>
      </c>
      <c r="D427">
        <v>6.995676003746179E-2</v>
      </c>
      <c r="E427" s="22">
        <v>6.8834342999999996E-3</v>
      </c>
      <c r="F427" s="22">
        <v>6.8834343000000006E-2</v>
      </c>
      <c r="G427" s="22"/>
      <c r="I427">
        <v>6.8753978369708063E-2</v>
      </c>
      <c r="J427">
        <v>6.8890549931994269E-2</v>
      </c>
      <c r="K427" s="4">
        <f t="shared" si="1"/>
        <v>-1.3657156228620571E-4</v>
      </c>
    </row>
    <row r="428" spans="1:11">
      <c r="A428" s="21" t="s">
        <v>236</v>
      </c>
      <c r="B428" s="21" t="s">
        <v>235</v>
      </c>
      <c r="C428">
        <f t="array" ref="C428">D428:F428</f>
        <v>296.6239504681904</v>
      </c>
      <c r="D428">
        <v>296.6239504681904</v>
      </c>
      <c r="E428" s="22"/>
      <c r="F428" s="22"/>
      <c r="G428" s="22"/>
      <c r="I428">
        <v>268.92501270632107</v>
      </c>
      <c r="J428">
        <v>296.75877625028426</v>
      </c>
      <c r="K428" s="4">
        <f t="shared" si="1"/>
        <v>-27.833763543963187</v>
      </c>
    </row>
    <row r="429" spans="1:11">
      <c r="A429" s="21" t="s">
        <v>234</v>
      </c>
      <c r="B429" s="21" t="s">
        <v>233</v>
      </c>
      <c r="C429">
        <f t="array" ref="C429">D429:F429</f>
        <v>47.738255231031374</v>
      </c>
      <c r="D429">
        <v>47.738255231031374</v>
      </c>
      <c r="E429" s="22">
        <v>4.7087750000000002</v>
      </c>
      <c r="F429" s="22">
        <v>47.08775</v>
      </c>
      <c r="G429" s="22"/>
      <c r="I429">
        <v>45.84469797649583</v>
      </c>
      <c r="J429">
        <v>47.725840329908543</v>
      </c>
      <c r="K429" s="4">
        <f t="shared" si="1"/>
        <v>-1.881142353412713</v>
      </c>
    </row>
    <row r="430" spans="1:11">
      <c r="A430" s="21" t="s">
        <v>232</v>
      </c>
      <c r="B430" s="21" t="s">
        <v>231</v>
      </c>
      <c r="C430">
        <f t="array" ref="C430">D430:F430</f>
        <v>15.205424765944041</v>
      </c>
      <c r="D430">
        <v>15.205424765944041</v>
      </c>
      <c r="E430" s="22">
        <v>1.5742020000000001</v>
      </c>
      <c r="F430" s="22">
        <v>15.74202</v>
      </c>
      <c r="G430" s="22"/>
      <c r="I430">
        <v>15.157562332465067</v>
      </c>
      <c r="J430">
        <v>15.158961237000463</v>
      </c>
      <c r="K430" s="4">
        <f t="shared" si="1"/>
        <v>-1.3989045353959284E-3</v>
      </c>
    </row>
    <row r="431" spans="1:11">
      <c r="A431" s="21" t="s">
        <v>230</v>
      </c>
      <c r="B431" s="21" t="s">
        <v>229</v>
      </c>
      <c r="C431">
        <f t="array" ref="C431">D431:F431</f>
        <v>1.3475162141717454E-3</v>
      </c>
      <c r="D431">
        <v>1.3475162141717454E-3</v>
      </c>
      <c r="E431" s="22"/>
      <c r="F431" s="22"/>
      <c r="G431" s="22"/>
      <c r="I431">
        <v>1.2997709626118778E-3</v>
      </c>
      <c r="J431">
        <v>1.3496946326166934E-3</v>
      </c>
      <c r="K431" s="4">
        <f t="shared" si="1"/>
        <v>-4.9923670004815629E-5</v>
      </c>
    </row>
    <row r="432" spans="1:11">
      <c r="A432" s="21" t="s">
        <v>228</v>
      </c>
      <c r="B432" s="21" t="s">
        <v>227</v>
      </c>
      <c r="C432">
        <f t="array" ref="C432">D432:F432</f>
        <v>1.4572617327237041E-2</v>
      </c>
      <c r="D432">
        <v>1.4572617327237041E-2</v>
      </c>
      <c r="E432" s="22"/>
      <c r="F432" s="22"/>
      <c r="G432" s="22"/>
      <c r="I432">
        <v>1.3801701707041196E-2</v>
      </c>
      <c r="J432">
        <v>1.4575916994826394E-2</v>
      </c>
      <c r="K432" s="4">
        <f t="shared" si="1"/>
        <v>-7.7421528778519842E-4</v>
      </c>
    </row>
    <row r="433" spans="1:11">
      <c r="A433" s="21" t="s">
        <v>226</v>
      </c>
      <c r="B433" s="21" t="s">
        <v>225</v>
      </c>
      <c r="C433">
        <f t="array" ref="C433">D433:F433</f>
        <v>18.107173623112754</v>
      </c>
      <c r="D433">
        <v>18.107173623112754</v>
      </c>
      <c r="E433" s="22"/>
      <c r="F433" s="22"/>
      <c r="G433" s="22"/>
      <c r="I433">
        <v>18.063414060520845</v>
      </c>
      <c r="J433">
        <v>18.111739612572208</v>
      </c>
      <c r="K433" s="4">
        <f t="shared" si="1"/>
        <v>-4.8325552051363019E-2</v>
      </c>
    </row>
    <row r="434" spans="1:11">
      <c r="A434" s="21" t="s">
        <v>224</v>
      </c>
      <c r="B434" s="21" t="s">
        <v>223</v>
      </c>
      <c r="C434">
        <f t="array" ref="C434">D434:F434</f>
        <v>5.9471688361449624E-3</v>
      </c>
      <c r="D434">
        <v>5.9471688361449624E-3</v>
      </c>
      <c r="E434" s="22"/>
      <c r="F434" s="22"/>
      <c r="G434" s="22"/>
      <c r="I434">
        <v>5.937817290139512E-3</v>
      </c>
      <c r="J434">
        <v>5.9478038613032178E-3</v>
      </c>
      <c r="K434" s="4">
        <f t="shared" si="1"/>
        <v>-9.9865711637057639E-6</v>
      </c>
    </row>
    <row r="435" spans="1:11">
      <c r="A435" s="21" t="s">
        <v>222</v>
      </c>
      <c r="B435" s="21" t="s">
        <v>221</v>
      </c>
      <c r="C435">
        <f t="array" ref="C435">D435:F435</f>
        <v>7.1705868006192636E-2</v>
      </c>
      <c r="D435">
        <v>7.1705868006192636E-2</v>
      </c>
      <c r="E435" s="22"/>
      <c r="F435" s="22"/>
      <c r="G435" s="22"/>
      <c r="I435">
        <v>6.9901695504562128E-2</v>
      </c>
      <c r="J435">
        <v>7.010655284799136E-2</v>
      </c>
      <c r="K435" s="4">
        <f t="shared" si="1"/>
        <v>-2.0485734342923223E-4</v>
      </c>
    </row>
    <row r="436" spans="1:11">
      <c r="A436" s="21" t="s">
        <v>220</v>
      </c>
      <c r="B436" s="21" t="s">
        <v>219</v>
      </c>
      <c r="C436">
        <f t="array" ref="C436">D436:F436</f>
        <v>11556.196201589231</v>
      </c>
      <c r="D436">
        <v>11556.196201589231</v>
      </c>
      <c r="E436" s="22"/>
      <c r="F436" s="22"/>
      <c r="G436" s="22"/>
      <c r="I436">
        <v>9786.9578036897583</v>
      </c>
      <c r="J436">
        <v>11568.0754220813</v>
      </c>
      <c r="K436" s="4">
        <f t="shared" si="1"/>
        <v>-1781.1176183915413</v>
      </c>
    </row>
    <row r="437" spans="1:11">
      <c r="A437" s="21" t="s">
        <v>218</v>
      </c>
      <c r="B437" s="21" t="s">
        <v>217</v>
      </c>
      <c r="C437">
        <f t="array" ref="C437">D437:F437</f>
        <v>0.18500975351624613</v>
      </c>
      <c r="D437">
        <v>0.18500975351624613</v>
      </c>
      <c r="E437" s="22">
        <v>1.8336999999999999E-2</v>
      </c>
      <c r="F437" s="22">
        <v>0.18337000000000001</v>
      </c>
      <c r="G437" s="22"/>
      <c r="I437">
        <v>0.18448264951114646</v>
      </c>
      <c r="J437">
        <v>0.18502718135376131</v>
      </c>
      <c r="K437" s="4">
        <f t="shared" si="1"/>
        <v>-5.4453184261485377E-4</v>
      </c>
    </row>
    <row r="438" spans="1:11">
      <c r="A438" s="21" t="s">
        <v>216</v>
      </c>
      <c r="B438" s="21" t="s">
        <v>215</v>
      </c>
      <c r="C438">
        <f t="array" ref="C438">D438:F438</f>
        <v>6.2003747598923047</v>
      </c>
      <c r="D438">
        <v>6.2003747598923047</v>
      </c>
      <c r="E438" s="22">
        <v>0.61149600000000004</v>
      </c>
      <c r="F438" s="22">
        <v>6.11496</v>
      </c>
      <c r="G438" s="22"/>
      <c r="I438">
        <v>6.1967692196061472</v>
      </c>
      <c r="J438">
        <v>6.2042047795289745</v>
      </c>
      <c r="K438" s="4">
        <f t="shared" si="1"/>
        <v>-7.4355599228272951E-3</v>
      </c>
    </row>
    <row r="439" spans="1:11">
      <c r="A439" s="21" t="s">
        <v>214</v>
      </c>
      <c r="B439" s="21" t="s">
        <v>213</v>
      </c>
      <c r="C439">
        <f t="array" ref="C439">D439:F439</f>
        <v>1.0427340154294414E-5</v>
      </c>
      <c r="D439">
        <v>1.0427340154294414E-5</v>
      </c>
      <c r="E439" s="22"/>
      <c r="F439" s="22"/>
      <c r="G439" s="22"/>
      <c r="I439">
        <v>1.070404659211642E-5</v>
      </c>
      <c r="J439">
        <v>1.0425323005679389E-5</v>
      </c>
      <c r="K439">
        <f t="shared" si="1"/>
        <v>2.7872358643703108E-7</v>
      </c>
    </row>
    <row r="440" spans="1:11">
      <c r="A440" s="21" t="s">
        <v>212</v>
      </c>
      <c r="B440" s="21" t="s">
        <v>211</v>
      </c>
      <c r="C440">
        <f t="array" ref="C440">D440:F440</f>
        <v>2.1938968676288941E-4</v>
      </c>
      <c r="D440">
        <v>2.1938968676288941E-4</v>
      </c>
      <c r="E440" s="22"/>
      <c r="F440" s="22"/>
      <c r="G440" s="22"/>
      <c r="I440">
        <v>2.4514674463891971E-4</v>
      </c>
      <c r="J440">
        <v>2.1940413566464255E-4</v>
      </c>
      <c r="K440">
        <f t="shared" si="1"/>
        <v>2.5742608974277159E-5</v>
      </c>
    </row>
    <row r="441" spans="1:11">
      <c r="A441" s="21" t="s">
        <v>210</v>
      </c>
      <c r="B441" s="21" t="s">
        <v>209</v>
      </c>
      <c r="C441">
        <f t="array" ref="C441">D441:F441</f>
        <v>5.9972483236634462</v>
      </c>
      <c r="D441">
        <v>5.9972483236634462</v>
      </c>
      <c r="E441" s="22"/>
      <c r="F441" s="22"/>
      <c r="G441" s="22"/>
      <c r="I441">
        <v>6.1229639939983631</v>
      </c>
      <c r="J441">
        <v>5.9971226473420485</v>
      </c>
      <c r="K441">
        <f t="shared" si="1"/>
        <v>0.12584134665631463</v>
      </c>
    </row>
    <row r="442" spans="1:11">
      <c r="A442" s="21" t="s">
        <v>208</v>
      </c>
      <c r="B442" s="21" t="s">
        <v>207</v>
      </c>
      <c r="C442">
        <f t="array" ref="C442">D442:F442</f>
        <v>5.9419620604694821E-3</v>
      </c>
      <c r="D442">
        <v>5.9419620604694821E-3</v>
      </c>
      <c r="E442" s="22"/>
      <c r="F442" s="22"/>
      <c r="G442" s="22"/>
      <c r="I442">
        <v>6.2155655773851832E-3</v>
      </c>
      <c r="J442">
        <v>5.9417770519447433E-3</v>
      </c>
      <c r="K442" s="4">
        <f t="shared" si="1"/>
        <v>2.7378852544043993E-4</v>
      </c>
    </row>
    <row r="443" spans="1:11">
      <c r="A443" s="21" t="s">
        <v>206</v>
      </c>
      <c r="B443" s="21" t="s">
        <v>205</v>
      </c>
      <c r="C443">
        <f t="array" ref="C443">D443:F443</f>
        <v>4.5060249891750379E-2</v>
      </c>
      <c r="D443">
        <v>4.5060249891750379E-2</v>
      </c>
      <c r="E443" s="22"/>
      <c r="F443" s="22"/>
      <c r="G443" s="22"/>
      <c r="I443">
        <v>4.7482317558608746E-2</v>
      </c>
      <c r="J443">
        <v>4.5295464483937793E-2</v>
      </c>
      <c r="K443" s="4">
        <f t="shared" si="1"/>
        <v>2.1868530746709525E-3</v>
      </c>
    </row>
    <row r="444" spans="1:11">
      <c r="A444" s="21" t="s">
        <v>204</v>
      </c>
      <c r="B444" s="21" t="s">
        <v>203</v>
      </c>
      <c r="C444">
        <f t="array" ref="C444">D444:F444</f>
        <v>11852.820152057422</v>
      </c>
      <c r="D444">
        <v>11852.820152057422</v>
      </c>
      <c r="E444" s="22"/>
      <c r="F444" s="22"/>
      <c r="G444" s="22"/>
      <c r="I444">
        <v>10055.882816396079</v>
      </c>
      <c r="J444">
        <v>11864.834198331584</v>
      </c>
      <c r="K444" s="4">
        <f t="shared" si="1"/>
        <v>-1808.9513819355052</v>
      </c>
    </row>
    <row r="445" spans="1:11">
      <c r="A445" s="21" t="s">
        <v>202</v>
      </c>
      <c r="B445" s="21" t="s">
        <v>201</v>
      </c>
      <c r="C445">
        <f t="array" ref="C445">D445:F445</f>
        <v>1.3750583404501335</v>
      </c>
      <c r="D445">
        <v>1.3750583404501335</v>
      </c>
      <c r="E445" s="22">
        <v>0.13678999999999999</v>
      </c>
      <c r="F445" s="22">
        <v>1.3678999999999999</v>
      </c>
      <c r="G445" s="22"/>
      <c r="I445">
        <v>1.4055753589279731</v>
      </c>
      <c r="J445">
        <v>1.3741001423680592</v>
      </c>
      <c r="K445" s="4">
        <f t="shared" ref="K445:K507" si="2">I445-J445</f>
        <v>3.1475216559913921E-2</v>
      </c>
    </row>
    <row r="446" spans="1:11">
      <c r="A446" s="21" t="s">
        <v>200</v>
      </c>
      <c r="B446" s="21" t="s">
        <v>199</v>
      </c>
      <c r="C446">
        <f t="array" ref="C446">D446:F446</f>
        <v>6.4257315502371881</v>
      </c>
      <c r="D446">
        <v>6.4257315502371881</v>
      </c>
      <c r="E446" s="22">
        <v>0.63819899999999996</v>
      </c>
      <c r="F446" s="22">
        <v>6.3819900000000001</v>
      </c>
      <c r="G446" s="22"/>
      <c r="I446">
        <v>6.4364081934158897</v>
      </c>
      <c r="J446">
        <v>6.4281777844202965</v>
      </c>
      <c r="K446" s="4">
        <f t="shared" si="2"/>
        <v>8.2304089955931303E-3</v>
      </c>
    </row>
    <row r="447" spans="1:11">
      <c r="A447" s="21" t="s">
        <v>198</v>
      </c>
      <c r="B447" s="21" t="s">
        <v>197</v>
      </c>
      <c r="C447">
        <f t="array" ref="C447">D447:F447</f>
        <v>4.3888792317125744E-5</v>
      </c>
      <c r="D447">
        <v>4.3888792317125744E-5</v>
      </c>
      <c r="E447" s="22"/>
      <c r="F447" s="22"/>
      <c r="G447" s="22"/>
      <c r="I447">
        <v>4.5177645864507822E-5</v>
      </c>
      <c r="J447">
        <v>4.3922623579689801E-5</v>
      </c>
      <c r="K447">
        <f t="shared" si="2"/>
        <v>1.255022284818021E-6</v>
      </c>
    </row>
    <row r="448" spans="1:11">
      <c r="A448" s="21" t="s">
        <v>196</v>
      </c>
      <c r="B448" s="21" t="s">
        <v>195</v>
      </c>
      <c r="C448">
        <f t="array" ref="C448">D448:F448</f>
        <v>5.7858783592502905E-4</v>
      </c>
      <c r="D448">
        <v>5.7858783592502905E-4</v>
      </c>
      <c r="E448" s="22"/>
      <c r="F448" s="22"/>
      <c r="G448" s="22"/>
      <c r="I448">
        <v>6.0769031768032153E-4</v>
      </c>
      <c r="J448">
        <v>5.7848384266922679E-4</v>
      </c>
      <c r="K448">
        <f t="shared" si="2"/>
        <v>2.920647501109474E-5</v>
      </c>
    </row>
    <row r="449" spans="1:11">
      <c r="A449" s="21" t="s">
        <v>194</v>
      </c>
      <c r="B449" s="21" t="s">
        <v>193</v>
      </c>
      <c r="C449">
        <f t="array" ref="C449">D449:F449</f>
        <v>6.3003065820889326</v>
      </c>
      <c r="D449">
        <v>6.3003065820889326</v>
      </c>
      <c r="E449" s="22"/>
      <c r="F449" s="22"/>
      <c r="G449" s="22"/>
      <c r="I449">
        <v>6.4422882971271411</v>
      </c>
      <c r="J449">
        <v>6.3001288963355968</v>
      </c>
      <c r="K449">
        <f t="shared" si="2"/>
        <v>0.14215940079154432</v>
      </c>
    </row>
    <row r="450" spans="1:11">
      <c r="A450" s="21" t="s">
        <v>192</v>
      </c>
      <c r="B450" s="21" t="s">
        <v>191</v>
      </c>
      <c r="C450">
        <f t="array" ref="C450">D450:F450</f>
        <v>5.9420924747939485E-3</v>
      </c>
      <c r="D450">
        <v>5.9420924747939485E-3</v>
      </c>
      <c r="E450" s="22"/>
      <c r="F450" s="22"/>
      <c r="G450" s="22"/>
      <c r="I450">
        <v>6.2081379518800486E-3</v>
      </c>
      <c r="J450">
        <v>5.9419277922402184E-3</v>
      </c>
      <c r="K450">
        <f t="shared" si="2"/>
        <v>2.6621015963983023E-4</v>
      </c>
    </row>
    <row r="451" spans="1:11">
      <c r="A451" s="21" t="s">
        <v>190</v>
      </c>
      <c r="B451" s="21" t="s">
        <v>189</v>
      </c>
      <c r="C451">
        <f t="array" ref="C451">D451:F451</f>
        <v>4.5727073408168721E-2</v>
      </c>
      <c r="D451">
        <v>4.5727073408168721E-2</v>
      </c>
      <c r="E451" s="22"/>
      <c r="F451" s="22"/>
      <c r="G451" s="22"/>
      <c r="I451">
        <v>4.808188178480402E-2</v>
      </c>
      <c r="J451">
        <v>4.591603010647944E-2</v>
      </c>
      <c r="K451">
        <f t="shared" si="2"/>
        <v>2.1658516783245804E-3</v>
      </c>
    </row>
    <row r="452" spans="1:11">
      <c r="A452" s="21" t="s">
        <v>188</v>
      </c>
      <c r="B452" s="21" t="s">
        <v>187</v>
      </c>
      <c r="C452">
        <f t="array" ref="C452">D452:F452</f>
        <v>424.76517702792688</v>
      </c>
      <c r="D452">
        <v>424.76517702792688</v>
      </c>
      <c r="E452" s="22">
        <v>41.89</v>
      </c>
      <c r="F452" s="22">
        <v>418.9</v>
      </c>
      <c r="G452" s="22"/>
      <c r="I452">
        <v>424.76514626168739</v>
      </c>
      <c r="J452">
        <v>424.7651462617165</v>
      </c>
      <c r="K452">
        <f t="shared" si="2"/>
        <v>-2.9103830456733704E-11</v>
      </c>
    </row>
    <row r="453" spans="1:11">
      <c r="A453" s="21" t="s">
        <v>186</v>
      </c>
      <c r="B453" s="21" t="s">
        <v>185</v>
      </c>
      <c r="C453">
        <f t="array" ref="C453">D453:F453</f>
        <v>46.803007999999998</v>
      </c>
      <c r="D453">
        <v>46.803007999999998</v>
      </c>
      <c r="E453" s="22"/>
      <c r="F453" s="22"/>
      <c r="G453" s="22"/>
      <c r="I453">
        <v>46.803007999999998</v>
      </c>
      <c r="J453">
        <v>46.803007999999998</v>
      </c>
      <c r="K453">
        <f t="shared" si="2"/>
        <v>0</v>
      </c>
    </row>
    <row r="454" spans="1:11">
      <c r="A454" s="21" t="s">
        <v>184</v>
      </c>
      <c r="B454" s="21" t="s">
        <v>183</v>
      </c>
      <c r="C454">
        <f t="array" ref="C454">D454:F454</f>
        <v>15.514926000000001</v>
      </c>
      <c r="D454">
        <v>15.514926000000001</v>
      </c>
      <c r="E454" s="22"/>
      <c r="F454" s="22"/>
      <c r="G454" s="22"/>
      <c r="I454">
        <v>15.514926000000001</v>
      </c>
      <c r="J454">
        <v>15.514926000000001</v>
      </c>
      <c r="K454">
        <f t="shared" si="2"/>
        <v>0</v>
      </c>
    </row>
    <row r="455" spans="1:11">
      <c r="A455" s="21" t="s">
        <v>182</v>
      </c>
      <c r="B455" s="21" t="s">
        <v>181</v>
      </c>
      <c r="C455">
        <f t="array" ref="C455">D455:F455</f>
        <v>1.3139073000000001E-3</v>
      </c>
      <c r="D455">
        <v>1.3139073000000001E-3</v>
      </c>
      <c r="E455" s="22"/>
      <c r="F455" s="22"/>
      <c r="G455" s="22"/>
      <c r="I455">
        <v>1.3139072999999999E-3</v>
      </c>
      <c r="J455">
        <v>1.3139072999999999E-3</v>
      </c>
      <c r="K455">
        <f t="shared" si="2"/>
        <v>0</v>
      </c>
    </row>
    <row r="456" spans="1:11">
      <c r="A456" s="21" t="s">
        <v>180</v>
      </c>
      <c r="B456" s="21" t="s">
        <v>179</v>
      </c>
      <c r="C456">
        <f t="array" ref="C456">D456:F456</f>
        <v>1.4585254000000001E-2</v>
      </c>
      <c r="D456">
        <v>1.4585254000000001E-2</v>
      </c>
      <c r="E456" s="22"/>
      <c r="F456" s="22"/>
      <c r="G456" s="22"/>
      <c r="I456">
        <v>1.4585254000000002E-2</v>
      </c>
      <c r="J456">
        <v>1.4585254000000001E-2</v>
      </c>
      <c r="K456">
        <f t="shared" si="2"/>
        <v>0</v>
      </c>
    </row>
    <row r="457" spans="1:11">
      <c r="A457" s="21" t="s">
        <v>178</v>
      </c>
      <c r="B457" s="21" t="s">
        <v>177</v>
      </c>
      <c r="C457">
        <f t="array" ref="C457">D457:F457</f>
        <v>17.750843</v>
      </c>
      <c r="D457">
        <v>17.750843</v>
      </c>
      <c r="E457" s="22"/>
      <c r="F457" s="22"/>
      <c r="G457" s="22"/>
      <c r="I457">
        <v>17.750843</v>
      </c>
      <c r="J457">
        <v>17.750843</v>
      </c>
      <c r="K457">
        <f t="shared" si="2"/>
        <v>0</v>
      </c>
    </row>
    <row r="458" spans="1:11">
      <c r="A458" s="21" t="s">
        <v>176</v>
      </c>
      <c r="B458" s="21" t="s">
        <v>175</v>
      </c>
      <c r="C458">
        <f t="array" ref="C458">D458:F458</f>
        <v>5.1087674000000003E-3</v>
      </c>
      <c r="D458">
        <v>5.1087674000000003E-3</v>
      </c>
      <c r="E458" s="22"/>
      <c r="F458" s="22"/>
      <c r="G458" s="22"/>
      <c r="I458">
        <v>5.1087674000000003E-3</v>
      </c>
      <c r="J458">
        <v>5.1087674000000003E-3</v>
      </c>
      <c r="K458">
        <f t="shared" si="2"/>
        <v>0</v>
      </c>
    </row>
    <row r="459" spans="1:11">
      <c r="A459" s="21" t="s">
        <v>174</v>
      </c>
      <c r="B459" s="21" t="s">
        <v>173</v>
      </c>
      <c r="C459">
        <f t="array" ref="C459">D459:F459</f>
        <v>6.7001773400000006E-2</v>
      </c>
      <c r="D459">
        <v>6.7001773400000006E-2</v>
      </c>
      <c r="E459" s="22"/>
      <c r="F459" s="22"/>
      <c r="G459" s="22"/>
      <c r="I459">
        <v>6.7001773400000006E-2</v>
      </c>
      <c r="J459">
        <v>6.7001773400000006E-2</v>
      </c>
      <c r="K459">
        <f t="shared" si="2"/>
        <v>0</v>
      </c>
    </row>
    <row r="460" spans="1:11">
      <c r="A460" s="21" t="s">
        <v>172</v>
      </c>
      <c r="B460" s="21" t="s">
        <v>171</v>
      </c>
      <c r="C460">
        <f t="array" ref="C460">D460:F460</f>
        <v>424.76517702792688</v>
      </c>
      <c r="D460">
        <v>424.76517702792688</v>
      </c>
      <c r="E460" s="22"/>
      <c r="F460" s="22"/>
      <c r="G460" s="22"/>
      <c r="I460">
        <v>424.76514626168739</v>
      </c>
      <c r="J460">
        <v>424.7651462617165</v>
      </c>
      <c r="K460">
        <f t="shared" si="2"/>
        <v>-2.9103830456733704E-11</v>
      </c>
    </row>
    <row r="461" spans="1:11">
      <c r="A461" s="21" t="s">
        <v>170</v>
      </c>
      <c r="B461" s="21" t="s">
        <v>169</v>
      </c>
      <c r="C461">
        <f t="array" ref="C461">D461:F461</f>
        <v>46.803007999999998</v>
      </c>
      <c r="D461">
        <v>46.803007999999998</v>
      </c>
      <c r="E461" s="22"/>
      <c r="F461" s="22"/>
      <c r="G461" s="22"/>
      <c r="I461">
        <v>46.803007999999998</v>
      </c>
      <c r="J461">
        <v>46.803007999999998</v>
      </c>
      <c r="K461">
        <f t="shared" si="2"/>
        <v>0</v>
      </c>
    </row>
    <row r="462" spans="1:11">
      <c r="A462" s="21" t="s">
        <v>168</v>
      </c>
      <c r="B462" s="21" t="s">
        <v>167</v>
      </c>
      <c r="C462">
        <f t="array" ref="C462">D462:F462</f>
        <v>15.514926000000001</v>
      </c>
      <c r="D462">
        <v>15.514926000000001</v>
      </c>
      <c r="E462" s="22"/>
      <c r="F462" s="22"/>
      <c r="G462" s="22"/>
      <c r="I462">
        <v>15.514926000000001</v>
      </c>
      <c r="J462">
        <v>15.514926000000001</v>
      </c>
      <c r="K462">
        <f t="shared" si="2"/>
        <v>0</v>
      </c>
    </row>
    <row r="463" spans="1:11">
      <c r="A463" s="21" t="s">
        <v>166</v>
      </c>
      <c r="B463" s="21" t="s">
        <v>165</v>
      </c>
      <c r="C463">
        <f t="array" ref="C463">D463:F463</f>
        <v>1.3139073000000003E-3</v>
      </c>
      <c r="D463">
        <v>1.3139073000000003E-3</v>
      </c>
      <c r="E463" s="22"/>
      <c r="F463" s="22"/>
      <c r="G463" s="22"/>
      <c r="I463">
        <v>1.3139072999999999E-3</v>
      </c>
      <c r="J463">
        <v>1.3139072999999999E-3</v>
      </c>
      <c r="K463">
        <f t="shared" si="2"/>
        <v>0</v>
      </c>
    </row>
    <row r="464" spans="1:11">
      <c r="A464" s="21" t="s">
        <v>164</v>
      </c>
      <c r="B464" s="21" t="s">
        <v>163</v>
      </c>
      <c r="C464">
        <f t="array" ref="C464">D464:F464</f>
        <v>1.4585254000000001E-2</v>
      </c>
      <c r="D464">
        <v>1.4585254000000001E-2</v>
      </c>
      <c r="E464" s="22"/>
      <c r="F464" s="22"/>
      <c r="G464" s="22"/>
      <c r="I464">
        <v>1.4585254000000004E-2</v>
      </c>
      <c r="J464">
        <v>1.4585254000000001E-2</v>
      </c>
      <c r="K464">
        <f t="shared" si="2"/>
        <v>0</v>
      </c>
    </row>
    <row r="465" spans="1:11">
      <c r="A465" s="21" t="s">
        <v>162</v>
      </c>
      <c r="B465" s="21" t="s">
        <v>161</v>
      </c>
      <c r="C465">
        <f t="array" ref="C465">D465:F465</f>
        <v>17.750843</v>
      </c>
      <c r="D465">
        <v>17.750843</v>
      </c>
      <c r="E465" s="22"/>
      <c r="F465" s="22"/>
      <c r="G465" s="22"/>
      <c r="I465">
        <v>17.750843</v>
      </c>
      <c r="J465">
        <v>17.750843</v>
      </c>
      <c r="K465">
        <f t="shared" si="2"/>
        <v>0</v>
      </c>
    </row>
    <row r="466" spans="1:11">
      <c r="A466" s="21" t="s">
        <v>160</v>
      </c>
      <c r="B466" s="21" t="s">
        <v>159</v>
      </c>
      <c r="C466">
        <f t="array" ref="C466">D466:F466</f>
        <v>5.1087674000000003E-3</v>
      </c>
      <c r="D466">
        <v>5.1087674000000003E-3</v>
      </c>
      <c r="E466" s="22"/>
      <c r="F466" s="22"/>
      <c r="G466" s="22"/>
      <c r="I466">
        <v>5.1087674000000003E-3</v>
      </c>
      <c r="J466">
        <v>5.1087674000000003E-3</v>
      </c>
      <c r="K466">
        <f t="shared" si="2"/>
        <v>0</v>
      </c>
    </row>
    <row r="467" spans="1:11">
      <c r="A467" s="21" t="s">
        <v>158</v>
      </c>
      <c r="B467" s="21" t="s">
        <v>157</v>
      </c>
      <c r="C467">
        <f t="array" ref="C467">D467:F467</f>
        <v>6.7001773400000006E-2</v>
      </c>
      <c r="D467">
        <v>6.7001773400000006E-2</v>
      </c>
      <c r="E467" s="22"/>
      <c r="F467" s="22"/>
      <c r="G467" s="22"/>
      <c r="I467">
        <v>6.7001773400000006E-2</v>
      </c>
      <c r="J467">
        <v>6.7001773400000006E-2</v>
      </c>
      <c r="K467">
        <f t="shared" si="2"/>
        <v>0</v>
      </c>
    </row>
    <row r="468" spans="1:11">
      <c r="A468" s="21" t="s">
        <v>156</v>
      </c>
      <c r="B468" s="21" t="s">
        <v>155</v>
      </c>
      <c r="C468">
        <f t="array" ref="C468">D468:F468</f>
        <v>11852.820152057422</v>
      </c>
      <c r="D468">
        <v>11852.820152057422</v>
      </c>
      <c r="E468" s="27">
        <v>237.30541679999999</v>
      </c>
      <c r="F468" s="27">
        <v>11865.270839999999</v>
      </c>
      <c r="G468" s="22"/>
      <c r="I468">
        <v>10055.882816396079</v>
      </c>
      <c r="J468">
        <v>11864.834198331584</v>
      </c>
      <c r="K468" s="3">
        <f t="shared" si="2"/>
        <v>-1808.9513819355052</v>
      </c>
    </row>
    <row r="469" spans="1:11">
      <c r="A469" s="21" t="s">
        <v>154</v>
      </c>
      <c r="B469" s="21" t="s">
        <v>153</v>
      </c>
      <c r="C469">
        <f t="array" ref="C469">D469:F469</f>
        <v>1.3750583404498538</v>
      </c>
      <c r="D469">
        <v>1.3750583404498538</v>
      </c>
      <c r="E469" s="22"/>
      <c r="F469" s="22"/>
      <c r="G469" s="22"/>
      <c r="I469">
        <v>1.4055753589331399</v>
      </c>
      <c r="J469">
        <v>1.3741001423680592</v>
      </c>
      <c r="K469">
        <f t="shared" si="2"/>
        <v>3.1475216565080677E-2</v>
      </c>
    </row>
    <row r="470" spans="1:11">
      <c r="A470" s="21" t="s">
        <v>152</v>
      </c>
      <c r="B470" s="21" t="s">
        <v>151</v>
      </c>
      <c r="C470">
        <f t="array" ref="C470">D470:F470</f>
        <v>6.4257315502358994</v>
      </c>
      <c r="D470">
        <v>6.4257315502358994</v>
      </c>
      <c r="E470" s="22"/>
      <c r="F470" s="22"/>
      <c r="G470" s="22"/>
      <c r="I470">
        <v>6.4364081934902453</v>
      </c>
      <c r="J470">
        <v>6.4281777844202965</v>
      </c>
      <c r="K470">
        <f t="shared" si="2"/>
        <v>8.2304090699487631E-3</v>
      </c>
    </row>
    <row r="471" spans="1:11">
      <c r="A471" s="21" t="s">
        <v>150</v>
      </c>
      <c r="B471" s="21" t="s">
        <v>149</v>
      </c>
      <c r="C471">
        <f t="array" ref="C471">D471:F471</f>
        <v>4.3888792317125738E-5</v>
      </c>
      <c r="D471">
        <v>4.3888792317125738E-5</v>
      </c>
      <c r="E471" s="22"/>
      <c r="F471" s="22"/>
      <c r="G471" s="22"/>
      <c r="I471">
        <v>4.5177645864507822E-5</v>
      </c>
      <c r="J471">
        <v>4.3922623579689801E-5</v>
      </c>
      <c r="K471">
        <f t="shared" si="2"/>
        <v>1.255022284818021E-6</v>
      </c>
    </row>
    <row r="472" spans="1:11">
      <c r="A472" s="21" t="s">
        <v>148</v>
      </c>
      <c r="B472" s="21" t="s">
        <v>147</v>
      </c>
      <c r="C472">
        <f t="array" ref="C472">D472:F472</f>
        <v>5.7858783592502905E-4</v>
      </c>
      <c r="D472">
        <v>5.7858783592502905E-4</v>
      </c>
      <c r="E472" s="22"/>
      <c r="F472" s="22"/>
      <c r="G472" s="22"/>
      <c r="I472">
        <v>6.0769031768032153E-4</v>
      </c>
      <c r="J472">
        <v>5.7848384266922679E-4</v>
      </c>
      <c r="K472">
        <f t="shared" si="2"/>
        <v>2.920647501109474E-5</v>
      </c>
    </row>
    <row r="473" spans="1:11">
      <c r="A473" s="21" t="s">
        <v>146</v>
      </c>
      <c r="B473" s="21" t="s">
        <v>145</v>
      </c>
      <c r="C473">
        <f t="array" ref="C473">D473:F473</f>
        <v>6.3003065820851178</v>
      </c>
      <c r="D473">
        <v>6.3003065820851178</v>
      </c>
      <c r="E473" s="22"/>
      <c r="F473" s="22"/>
      <c r="G473" s="22"/>
      <c r="I473">
        <v>6.4422882971271402</v>
      </c>
      <c r="J473">
        <v>6.3001288963355968</v>
      </c>
      <c r="K473">
        <f t="shared" si="2"/>
        <v>0.14215940079154343</v>
      </c>
    </row>
    <row r="474" spans="1:11">
      <c r="A474" s="21" t="s">
        <v>144</v>
      </c>
      <c r="B474" s="21" t="s">
        <v>143</v>
      </c>
      <c r="C474">
        <f t="array" ref="C474">D474:F474</f>
        <v>5.9420924747903177E-3</v>
      </c>
      <c r="D474">
        <v>5.9420924747903177E-3</v>
      </c>
      <c r="E474" s="22"/>
      <c r="F474" s="22"/>
      <c r="G474" s="22"/>
      <c r="I474">
        <v>6.2081379519477765E-3</v>
      </c>
      <c r="J474">
        <v>5.9419277922402192E-3</v>
      </c>
      <c r="K474">
        <f t="shared" si="2"/>
        <v>2.6621015970755731E-4</v>
      </c>
    </row>
    <row r="475" spans="1:11">
      <c r="A475" s="21" t="s">
        <v>142</v>
      </c>
      <c r="B475" s="21" t="s">
        <v>141</v>
      </c>
      <c r="C475">
        <f t="array" ref="C475">D475:F475</f>
        <v>4.5727073408140639E-2</v>
      </c>
      <c r="D475">
        <v>4.5727073408140639E-2</v>
      </c>
      <c r="E475" s="22"/>
      <c r="F475" s="22"/>
      <c r="G475" s="22"/>
      <c r="I475">
        <v>4.808188178480402E-2</v>
      </c>
      <c r="J475">
        <v>4.591603010647944E-2</v>
      </c>
      <c r="K475">
        <f t="shared" si="2"/>
        <v>2.1658516783245804E-3</v>
      </c>
    </row>
    <row r="476" spans="1:11">
      <c r="A476" s="21" t="s">
        <v>140</v>
      </c>
      <c r="B476" s="21" t="s">
        <v>139</v>
      </c>
      <c r="C476">
        <f t="array" ref="C476">D476:F476</f>
        <v>0</v>
      </c>
      <c r="D476">
        <v>0</v>
      </c>
      <c r="E476" s="22">
        <v>0</v>
      </c>
      <c r="F476" s="22">
        <v>0</v>
      </c>
      <c r="G476" s="22"/>
      <c r="I476">
        <v>0</v>
      </c>
      <c r="J476">
        <v>0</v>
      </c>
      <c r="K476">
        <f t="shared" si="2"/>
        <v>0</v>
      </c>
    </row>
    <row r="477" spans="1:11">
      <c r="A477" s="21" t="s">
        <v>138</v>
      </c>
      <c r="B477" s="21" t="s">
        <v>137</v>
      </c>
      <c r="C477">
        <f t="array" ref="C477">D477:F477</f>
        <v>46.803007999999998</v>
      </c>
      <c r="D477">
        <v>46.803007999999998</v>
      </c>
      <c r="E477" s="22"/>
      <c r="F477" s="22"/>
      <c r="G477" s="22"/>
      <c r="I477">
        <v>46.803007999999998</v>
      </c>
      <c r="J477">
        <v>46.803007999999998</v>
      </c>
      <c r="K477">
        <f t="shared" si="2"/>
        <v>0</v>
      </c>
    </row>
    <row r="478" spans="1:11">
      <c r="A478" s="21" t="s">
        <v>136</v>
      </c>
      <c r="B478" s="21" t="s">
        <v>135</v>
      </c>
      <c r="C478">
        <f t="array" ref="C478">D478:F478</f>
        <v>15.514926000000001</v>
      </c>
      <c r="D478">
        <v>15.514926000000001</v>
      </c>
      <c r="E478" s="22"/>
      <c r="F478" s="22"/>
      <c r="G478" s="22"/>
      <c r="I478">
        <v>15.514926000000001</v>
      </c>
      <c r="J478">
        <v>15.514926000000001</v>
      </c>
      <c r="K478">
        <f t="shared" si="2"/>
        <v>0</v>
      </c>
    </row>
    <row r="479" spans="1:11">
      <c r="A479" s="21" t="s">
        <v>134</v>
      </c>
      <c r="B479" s="21" t="s">
        <v>133</v>
      </c>
      <c r="C479">
        <f t="array" ref="C479">D479:F479</f>
        <v>1.3139073000000001E-3</v>
      </c>
      <c r="D479">
        <v>1.3139073000000001E-3</v>
      </c>
      <c r="E479" s="22"/>
      <c r="F479" s="22"/>
      <c r="G479" s="22"/>
      <c r="I479">
        <v>1.3139072999999999E-3</v>
      </c>
      <c r="J479">
        <v>1.3139072999999999E-3</v>
      </c>
      <c r="K479">
        <f t="shared" si="2"/>
        <v>0</v>
      </c>
    </row>
    <row r="480" spans="1:11">
      <c r="A480" s="21" t="s">
        <v>132</v>
      </c>
      <c r="B480" s="21" t="s">
        <v>131</v>
      </c>
      <c r="C480">
        <f t="array" ref="C480">D480:F480</f>
        <v>1.4585254000000001E-2</v>
      </c>
      <c r="D480">
        <v>1.4585254000000001E-2</v>
      </c>
      <c r="E480" s="22"/>
      <c r="F480" s="22"/>
      <c r="G480" s="22"/>
      <c r="I480">
        <v>1.4585254000000002E-2</v>
      </c>
      <c r="J480">
        <v>1.4585254000000001E-2</v>
      </c>
      <c r="K480">
        <f t="shared" si="2"/>
        <v>0</v>
      </c>
    </row>
    <row r="481" spans="1:11">
      <c r="A481" s="21" t="s">
        <v>130</v>
      </c>
      <c r="B481" s="21" t="s">
        <v>129</v>
      </c>
      <c r="C481">
        <f t="array" ref="C481">D481:F481</f>
        <v>17.750843</v>
      </c>
      <c r="D481">
        <v>17.750843</v>
      </c>
      <c r="E481" s="22"/>
      <c r="F481" s="22"/>
      <c r="G481" s="22"/>
      <c r="I481">
        <v>17.750843</v>
      </c>
      <c r="J481">
        <v>17.750843</v>
      </c>
      <c r="K481">
        <f t="shared" si="2"/>
        <v>0</v>
      </c>
    </row>
    <row r="482" spans="1:11">
      <c r="A482" s="21" t="s">
        <v>128</v>
      </c>
      <c r="B482" s="21" t="s">
        <v>127</v>
      </c>
      <c r="C482">
        <f t="array" ref="C482">D482:F482</f>
        <v>5.1087674000000003E-3</v>
      </c>
      <c r="D482">
        <v>5.1087674000000003E-3</v>
      </c>
      <c r="E482" s="22"/>
      <c r="F482" s="22"/>
      <c r="G482" s="22"/>
      <c r="I482">
        <v>5.1087674000000003E-3</v>
      </c>
      <c r="J482">
        <v>5.1087674000000003E-3</v>
      </c>
      <c r="K482">
        <f t="shared" si="2"/>
        <v>0</v>
      </c>
    </row>
    <row r="483" spans="1:11">
      <c r="A483" s="21" t="s">
        <v>126</v>
      </c>
      <c r="B483" s="21" t="s">
        <v>125</v>
      </c>
      <c r="C483">
        <f t="array" ref="C483">D483:F483</f>
        <v>6.7001773400000006E-2</v>
      </c>
      <c r="D483">
        <v>6.7001773400000006E-2</v>
      </c>
      <c r="E483" s="22"/>
      <c r="F483" s="22"/>
      <c r="G483" s="22"/>
      <c r="I483">
        <v>6.7001773400000006E-2</v>
      </c>
      <c r="J483">
        <v>6.7001773400000006E-2</v>
      </c>
      <c r="K483">
        <f t="shared" si="2"/>
        <v>0</v>
      </c>
    </row>
    <row r="484" spans="1:11">
      <c r="A484" s="21" t="s">
        <v>124</v>
      </c>
      <c r="B484" s="21" t="s">
        <v>123</v>
      </c>
      <c r="C484">
        <f t="array" ref="C484">D484:F484</f>
        <v>11566.656720397461</v>
      </c>
      <c r="D484">
        <v>11566.656720397461</v>
      </c>
      <c r="E484" s="27">
        <v>1156.6656720000001</v>
      </c>
      <c r="F484" s="27">
        <v>11566.656720000001</v>
      </c>
      <c r="G484" s="22"/>
      <c r="I484">
        <v>18475.571863316462</v>
      </c>
      <c r="J484">
        <v>11566.656721162617</v>
      </c>
      <c r="K484" s="3">
        <f t="shared" si="2"/>
        <v>6908.9151421538445</v>
      </c>
    </row>
    <row r="485" spans="1:11">
      <c r="A485" s="21" t="s">
        <v>122</v>
      </c>
      <c r="B485" s="21" t="s">
        <v>121</v>
      </c>
      <c r="C485">
        <f t="array" ref="C485">D485:F485</f>
        <v>0.18751931513718464</v>
      </c>
      <c r="D485">
        <v>0.18751931513718464</v>
      </c>
      <c r="E485" s="22"/>
      <c r="F485" s="22"/>
      <c r="G485" s="22"/>
      <c r="I485">
        <v>0.18712398713335987</v>
      </c>
      <c r="J485">
        <v>0.18753238601532099</v>
      </c>
      <c r="K485">
        <f t="shared" si="2"/>
        <v>-4.0839888196111951E-4</v>
      </c>
    </row>
    <row r="486" spans="1:11">
      <c r="A486" s="21" t="s">
        <v>120</v>
      </c>
      <c r="B486" s="21" t="s">
        <v>119</v>
      </c>
      <c r="C486">
        <f t="array" ref="C486">D486:F486</f>
        <v>6.1904190699192281</v>
      </c>
      <c r="D486">
        <v>6.1904190699192281</v>
      </c>
      <c r="E486" s="22"/>
      <c r="F486" s="22"/>
      <c r="G486" s="22"/>
      <c r="I486">
        <v>6.1877149147046087</v>
      </c>
      <c r="J486">
        <v>6.1932915846467296</v>
      </c>
      <c r="K486">
        <f t="shared" si="2"/>
        <v>-5.5766699421209154E-3</v>
      </c>
    </row>
    <row r="487" spans="1:11">
      <c r="A487" s="21" t="s">
        <v>118</v>
      </c>
      <c r="B487" s="21" t="s">
        <v>117</v>
      </c>
      <c r="C487">
        <f t="array" ref="C487">D487:F487</f>
        <v>1.0384755115720809E-5</v>
      </c>
      <c r="D487">
        <v>1.0384755115720809E-5</v>
      </c>
      <c r="E487" s="22"/>
      <c r="F487" s="22"/>
      <c r="G487" s="22"/>
      <c r="I487">
        <v>1.0592284944087312E-5</v>
      </c>
      <c r="J487">
        <v>1.0383242254259542E-5</v>
      </c>
      <c r="K487">
        <f t="shared" si="2"/>
        <v>2.0904268982776992E-7</v>
      </c>
    </row>
    <row r="488" spans="1:11">
      <c r="A488" s="21" t="s">
        <v>116</v>
      </c>
      <c r="B488" s="21" t="s">
        <v>115</v>
      </c>
      <c r="C488">
        <f t="array" ref="C488">D488:F488</f>
        <v>2.1707454007216696E-4</v>
      </c>
      <c r="D488">
        <v>2.1707454007216696E-4</v>
      </c>
      <c r="E488" s="22"/>
      <c r="F488" s="22"/>
      <c r="G488" s="22"/>
      <c r="I488">
        <v>2.363923334791898E-4</v>
      </c>
      <c r="J488">
        <v>2.1708537674848194E-4</v>
      </c>
      <c r="K488">
        <f t="shared" si="2"/>
        <v>1.9306956730707862E-5</v>
      </c>
    </row>
    <row r="489" spans="1:11">
      <c r="A489" s="21" t="s">
        <v>114</v>
      </c>
      <c r="B489" s="21" t="s">
        <v>113</v>
      </c>
      <c r="C489">
        <f t="array" ref="C489">D489:F489</f>
        <v>6.0178499927475846</v>
      </c>
      <c r="D489">
        <v>6.0178499927475846</v>
      </c>
      <c r="E489" s="22"/>
      <c r="F489" s="22"/>
      <c r="G489" s="22"/>
      <c r="I489">
        <v>6.1121367454987725</v>
      </c>
      <c r="J489">
        <v>6.0177557355065359</v>
      </c>
      <c r="K489">
        <f t="shared" si="2"/>
        <v>9.4381009992236642E-2</v>
      </c>
    </row>
    <row r="490" spans="1:11">
      <c r="A490" s="21" t="s">
        <v>112</v>
      </c>
      <c r="B490" s="21" t="s">
        <v>111</v>
      </c>
      <c r="C490">
        <f t="array" ref="C490">D490:F490</f>
        <v>5.9152320703521107E-3</v>
      </c>
      <c r="D490">
        <v>5.9152320703521107E-3</v>
      </c>
      <c r="E490" s="22"/>
      <c r="F490" s="22"/>
      <c r="G490" s="22"/>
      <c r="I490">
        <v>6.1204347080388863E-3</v>
      </c>
      <c r="J490">
        <v>5.9150933139585585E-3</v>
      </c>
      <c r="K490" s="4">
        <f t="shared" si="2"/>
        <v>2.0534139408032778E-4</v>
      </c>
    </row>
    <row r="491" spans="1:11">
      <c r="A491" s="21" t="s">
        <v>110</v>
      </c>
      <c r="B491" s="21" t="s">
        <v>109</v>
      </c>
      <c r="C491">
        <f t="array" ref="C491">D491:F491</f>
        <v>4.488377964381278E-2</v>
      </c>
      <c r="D491">
        <v>4.488377964381278E-2</v>
      </c>
      <c r="E491" s="22"/>
      <c r="F491" s="22"/>
      <c r="G491" s="22"/>
      <c r="I491">
        <v>4.6700330393956567E-2</v>
      </c>
      <c r="J491">
        <v>4.5060190587953325E-2</v>
      </c>
      <c r="K491" s="4">
        <f t="shared" si="2"/>
        <v>1.6401398060032421E-3</v>
      </c>
    </row>
    <row r="492" spans="1:11">
      <c r="A492" s="21" t="s">
        <v>108</v>
      </c>
      <c r="B492" s="21" t="s">
        <v>107</v>
      </c>
      <c r="C492">
        <f t="array" ref="C492">D492:F492</f>
        <v>2970.3853041917723</v>
      </c>
      <c r="D492">
        <v>2970.3853041917723</v>
      </c>
      <c r="E492" s="22"/>
      <c r="F492" s="22"/>
      <c r="G492" s="22"/>
      <c r="I492">
        <v>-5707.7682366267063</v>
      </c>
      <c r="J492">
        <v>2982.2645239186841</v>
      </c>
      <c r="K492" s="4">
        <f t="shared" si="2"/>
        <v>-8690.0327605453895</v>
      </c>
    </row>
    <row r="493" spans="1:11">
      <c r="A493" s="21" t="s">
        <v>106</v>
      </c>
      <c r="B493" s="21" t="s">
        <v>105</v>
      </c>
      <c r="C493">
        <f t="array" ref="C493">D493:F493</f>
        <v>2980.8458230000001</v>
      </c>
      <c r="D493">
        <v>2980.8458230000001</v>
      </c>
      <c r="E493" s="22">
        <v>0</v>
      </c>
      <c r="F493" s="22">
        <v>2980.8458230000001</v>
      </c>
      <c r="G493" s="22"/>
      <c r="I493">
        <v>2980.8458230000001</v>
      </c>
      <c r="J493">
        <v>2980.8458230000001</v>
      </c>
      <c r="K493" s="4">
        <f t="shared" si="2"/>
        <v>0</v>
      </c>
    </row>
    <row r="494" spans="1:11">
      <c r="A494" s="21" t="s">
        <v>104</v>
      </c>
      <c r="B494" s="21" t="s">
        <v>103</v>
      </c>
      <c r="C494">
        <f t="array" ref="C494">D494:F494</f>
        <v>0.18531118521311699</v>
      </c>
      <c r="D494">
        <v>0.18531118521311699</v>
      </c>
      <c r="E494" s="22"/>
      <c r="F494" s="22"/>
      <c r="G494" s="22"/>
      <c r="I494">
        <v>0.18751524106135034</v>
      </c>
      <c r="J494">
        <v>0.18532684393204668</v>
      </c>
      <c r="K494" s="4">
        <f t="shared" si="2"/>
        <v>2.1883971293036597E-3</v>
      </c>
    </row>
    <row r="495" spans="1:11">
      <c r="A495" s="21" t="s">
        <v>102</v>
      </c>
      <c r="B495" s="21" t="s">
        <v>101</v>
      </c>
      <c r="C495">
        <f t="array" ref="C495">D495:F495</f>
        <v>0.195048</v>
      </c>
      <c r="D495">
        <v>0.195048</v>
      </c>
      <c r="E495" s="22">
        <v>0</v>
      </c>
      <c r="F495" s="22">
        <v>0.195048</v>
      </c>
      <c r="G495" s="22"/>
      <c r="I495">
        <v>0.195048</v>
      </c>
      <c r="J495">
        <v>0.195048</v>
      </c>
      <c r="K495">
        <f t="shared" si="2"/>
        <v>0</v>
      </c>
    </row>
    <row r="496" spans="1:11">
      <c r="A496" s="21" t="s">
        <v>100</v>
      </c>
      <c r="B496" s="21" t="s">
        <v>99</v>
      </c>
      <c r="C496">
        <f t="array" ref="C496">D496:F496</f>
        <v>6.1991807380809787</v>
      </c>
      <c r="D496">
        <v>6.1991807380809787</v>
      </c>
      <c r="E496" s="22"/>
      <c r="F496" s="22"/>
      <c r="G496" s="22"/>
      <c r="I496">
        <v>6.1863913862437228</v>
      </c>
      <c r="J496">
        <v>6.2028993863089186</v>
      </c>
      <c r="K496">
        <f t="shared" si="2"/>
        <v>-1.6508000065195816E-2</v>
      </c>
    </row>
    <row r="497" spans="1:11">
      <c r="A497" s="21" t="s">
        <v>98</v>
      </c>
      <c r="B497" s="21" t="s">
        <v>97</v>
      </c>
      <c r="C497">
        <f t="array" ref="C497">D497:F497</f>
        <v>6.160552</v>
      </c>
      <c r="D497">
        <v>6.160552</v>
      </c>
      <c r="E497" s="22">
        <v>0</v>
      </c>
      <c r="F497" s="22">
        <v>6.160552</v>
      </c>
      <c r="G497" s="22"/>
      <c r="I497">
        <v>6.160552</v>
      </c>
      <c r="J497">
        <v>6.160552</v>
      </c>
      <c r="K497">
        <f t="shared" si="2"/>
        <v>0</v>
      </c>
    </row>
    <row r="498" spans="1:11">
      <c r="A498" s="21" t="s">
        <v>96</v>
      </c>
      <c r="B498" s="21" t="s">
        <v>95</v>
      </c>
      <c r="C498">
        <f t="array" ref="C498">D498:F498</f>
        <v>1.0422228728033129E-5</v>
      </c>
      <c r="D498">
        <v>1.0422228728033129E-5</v>
      </c>
      <c r="E498" s="22"/>
      <c r="F498" s="22"/>
      <c r="G498" s="22"/>
      <c r="I498">
        <v>1.0575780138783672E-5</v>
      </c>
      <c r="J498">
        <v>1.0420290809412023E-5</v>
      </c>
      <c r="K498">
        <f t="shared" si="2"/>
        <v>1.554893293716486E-7</v>
      </c>
    </row>
    <row r="499" spans="1:11">
      <c r="A499" s="21" t="s">
        <v>94</v>
      </c>
      <c r="B499" s="21" t="s">
        <v>93</v>
      </c>
      <c r="C499">
        <f t="array" ref="C499">D499:F499</f>
        <v>1.0257E-5</v>
      </c>
      <c r="D499">
        <v>1.0257E-5</v>
      </c>
      <c r="E499" s="22">
        <v>0</v>
      </c>
      <c r="F499" s="22">
        <v>1.0257E-5</v>
      </c>
      <c r="G499" s="22"/>
      <c r="I499">
        <v>1.0257E-5</v>
      </c>
      <c r="J499">
        <v>1.0257E-5</v>
      </c>
      <c r="K499">
        <f t="shared" si="2"/>
        <v>0</v>
      </c>
    </row>
    <row r="500" spans="1:11">
      <c r="A500" s="21" t="s">
        <v>92</v>
      </c>
      <c r="B500" s="21" t="s">
        <v>91</v>
      </c>
      <c r="C500">
        <f t="array" ref="C500">D500:F500</f>
        <v>2.1911170463235572E-4</v>
      </c>
      <c r="D500">
        <v>2.1911170463235572E-4</v>
      </c>
      <c r="E500" s="22"/>
      <c r="F500" s="22"/>
      <c r="G500" s="22"/>
      <c r="I500">
        <v>2.3509707886079059E-4</v>
      </c>
      <c r="J500">
        <v>2.1912677497937968E-4</v>
      </c>
      <c r="K500">
        <f t="shared" si="2"/>
        <v>1.5970303881410918E-5</v>
      </c>
    </row>
    <row r="501" spans="1:11">
      <c r="A501" s="21" t="s">
        <v>90</v>
      </c>
      <c r="B501" s="21" t="s">
        <v>89</v>
      </c>
      <c r="C501">
        <f t="array" ref="C501">D501:F501</f>
        <v>2.1012909999999999E-4</v>
      </c>
      <c r="D501">
        <v>2.1012909999999999E-4</v>
      </c>
      <c r="E501" s="22">
        <v>0</v>
      </c>
      <c r="F501" s="22">
        <v>2.1012909999999999E-4</v>
      </c>
      <c r="G501" s="22"/>
      <c r="I501">
        <v>2.1012909999999999E-4</v>
      </c>
      <c r="J501">
        <v>2.1012909999999999E-4</v>
      </c>
      <c r="K501">
        <f t="shared" si="2"/>
        <v>0</v>
      </c>
    </row>
    <row r="502" spans="1:11">
      <c r="A502" s="21" t="s">
        <v>88</v>
      </c>
      <c r="B502" s="21" t="s">
        <v>87</v>
      </c>
      <c r="C502">
        <f t="array" ref="C502">D502:F502</f>
        <v>5.9997236922551656</v>
      </c>
      <c r="D502">
        <v>5.9997236922551656</v>
      </c>
      <c r="E502" s="22"/>
      <c r="F502" s="22"/>
      <c r="G502" s="22"/>
      <c r="I502">
        <v>6.1105310726935231</v>
      </c>
      <c r="J502">
        <v>5.9995906954567548</v>
      </c>
      <c r="K502">
        <f t="shared" si="2"/>
        <v>0.11094037723676831</v>
      </c>
    </row>
    <row r="503" spans="1:11">
      <c r="A503" s="21" t="s">
        <v>86</v>
      </c>
      <c r="B503" s="21" t="s">
        <v>85</v>
      </c>
      <c r="C503">
        <f t="array" ref="C503">D503:F503</f>
        <v>6.0796549999999998</v>
      </c>
      <c r="D503">
        <v>6.0796549999999998</v>
      </c>
      <c r="E503" s="22">
        <v>0</v>
      </c>
      <c r="F503" s="22">
        <v>6.0796549999999998</v>
      </c>
      <c r="G503" s="22"/>
      <c r="I503">
        <v>6.0796549999999998</v>
      </c>
      <c r="J503">
        <v>6.0796549999999998</v>
      </c>
      <c r="K503">
        <f t="shared" si="2"/>
        <v>0</v>
      </c>
    </row>
    <row r="504" spans="1:11">
      <c r="A504" s="21" t="s">
        <v>84</v>
      </c>
      <c r="B504" s="21" t="s">
        <v>83</v>
      </c>
      <c r="C504">
        <f t="array" ref="C504">D504:F504</f>
        <v>5.9387532534014272E-3</v>
      </c>
      <c r="D504">
        <v>5.9387532534014272E-3</v>
      </c>
      <c r="E504" s="22"/>
      <c r="F504" s="22"/>
      <c r="G504" s="22"/>
      <c r="I504">
        <v>6.1063569092137202E-3</v>
      </c>
      <c r="J504">
        <v>5.9385852505496363E-3</v>
      </c>
      <c r="K504">
        <f t="shared" si="2"/>
        <v>1.6777165866408393E-4</v>
      </c>
    </row>
    <row r="505" spans="1:11">
      <c r="A505" s="21" t="s">
        <v>82</v>
      </c>
      <c r="B505" s="21" t="s">
        <v>81</v>
      </c>
      <c r="C505">
        <f t="array" ref="C505">D505:F505</f>
        <v>5.8350421E-3</v>
      </c>
      <c r="D505">
        <v>5.8350421E-3</v>
      </c>
      <c r="E505" s="22">
        <v>0</v>
      </c>
      <c r="F505" s="22">
        <v>5.8350421E-3</v>
      </c>
      <c r="G505" s="22"/>
      <c r="I505">
        <v>5.8350421E-3</v>
      </c>
      <c r="J505">
        <v>5.8350421E-3</v>
      </c>
      <c r="K505">
        <f t="shared" si="2"/>
        <v>0</v>
      </c>
    </row>
    <row r="506" spans="1:11">
      <c r="A506" s="21" t="s">
        <v>80</v>
      </c>
      <c r="B506" s="21" t="s">
        <v>79</v>
      </c>
      <c r="C506">
        <f t="array" ref="C506">D506:F506</f>
        <v>4.5039067583107349E-2</v>
      </c>
      <c r="D506">
        <v>4.5039067583107349E-2</v>
      </c>
      <c r="E506" s="22"/>
      <c r="F506" s="22"/>
      <c r="G506" s="22"/>
      <c r="I506">
        <v>4.6584611812607424E-2</v>
      </c>
      <c r="J506">
        <v>4.5267321966256283E-2</v>
      </c>
      <c r="K506">
        <f t="shared" si="2"/>
        <v>1.3172898463511412E-3</v>
      </c>
    </row>
    <row r="507" spans="1:11">
      <c r="A507" s="21" t="s">
        <v>78</v>
      </c>
      <c r="B507" s="21" t="s">
        <v>77</v>
      </c>
      <c r="C507">
        <f t="array" ref="C507">D507:F507</f>
        <v>4.4354368900000003E-2</v>
      </c>
      <c r="D507">
        <v>4.4354368900000003E-2</v>
      </c>
      <c r="E507" s="22">
        <v>0</v>
      </c>
      <c r="F507" s="22">
        <v>4.4354368900000003E-2</v>
      </c>
      <c r="G507" s="22"/>
      <c r="I507">
        <v>4.4354368900000003E-2</v>
      </c>
      <c r="J507">
        <v>4.4354368900000003E-2</v>
      </c>
      <c r="K507">
        <f t="shared" si="2"/>
        <v>0</v>
      </c>
    </row>
    <row r="508" spans="1:11">
      <c r="A508" s="21"/>
      <c r="B508" s="21"/>
    </row>
    <row r="509" spans="1:11">
      <c r="A509" s="21" t="s">
        <v>76</v>
      </c>
    </row>
    <row r="510" spans="1:11">
      <c r="A510" s="21" t="s">
        <v>75</v>
      </c>
      <c r="B510" s="21" t="s">
        <v>74</v>
      </c>
      <c r="C510">
        <f t="array" ref="C510">D510:F510</f>
        <v>0</v>
      </c>
      <c r="D510">
        <v>0</v>
      </c>
    </row>
    <row r="511" spans="1:11">
      <c r="A511" s="21" t="s">
        <v>73</v>
      </c>
      <c r="B511" s="21" t="s">
        <v>72</v>
      </c>
      <c r="C511">
        <f t="array" ref="C511">D511:F511</f>
        <v>0</v>
      </c>
      <c r="D511">
        <v>0</v>
      </c>
    </row>
    <row r="512" spans="1:11">
      <c r="A512" s="21" t="s">
        <v>71</v>
      </c>
      <c r="B512" s="21" t="s">
        <v>70</v>
      </c>
      <c r="C512">
        <f t="array" ref="C512">D512:F512</f>
        <v>0</v>
      </c>
      <c r="D512">
        <v>0</v>
      </c>
    </row>
    <row r="513" spans="1:4">
      <c r="A513" s="21" t="s">
        <v>69</v>
      </c>
      <c r="B513" s="21" t="s">
        <v>68</v>
      </c>
      <c r="C513">
        <f t="array" ref="C513">D513:F513</f>
        <v>0</v>
      </c>
      <c r="D513">
        <v>0</v>
      </c>
    </row>
    <row r="514" spans="1:4">
      <c r="A514" s="21" t="s">
        <v>67</v>
      </c>
      <c r="B514" s="21" t="s">
        <v>66</v>
      </c>
      <c r="C514">
        <f t="array" ref="C514">D514:F514</f>
        <v>0</v>
      </c>
      <c r="D514">
        <v>0</v>
      </c>
    </row>
    <row r="515" spans="1:4">
      <c r="A515" s="21" t="s">
        <v>65</v>
      </c>
      <c r="B515" s="21" t="s">
        <v>64</v>
      </c>
      <c r="C515">
        <f t="array" ref="C515">D515:F515</f>
        <v>0</v>
      </c>
      <c r="D515">
        <v>0</v>
      </c>
    </row>
    <row r="516" spans="1:4">
      <c r="A516" s="21" t="s">
        <v>63</v>
      </c>
      <c r="B516" s="21" t="s">
        <v>62</v>
      </c>
      <c r="C516">
        <f t="array" ref="C516">D516:F516</f>
        <v>0</v>
      </c>
      <c r="D516">
        <v>0</v>
      </c>
    </row>
  </sheetData>
  <pageMargins left="0.7" right="0.7" top="0.75" bottom="0.75" header="0.3" footer="0.3"/>
  <customProperties>
    <customPr name="DVSECTIONID" r:id="rId1"/>
  </customPropertie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Q45"/>
  <sheetViews>
    <sheetView workbookViewId="0">
      <selection activeCell="I6" sqref="I6"/>
    </sheetView>
  </sheetViews>
  <sheetFormatPr defaultRowHeight="15"/>
  <cols>
    <col min="1" max="1" width="1.28515625" customWidth="1"/>
    <col min="2" max="2" width="12" customWidth="1"/>
    <col min="3" max="3" width="10.7109375" customWidth="1"/>
    <col min="4" max="4" width="7.28515625" customWidth="1"/>
    <col min="5" max="5" width="15.85546875" customWidth="1"/>
    <col min="6" max="6" width="13.5703125" customWidth="1"/>
    <col min="9" max="9" width="16.42578125" customWidth="1"/>
    <col min="10" max="10" width="8.85546875" customWidth="1"/>
    <col min="11" max="11" width="10.42578125" customWidth="1"/>
    <col min="12" max="12" width="8.140625" customWidth="1"/>
    <col min="13" max="13" width="12" bestFit="1" customWidth="1"/>
    <col min="14" max="14" width="10.5703125" customWidth="1"/>
    <col min="17" max="17" width="12" bestFit="1" customWidth="1"/>
  </cols>
  <sheetData>
    <row r="1" spans="1:17" ht="6" customHeight="1">
      <c r="A1" s="5"/>
    </row>
    <row r="2" spans="1:17" ht="18.75">
      <c r="B2" s="65" t="s">
        <v>1071</v>
      </c>
      <c r="C2" s="66"/>
      <c r="D2" s="66"/>
      <c r="E2" s="66"/>
      <c r="F2" s="67"/>
      <c r="H2" s="65" t="s">
        <v>1072</v>
      </c>
      <c r="I2" s="66"/>
      <c r="J2" s="66"/>
      <c r="K2" s="66"/>
      <c r="L2" s="67"/>
    </row>
    <row r="3" spans="1:17" s="5" customFormat="1">
      <c r="B3" s="28" t="s">
        <v>13</v>
      </c>
      <c r="C3" s="28" t="s">
        <v>21</v>
      </c>
      <c r="D3" s="28" t="s">
        <v>20</v>
      </c>
      <c r="E3" s="28" t="s">
        <v>22</v>
      </c>
      <c r="F3" s="28" t="s">
        <v>23</v>
      </c>
      <c r="H3" s="5" t="s">
        <v>24</v>
      </c>
      <c r="I3" s="5" t="s">
        <v>28</v>
      </c>
      <c r="J3" s="28" t="s">
        <v>25</v>
      </c>
      <c r="K3" s="28" t="s">
        <v>26</v>
      </c>
      <c r="L3" s="28" t="s">
        <v>27</v>
      </c>
    </row>
    <row r="4" spans="1:17">
      <c r="B4" s="29" t="s">
        <v>31</v>
      </c>
      <c r="C4" s="30">
        <f>abs_btm</f>
        <v>1004.3319428744292</v>
      </c>
      <c r="D4" s="31" t="s">
        <v>0</v>
      </c>
      <c r="E4" s="32">
        <f xml:space="preserve"> fat_oil+fuel_gas</f>
        <v>1004.3319428744294</v>
      </c>
      <c r="F4" s="32" t="b">
        <f>(D_4_Feed=D_4_Product)</f>
        <v>1</v>
      </c>
      <c r="H4" s="30" t="s">
        <v>1</v>
      </c>
      <c r="I4" s="4">
        <f t="array" ref="I4">J4:L4</f>
        <v>94.864248705441156</v>
      </c>
      <c r="J4" s="4">
        <v>94.864248705441156</v>
      </c>
      <c r="K4" s="4"/>
      <c r="L4" s="4"/>
      <c r="Q4" s="3" t="s">
        <v>1</v>
      </c>
    </row>
    <row r="5" spans="1:17">
      <c r="B5" s="29" t="s">
        <v>14</v>
      </c>
      <c r="C5" s="30">
        <f>abs_ovhd</f>
        <v>95.135751294558844</v>
      </c>
      <c r="D5" s="31" t="s">
        <v>0</v>
      </c>
      <c r="E5" s="32">
        <f>(bypass+treat_gas)</f>
        <v>95.135751294558787</v>
      </c>
      <c r="F5" s="32" t="b">
        <f>J_4_Feed=J_4_Product</f>
        <v>1</v>
      </c>
      <c r="H5" s="30" t="s">
        <v>2</v>
      </c>
      <c r="I5" s="4">
        <f t="array" ref="I5">J5:L5</f>
        <v>5.1357512945588031</v>
      </c>
      <c r="J5" s="4">
        <v>5.1357512945588031</v>
      </c>
      <c r="K5" s="4"/>
      <c r="L5" s="4"/>
      <c r="Q5" s="3" t="s">
        <v>2</v>
      </c>
    </row>
    <row r="6" spans="1:17">
      <c r="B6" s="29" t="s">
        <v>15</v>
      </c>
      <c r="C6" s="32">
        <f>fat_oil+condensate</f>
        <v>1504.3319428744344</v>
      </c>
      <c r="D6" s="31" t="s">
        <v>0</v>
      </c>
      <c r="E6" s="32">
        <f>recycle</f>
        <v>1504.3319428744342</v>
      </c>
      <c r="F6" s="32" t="b">
        <f>J_6_Feed=J_6_Product</f>
        <v>1</v>
      </c>
      <c r="H6" s="30" t="s">
        <v>3</v>
      </c>
      <c r="I6" s="4">
        <f t="array" ref="I6">J6:L6</f>
        <v>1004.3319428744292</v>
      </c>
      <c r="J6" s="4">
        <v>1004.3319428744292</v>
      </c>
      <c r="K6" s="4"/>
      <c r="L6" s="4"/>
      <c r="Q6" s="3" t="s">
        <v>3</v>
      </c>
    </row>
    <row r="7" spans="1:17">
      <c r="B7" s="29" t="s">
        <v>16</v>
      </c>
      <c r="C7" s="32">
        <f>recycle</f>
        <v>1504.3319428744342</v>
      </c>
      <c r="D7" s="31" t="s">
        <v>0</v>
      </c>
      <c r="E7" s="32">
        <f>lean_oil+sep_ovhd</f>
        <v>1504.3319428744342</v>
      </c>
      <c r="F7" s="32" t="b">
        <f>T_5_Feed=T_5_Product</f>
        <v>1</v>
      </c>
      <c r="H7" s="30" t="s">
        <v>4</v>
      </c>
      <c r="I7" s="4">
        <f t="array" ref="I7">J7:L7</f>
        <v>1504.3319428744342</v>
      </c>
      <c r="J7" s="4">
        <v>1504.3319428744342</v>
      </c>
      <c r="K7" s="4">
        <v>140</v>
      </c>
      <c r="L7" s="4">
        <v>1400</v>
      </c>
      <c r="Q7" s="3" t="s">
        <v>4</v>
      </c>
    </row>
    <row r="8" spans="1:17">
      <c r="B8" s="29" t="s">
        <v>17</v>
      </c>
      <c r="C8" s="32">
        <f>lean_oil+sour_gas</f>
        <v>1099.4676941689881</v>
      </c>
      <c r="D8" s="31" t="s">
        <v>0</v>
      </c>
      <c r="E8" s="32">
        <f>abs_btm+abs_ovhd</f>
        <v>1099.4676941689879</v>
      </c>
      <c r="F8" s="32" t="b">
        <f>T_3_Feed=T_3_Product</f>
        <v>1</v>
      </c>
      <c r="H8" s="30" t="s">
        <v>5</v>
      </c>
      <c r="I8" s="4">
        <f t="array" ref="I8">J8:L8</f>
        <v>999.46769416898803</v>
      </c>
      <c r="J8" s="4">
        <v>999.46769416898803</v>
      </c>
      <c r="K8" s="4">
        <v>10</v>
      </c>
      <c r="L8" s="4">
        <v>1000</v>
      </c>
      <c r="Q8" s="3" t="s">
        <v>5</v>
      </c>
    </row>
    <row r="9" spans="1:17">
      <c r="B9" s="29" t="s">
        <v>18</v>
      </c>
      <c r="C9" s="32">
        <f>sep_ovhd+bypass</f>
        <v>594.86424870544613</v>
      </c>
      <c r="D9" s="31" t="s">
        <v>0</v>
      </c>
      <c r="E9" s="32">
        <f>acid_gas+condensate</f>
        <v>594.86424870544613</v>
      </c>
      <c r="F9" s="32" t="b">
        <f>D_7_Feed=D_7_Product</f>
        <v>1</v>
      </c>
      <c r="H9" s="30" t="s">
        <v>6</v>
      </c>
      <c r="I9" s="4">
        <f t="array" ref="I9">J9:L9</f>
        <v>95.135751294558844</v>
      </c>
      <c r="J9" s="4">
        <v>95.135751294558844</v>
      </c>
      <c r="K9" s="4"/>
      <c r="L9" s="4"/>
      <c r="Q9" s="3" t="s">
        <v>6</v>
      </c>
    </row>
    <row r="10" spans="1:17">
      <c r="B10" s="29" t="s">
        <v>19</v>
      </c>
      <c r="C10" s="32">
        <f>sour_gas</f>
        <v>100</v>
      </c>
      <c r="D10" s="31" t="s">
        <v>0</v>
      </c>
      <c r="E10" s="30">
        <f xml:space="preserve"> (treat_gas + (acid_gas + fuel_gas))</f>
        <v>99.999999999999872</v>
      </c>
      <c r="F10" s="32" t="b">
        <f>World_Feed=World_Product</f>
        <v>0</v>
      </c>
      <c r="H10" s="30" t="s">
        <v>7</v>
      </c>
      <c r="I10" s="4">
        <f t="array" ref="I10">J10:L10</f>
        <v>1004.3319428744295</v>
      </c>
      <c r="J10" s="4">
        <v>1004.3319428744295</v>
      </c>
      <c r="K10" s="4"/>
      <c r="L10" s="4"/>
      <c r="Q10" s="3" t="s">
        <v>7</v>
      </c>
    </row>
    <row r="11" spans="1:17">
      <c r="B11" s="1"/>
      <c r="H11" s="30" t="s">
        <v>8</v>
      </c>
      <c r="I11" s="4">
        <f t="array" ref="I11">J11:L11</f>
        <v>504.86424870544619</v>
      </c>
      <c r="J11" s="4">
        <v>504.86424870544619</v>
      </c>
      <c r="K11" s="4">
        <v>5.05</v>
      </c>
      <c r="L11" s="4">
        <v>505</v>
      </c>
      <c r="Q11" s="3" t="s">
        <v>8</v>
      </c>
    </row>
    <row r="12" spans="1:17">
      <c r="B12" s="5"/>
      <c r="H12" s="30" t="s">
        <v>9</v>
      </c>
      <c r="I12" s="4">
        <f t="array" ref="I12">J12:L12</f>
        <v>100</v>
      </c>
      <c r="J12" s="4">
        <v>100</v>
      </c>
      <c r="K12" s="4">
        <v>1</v>
      </c>
      <c r="L12" s="4">
        <v>100</v>
      </c>
      <c r="Q12" s="3" t="s">
        <v>9</v>
      </c>
    </row>
    <row r="13" spans="1:17" ht="18.75">
      <c r="B13" s="65" t="s">
        <v>59</v>
      </c>
      <c r="C13" s="67"/>
      <c r="H13" s="30" t="s">
        <v>10</v>
      </c>
      <c r="I13" s="4">
        <f t="array" ref="I13">J13:L13</f>
        <v>-9.0406044028531075E-14</v>
      </c>
      <c r="J13" s="4">
        <v>-9.0406044028531075E-14</v>
      </c>
      <c r="K13" s="4">
        <v>1</v>
      </c>
      <c r="L13" s="4">
        <v>0</v>
      </c>
      <c r="Q13" s="3" t="s">
        <v>10</v>
      </c>
    </row>
    <row r="14" spans="1:17">
      <c r="B14" s="5" t="s">
        <v>1069</v>
      </c>
      <c r="C14">
        <f>MIN($C$18)</f>
        <v>0</v>
      </c>
      <c r="H14" s="30" t="s">
        <v>11</v>
      </c>
      <c r="I14" s="4">
        <f t="array" ref="I14">J14:L14</f>
        <v>500.000000000005</v>
      </c>
      <c r="J14" s="4">
        <v>500.000000000005</v>
      </c>
      <c r="K14" s="4">
        <v>5</v>
      </c>
      <c r="L14" s="4">
        <v>500</v>
      </c>
      <c r="Q14" s="3" t="s">
        <v>11</v>
      </c>
    </row>
    <row r="15" spans="1:17">
      <c r="B15" s="5" t="s">
        <v>46</v>
      </c>
      <c r="C15">
        <f>COUNT($I$4:$I$15)</f>
        <v>12</v>
      </c>
      <c r="H15" s="30" t="s">
        <v>12</v>
      </c>
      <c r="I15" s="4">
        <f t="array" ref="I15">J15:L15</f>
        <v>89.999999999999986</v>
      </c>
      <c r="J15" s="4">
        <v>89.999999999999986</v>
      </c>
      <c r="K15" s="4">
        <v>0.9</v>
      </c>
      <c r="L15" s="4">
        <v>90</v>
      </c>
      <c r="Q15" s="3" t="s">
        <v>12</v>
      </c>
    </row>
    <row r="16" spans="1:17">
      <c r="B16" s="5" t="s">
        <v>29</v>
      </c>
      <c r="C16" t="b">
        <f t="array" ref="C16">$C$4:$C$9=$E$4:$E$9</f>
        <v>1</v>
      </c>
      <c r="D16" s="1"/>
      <c r="L16" s="2"/>
      <c r="Q16" s="4"/>
    </row>
    <row r="17" spans="1:16">
      <c r="B17" s="5" t="s">
        <v>1073</v>
      </c>
      <c r="C17">
        <f>{10,20,0.000001,5,TRUE,TRUE,TRUE,1,1,1,0.0001,FALSE,FALSE}</f>
        <v>10</v>
      </c>
      <c r="P17" s="2"/>
    </row>
    <row r="18" spans="1:16">
      <c r="A18" s="2"/>
      <c r="B18" s="5" t="s">
        <v>1074</v>
      </c>
      <c r="C18" s="2">
        <f>[1]!Gaussian($I$4:$I$15)</f>
        <v>0</v>
      </c>
    </row>
    <row r="19" spans="1:16">
      <c r="A19" s="2"/>
      <c r="C19" s="8"/>
    </row>
    <row r="20" spans="1:16">
      <c r="A20" s="2"/>
      <c r="C20" s="8"/>
    </row>
    <row r="21" spans="1:16">
      <c r="A21" s="2"/>
      <c r="C21" s="8"/>
    </row>
    <row r="22" spans="1:16">
      <c r="A22" s="2"/>
      <c r="C22" s="8"/>
    </row>
    <row r="23" spans="1:16">
      <c r="A23" s="2"/>
      <c r="C23" s="8"/>
    </row>
    <row r="24" spans="1:16">
      <c r="A24" s="2"/>
      <c r="C24" s="8"/>
    </row>
    <row r="25" spans="1:16">
      <c r="A25" s="2"/>
      <c r="C25" s="8"/>
    </row>
    <row r="26" spans="1:16">
      <c r="A26" s="2"/>
      <c r="C26" s="8"/>
    </row>
    <row r="27" spans="1:16">
      <c r="A27" s="2"/>
      <c r="C27" s="8"/>
    </row>
    <row r="28" spans="1:16">
      <c r="A28" s="2"/>
      <c r="C28" s="8"/>
    </row>
    <row r="29" spans="1:16">
      <c r="A29" s="2"/>
      <c r="C29" s="8"/>
    </row>
    <row r="30" spans="1:16">
      <c r="A30" s="2"/>
      <c r="C30" s="8"/>
    </row>
    <row r="31" spans="1:16">
      <c r="A31" s="2"/>
      <c r="C31" s="8"/>
    </row>
    <row r="45" spans="11:11">
      <c r="K45" t="e">
        <f>[1]!Gaussian(K32:K43)</f>
        <v>#VALUE!</v>
      </c>
    </row>
  </sheetData>
  <mergeCells count="3">
    <mergeCell ref="B2:F2"/>
    <mergeCell ref="H2:L2"/>
    <mergeCell ref="B13:C13"/>
  </mergeCells>
  <hyperlinks>
    <hyperlink ref="B4" r:id="rId1" display="mass_balance@D_2"/>
    <hyperlink ref="B5" r:id="rId2" display="mass_balance@J_4"/>
    <hyperlink ref="B6" r:id="rId3" display="mass_balance@J_6"/>
    <hyperlink ref="B7" r:id="rId4" display="mass_balance@T_5"/>
    <hyperlink ref="B8" r:id="rId5" display="mass_balance@T_3"/>
    <hyperlink ref="B9" r:id="rId6" display="mass_balance@D_7"/>
    <hyperlink ref="B10" r:id="rId7" display="mass_balance@world"/>
  </hyperlinks>
  <pageMargins left="0.7" right="0.7" top="0.75" bottom="0.75" header="0.3" footer="0.3"/>
  <pageSetup orientation="portrait" r:id="rId8"/>
  <drawing r:id="rId9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0"/>
  <sheetViews>
    <sheetView workbookViewId="0">
      <selection activeCell="H36" sqref="H36"/>
    </sheetView>
  </sheetViews>
  <sheetFormatPr defaultRowHeight="15"/>
  <cols>
    <col min="2" max="2" width="6.140625" customWidth="1"/>
    <col min="3" max="3" width="11.5703125" customWidth="1"/>
    <col min="4" max="4" width="8.5703125" customWidth="1"/>
    <col min="5" max="5" width="12.85546875" customWidth="1"/>
    <col min="13" max="13" width="5" customWidth="1"/>
    <col min="14" max="15" width="11.7109375" customWidth="1"/>
  </cols>
  <sheetData>
    <row r="1" spans="1:15" ht="18.75">
      <c r="A1" s="33"/>
      <c r="B1" s="65" t="s">
        <v>1071</v>
      </c>
      <c r="C1" s="66"/>
      <c r="D1" s="66"/>
      <c r="E1" s="66"/>
      <c r="F1" s="67"/>
      <c r="H1" s="65" t="s">
        <v>1072</v>
      </c>
      <c r="I1" s="66"/>
      <c r="J1" s="66"/>
      <c r="K1" s="66"/>
      <c r="L1" s="67"/>
      <c r="M1" s="33"/>
      <c r="N1" s="65" t="s">
        <v>59</v>
      </c>
      <c r="O1" s="67"/>
    </row>
    <row r="2" spans="1:15">
      <c r="A2" s="33"/>
      <c r="B2" s="28" t="s">
        <v>13</v>
      </c>
      <c r="C2" s="28" t="s">
        <v>21</v>
      </c>
      <c r="D2" s="28" t="s">
        <v>20</v>
      </c>
      <c r="E2" s="28" t="s">
        <v>22</v>
      </c>
      <c r="F2" s="28" t="s">
        <v>23</v>
      </c>
      <c r="G2" s="5"/>
      <c r="H2" s="5" t="s">
        <v>24</v>
      </c>
      <c r="I2" s="5" t="s">
        <v>28</v>
      </c>
      <c r="J2" s="28" t="s">
        <v>25</v>
      </c>
      <c r="K2" s="28" t="s">
        <v>26</v>
      </c>
      <c r="L2" s="28" t="s">
        <v>27</v>
      </c>
      <c r="M2" s="33"/>
      <c r="N2" s="5" t="s">
        <v>1069</v>
      </c>
      <c r="O2">
        <f>MIN($O$6)</f>
        <v>0</v>
      </c>
    </row>
    <row r="3" spans="1:15">
      <c r="A3" s="33"/>
      <c r="B3" s="33" t="s">
        <v>1075</v>
      </c>
      <c r="C3" s="33">
        <f>+( 0.5*(_xx1^2) - 0.7*_xx2 + _xx3*_yy1 + _xx2^2*_yy1*_yy2 + 2*_xx3*(_yy3^2) - 255.8 )</f>
        <v>-185401.49834965472</v>
      </c>
      <c r="D3" s="34" t="s">
        <v>0</v>
      </c>
      <c r="E3" s="33">
        <f>0</f>
        <v>0</v>
      </c>
      <c r="F3" s="33" t="b">
        <f>C3=E3</f>
        <v>0</v>
      </c>
      <c r="G3" s="33"/>
      <c r="H3" s="33" t="s">
        <v>1076</v>
      </c>
      <c r="I3" s="33">
        <f t="array" ref="I3">J3:L3</f>
        <v>-7.6485196309778258</v>
      </c>
      <c r="J3" s="33">
        <v>-7.6485196309778258</v>
      </c>
      <c r="K3" s="33"/>
      <c r="L3" s="33"/>
      <c r="M3" s="33"/>
      <c r="N3" s="5" t="s">
        <v>46</v>
      </c>
      <c r="O3">
        <f>COUNT($I$3:$I$10)</f>
        <v>8</v>
      </c>
    </row>
    <row r="4" spans="1:15">
      <c r="A4" s="33"/>
      <c r="B4" s="33" t="s">
        <v>1077</v>
      </c>
      <c r="C4" s="33">
        <f>( _xx1 - 2*_xx2 + 3*_xx1*_xx3 - 2*_xx2*_yy1 -_xx2*_yy2*_yy3 + 111.2 )</f>
        <v>49192.829396038025</v>
      </c>
      <c r="D4" s="34" t="s">
        <v>0</v>
      </c>
      <c r="E4" s="33">
        <f>0</f>
        <v>0</v>
      </c>
      <c r="F4" s="33" t="b">
        <f t="shared" ref="F4:F8" si="0">C4=E4</f>
        <v>0</v>
      </c>
      <c r="G4" s="33"/>
      <c r="H4" s="33" t="s">
        <v>1078</v>
      </c>
      <c r="I4" s="33">
        <f t="array" ref="I4">J4:L4</f>
        <v>-26.58178663793128</v>
      </c>
      <c r="J4" s="33">
        <v>-26.58178663793128</v>
      </c>
      <c r="K4" s="33">
        <v>2</v>
      </c>
      <c r="L4" s="33">
        <v>5</v>
      </c>
      <c r="M4" s="33"/>
      <c r="N4" s="5" t="s">
        <v>29</v>
      </c>
      <c r="O4" t="b">
        <f t="array" ref="O4">$C$3:$C$8=$E$3:$E$8</f>
        <v>0</v>
      </c>
    </row>
    <row r="5" spans="1:15">
      <c r="A5" s="33"/>
      <c r="B5" s="33" t="s">
        <v>1079</v>
      </c>
      <c r="C5" s="33" t="e">
        <f>(_xx3*_yy1 - _xx1 + 3*_xx2 + _xx1*_yy2 - _xx3*(_yy3^0.5)- 33.57 )</f>
        <v>#NUM!</v>
      </c>
      <c r="D5" s="34" t="s">
        <v>0</v>
      </c>
      <c r="E5" s="33">
        <f>0</f>
        <v>0</v>
      </c>
      <c r="F5" s="33" t="e">
        <f t="shared" si="0"/>
        <v>#NUM!</v>
      </c>
      <c r="G5" s="33"/>
      <c r="H5" s="33" t="s">
        <v>1080</v>
      </c>
      <c r="I5" s="33">
        <f t="array" ref="I5">J5:L5</f>
        <v>151.41974807853779</v>
      </c>
      <c r="J5" s="33">
        <v>151.41974807853779</v>
      </c>
      <c r="K5" s="33">
        <v>2</v>
      </c>
      <c r="L5" s="33">
        <v>5.5</v>
      </c>
      <c r="M5" s="33"/>
      <c r="N5" s="5" t="s">
        <v>1073</v>
      </c>
      <c r="O5">
        <f>{1000,100,0.000001,5,TRUE,TRUE,TRUE,1,1,1,0.00000001,TRUE,TRUE}</f>
        <v>1000</v>
      </c>
    </row>
    <row r="6" spans="1:15">
      <c r="A6" s="33"/>
      <c r="B6" s="33" t="s">
        <v>1081</v>
      </c>
      <c r="C6" s="33">
        <f>(  _xx4 - _xx1 - _xx3^2 + _yy2 + 3*_yy3 )</f>
        <v>1.0572344524746313</v>
      </c>
      <c r="D6" s="34" t="s">
        <v>0</v>
      </c>
      <c r="E6" s="33">
        <f>0</f>
        <v>0</v>
      </c>
      <c r="F6" s="33" t="b">
        <f t="shared" si="0"/>
        <v>0</v>
      </c>
      <c r="G6" s="33"/>
      <c r="H6" s="33" t="s">
        <v>1082</v>
      </c>
      <c r="I6" s="33">
        <f t="array" ref="I6">J6:L6</f>
        <v>428.61333852177097</v>
      </c>
      <c r="J6" s="33">
        <v>428.61333852177097</v>
      </c>
      <c r="K6" s="33">
        <v>2</v>
      </c>
      <c r="L6" s="33">
        <v>1.6</v>
      </c>
      <c r="M6" s="33"/>
      <c r="N6" s="5" t="s">
        <v>1074</v>
      </c>
      <c r="O6" s="2">
        <f>[1]!Gaussian($I$3:$I$10)</f>
        <v>0</v>
      </c>
    </row>
    <row r="7" spans="1:15">
      <c r="A7" s="33"/>
      <c r="B7" s="33" t="s">
        <v>1083</v>
      </c>
      <c r="C7" s="33">
        <f>( _xx5 - 2*_xx3*_yy2*_yy3 )</f>
        <v>-454.83777851868012</v>
      </c>
      <c r="D7" s="34" t="s">
        <v>0</v>
      </c>
      <c r="E7" s="33">
        <f>0</f>
        <v>0</v>
      </c>
      <c r="F7" s="33" t="b">
        <f t="shared" si="0"/>
        <v>0</v>
      </c>
      <c r="G7" s="33"/>
      <c r="H7" s="33" t="s">
        <v>1084</v>
      </c>
      <c r="I7" s="33">
        <f t="array" ref="I7">J7:L7</f>
        <v>-493.79830758941233</v>
      </c>
      <c r="J7" s="33">
        <v>-493.79830758941233</v>
      </c>
      <c r="K7" s="33">
        <v>2</v>
      </c>
      <c r="L7" s="33">
        <v>4.4000000000000004</v>
      </c>
      <c r="M7" s="33"/>
      <c r="N7" s="33"/>
      <c r="O7" s="33"/>
    </row>
    <row r="8" spans="1:15">
      <c r="A8" s="33"/>
      <c r="B8" s="33" t="s">
        <v>1085</v>
      </c>
      <c r="C8" s="33">
        <f>(2*_xx1 + _xx2*_xx3*_yy1 + _yy2 - _yy3 - 126.6 )</f>
        <v>1.1151870424284027</v>
      </c>
      <c r="D8" s="34" t="s">
        <v>0</v>
      </c>
      <c r="E8" s="33">
        <f>0</f>
        <v>0</v>
      </c>
      <c r="F8" s="33" t="b">
        <f t="shared" si="0"/>
        <v>0</v>
      </c>
      <c r="G8" s="33"/>
      <c r="H8" s="33" t="s">
        <v>1086</v>
      </c>
      <c r="I8" s="33">
        <f t="array" ref="I8">J8:L8</f>
        <v>-0.69682796320027718</v>
      </c>
      <c r="J8" s="33">
        <v>-0.69682796320027718</v>
      </c>
      <c r="K8" s="33">
        <v>2</v>
      </c>
      <c r="L8" s="33">
        <v>1.7</v>
      </c>
      <c r="M8" s="33"/>
      <c r="N8" s="33"/>
      <c r="O8" s="33"/>
    </row>
    <row r="9" spans="1:15">
      <c r="A9" s="33"/>
      <c r="B9" s="33"/>
      <c r="C9" s="33"/>
      <c r="D9" s="33"/>
      <c r="E9" s="33"/>
      <c r="F9" s="33"/>
      <c r="G9" s="33"/>
      <c r="H9" s="33" t="s">
        <v>1087</v>
      </c>
      <c r="I9" s="33">
        <v>1</v>
      </c>
      <c r="J9" s="33">
        <v>-5.7235459327184955E-2</v>
      </c>
      <c r="K9" s="33"/>
      <c r="L9" s="33"/>
      <c r="M9" s="33"/>
      <c r="N9" s="33"/>
      <c r="O9" s="33"/>
    </row>
    <row r="10" spans="1:15">
      <c r="A10" s="33"/>
      <c r="B10" s="33"/>
      <c r="C10" s="33"/>
      <c r="D10" s="33"/>
      <c r="E10" s="33"/>
      <c r="F10" s="33"/>
      <c r="G10" s="33"/>
      <c r="H10" s="33" t="s">
        <v>1088</v>
      </c>
      <c r="I10" s="33">
        <f t="array" ref="I10">J10:L10</f>
        <v>-307.28961414947025</v>
      </c>
      <c r="J10" s="33">
        <v>-307.28961414947025</v>
      </c>
      <c r="K10" s="33"/>
      <c r="L10" s="33"/>
      <c r="M10" s="33"/>
      <c r="N10" s="33"/>
      <c r="O10" s="33"/>
    </row>
  </sheetData>
  <mergeCells count="3">
    <mergeCell ref="B1:F1"/>
    <mergeCell ref="H1:L1"/>
    <mergeCell ref="N1:O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T32"/>
  <sheetViews>
    <sheetView workbookViewId="0">
      <selection activeCell="E13" sqref="E13"/>
    </sheetView>
  </sheetViews>
  <sheetFormatPr defaultRowHeight="15"/>
  <cols>
    <col min="1" max="1" width="1.28515625" customWidth="1"/>
    <col min="2" max="2" width="12" customWidth="1"/>
    <col min="3" max="3" width="10.7109375" customWidth="1"/>
    <col min="4" max="4" width="7.28515625" customWidth="1"/>
    <col min="5" max="5" width="15.85546875" customWidth="1"/>
    <col min="6" max="6" width="13.5703125" customWidth="1"/>
    <col min="7" max="7" width="15.42578125" customWidth="1"/>
    <col min="8" max="8" width="13.5703125" customWidth="1"/>
    <col min="10" max="10" width="13.28515625" customWidth="1"/>
    <col min="11" max="11" width="16.42578125" customWidth="1"/>
    <col min="12" max="12" width="8.85546875" customWidth="1"/>
    <col min="13" max="13" width="10.42578125" customWidth="1"/>
    <col min="14" max="14" width="8.140625" customWidth="1"/>
    <col min="15" max="15" width="12" bestFit="1" customWidth="1"/>
    <col min="16" max="16" width="10.5703125" customWidth="1"/>
  </cols>
  <sheetData>
    <row r="1" spans="1:20" ht="6" customHeight="1">
      <c r="A1" s="5"/>
      <c r="G1" s="32"/>
      <c r="H1" s="32"/>
    </row>
    <row r="2" spans="1:20" ht="18.75">
      <c r="B2" s="65" t="s">
        <v>1071</v>
      </c>
      <c r="C2" s="66"/>
      <c r="D2" s="66"/>
      <c r="E2" s="66"/>
      <c r="F2" s="67"/>
      <c r="G2" s="65" t="s">
        <v>1125</v>
      </c>
      <c r="H2" s="66"/>
      <c r="I2" s="67"/>
      <c r="J2" s="65" t="s">
        <v>1072</v>
      </c>
      <c r="K2" s="66"/>
      <c r="L2" s="66"/>
      <c r="M2" s="66"/>
      <c r="N2" s="67"/>
      <c r="P2" s="65" t="s">
        <v>1072</v>
      </c>
      <c r="Q2" s="66"/>
      <c r="R2" s="66"/>
      <c r="S2" s="66"/>
      <c r="T2" s="67"/>
    </row>
    <row r="3" spans="1:20" s="5" customFormat="1">
      <c r="B3" s="28" t="s">
        <v>13</v>
      </c>
      <c r="C3" s="28" t="s">
        <v>21</v>
      </c>
      <c r="D3" s="28" t="s">
        <v>20</v>
      </c>
      <c r="E3" s="28" t="s">
        <v>22</v>
      </c>
      <c r="F3" s="28" t="s">
        <v>23</v>
      </c>
      <c r="G3" s="32"/>
      <c r="H3" s="32"/>
      <c r="J3" s="5" t="s">
        <v>24</v>
      </c>
      <c r="K3" s="5" t="s">
        <v>28</v>
      </c>
      <c r="L3" s="28" t="s">
        <v>25</v>
      </c>
      <c r="M3" s="28" t="s">
        <v>26</v>
      </c>
      <c r="N3" s="28" t="s">
        <v>27</v>
      </c>
      <c r="P3" s="5" t="s">
        <v>24</v>
      </c>
      <c r="Q3" s="5" t="s">
        <v>28</v>
      </c>
      <c r="R3" s="28" t="s">
        <v>25</v>
      </c>
      <c r="S3" s="28" t="s">
        <v>26</v>
      </c>
      <c r="T3" s="28" t="s">
        <v>27</v>
      </c>
    </row>
    <row r="4" spans="1:20">
      <c r="B4" s="29" t="s">
        <v>31</v>
      </c>
      <c r="C4" s="30">
        <f>abs_btm_mass</f>
        <v>992.77371722049941</v>
      </c>
      <c r="D4" s="31" t="s">
        <v>0</v>
      </c>
      <c r="E4" s="32">
        <f xml:space="preserve"> fat_oil_mass+fuel_gas_mass</f>
        <v>992.77371722049941</v>
      </c>
      <c r="F4" s="32" t="b">
        <f>(D_4_Feed=D_4_Product)</f>
        <v>1</v>
      </c>
      <c r="G4" s="30" t="s">
        <v>1089</v>
      </c>
      <c r="H4">
        <f>acid_gas_vol*acid_gas_dens</f>
        <v>92.515217216876636</v>
      </c>
      <c r="J4" s="30" t="s">
        <v>1101</v>
      </c>
      <c r="K4" s="4">
        <f t="array" ref="K4">L4:N4</f>
        <v>92.515217216876636</v>
      </c>
      <c r="L4" s="4">
        <v>92.515217216876636</v>
      </c>
      <c r="M4" s="4"/>
      <c r="N4" s="4"/>
      <c r="P4" s="30" t="s">
        <v>1113</v>
      </c>
      <c r="Q4" s="4">
        <f t="array" ref="Q4">R4:T4</f>
        <v>1</v>
      </c>
      <c r="R4" s="4">
        <v>1</v>
      </c>
      <c r="S4" s="4">
        <v>0.05</v>
      </c>
      <c r="T4" s="4">
        <v>1</v>
      </c>
    </row>
    <row r="5" spans="1:20">
      <c r="B5" s="29" t="s">
        <v>14</v>
      </c>
      <c r="C5" s="30">
        <f>abs_ovhd_mass</f>
        <v>97.484698605315941</v>
      </c>
      <c r="D5" s="31" t="s">
        <v>0</v>
      </c>
      <c r="E5" s="32">
        <f>(bypass_mass+treat_gas_mass)</f>
        <v>97.484698605315941</v>
      </c>
      <c r="F5" s="32" t="b">
        <f>J_4_Feed=J_4_Product</f>
        <v>1</v>
      </c>
      <c r="G5" s="30" t="s">
        <v>1090</v>
      </c>
      <c r="H5">
        <f>treat_gas_vol*treat_gas_dens</f>
        <v>7.4846986053161295</v>
      </c>
      <c r="J5" s="30" t="s">
        <v>1102</v>
      </c>
      <c r="K5" s="4">
        <f t="array" ref="K5">L5:N5</f>
        <v>7.4846986053161295</v>
      </c>
      <c r="L5" s="4">
        <v>7.4846986053161295</v>
      </c>
      <c r="M5" s="4"/>
      <c r="N5" s="4"/>
      <c r="P5" s="30" t="s">
        <v>1114</v>
      </c>
      <c r="Q5" s="4">
        <f t="array" ref="Q5">R5:T5</f>
        <v>1</v>
      </c>
      <c r="R5" s="4">
        <v>1</v>
      </c>
      <c r="S5" s="4">
        <v>0.05</v>
      </c>
      <c r="T5" s="4">
        <v>1</v>
      </c>
    </row>
    <row r="6" spans="1:20">
      <c r="B6" s="29" t="s">
        <v>15</v>
      </c>
      <c r="C6" s="32">
        <f>fat_oil_mass+condensate_mass</f>
        <v>1492.7737172206278</v>
      </c>
      <c r="D6" s="31" t="s">
        <v>0</v>
      </c>
      <c r="E6" s="32">
        <f>recycle_mass</f>
        <v>1492.7737172206275</v>
      </c>
      <c r="F6" s="32" t="b">
        <f>J_6_Feed=J_6_Product</f>
        <v>1</v>
      </c>
      <c r="G6" s="30" t="s">
        <v>1091</v>
      </c>
      <c r="H6">
        <f>abs_btm_vol*abs_btm_dens</f>
        <v>992.77371722049941</v>
      </c>
      <c r="J6" s="30" t="s">
        <v>1103</v>
      </c>
      <c r="K6" s="4">
        <f t="array" ref="K6">L6:N6</f>
        <v>992.77371722037799</v>
      </c>
      <c r="L6" s="4">
        <v>992.77371722037799</v>
      </c>
      <c r="M6" s="4"/>
      <c r="N6" s="4"/>
      <c r="P6" s="30" t="s">
        <v>1115</v>
      </c>
      <c r="Q6" s="4">
        <f t="array" ref="Q6">R6:T6</f>
        <v>1.0000000000001223</v>
      </c>
      <c r="R6" s="4">
        <v>1.0000000000001223</v>
      </c>
      <c r="S6" s="4">
        <v>0.05</v>
      </c>
      <c r="T6" s="4">
        <v>1</v>
      </c>
    </row>
    <row r="7" spans="1:20">
      <c r="B7" s="29" t="s">
        <v>16</v>
      </c>
      <c r="C7" s="32">
        <f>recycle_mass</f>
        <v>1492.7737172206275</v>
      </c>
      <c r="D7" s="31" t="s">
        <v>0</v>
      </c>
      <c r="E7" s="32">
        <f>lean_oil_mass+sep_ovhd_mass</f>
        <v>1492.77363336438</v>
      </c>
      <c r="F7" s="32" t="b">
        <f>T_5_Feed=T_5_Product</f>
        <v>0</v>
      </c>
      <c r="G7" s="30" t="s">
        <v>1092</v>
      </c>
      <c r="H7">
        <f>recycle_vol*recycle_dens</f>
        <v>1492.7737172206275</v>
      </c>
      <c r="J7" s="30" t="s">
        <v>1104</v>
      </c>
      <c r="K7" s="4">
        <f t="array" ref="K7">L7:N7</f>
        <v>1473.45375097233</v>
      </c>
      <c r="L7" s="4">
        <v>1473.45375097233</v>
      </c>
      <c r="M7" s="4">
        <v>140</v>
      </c>
      <c r="N7" s="4">
        <v>1400</v>
      </c>
      <c r="P7" s="30" t="s">
        <v>1116</v>
      </c>
      <c r="Q7" s="4">
        <f t="array" ref="Q7">R7:T7</f>
        <v>1.0131120275987953</v>
      </c>
      <c r="R7" s="4">
        <v>1.0131120275987953</v>
      </c>
      <c r="S7" s="4">
        <v>0.05</v>
      </c>
      <c r="T7" s="4">
        <v>1</v>
      </c>
    </row>
    <row r="8" spans="1:20">
      <c r="B8" s="29" t="s">
        <v>17</v>
      </c>
      <c r="C8" s="32">
        <f>lean_oil_mass+sour_gas_mass</f>
        <v>1090.2584161105272</v>
      </c>
      <c r="D8" s="31" t="s">
        <v>0</v>
      </c>
      <c r="E8" s="32">
        <f>abs_btm_mass+abs_ovhd_mass</f>
        <v>1090.2584158258153</v>
      </c>
      <c r="F8" s="32" t="b">
        <f>T_3_Feed=T_3_Product</f>
        <v>0</v>
      </c>
      <c r="G8" s="30" t="s">
        <v>1093</v>
      </c>
      <c r="H8">
        <f>lean_oil_vol*lean_oil_dens</f>
        <v>990.25841611052738</v>
      </c>
      <c r="J8" s="30" t="s">
        <v>1105</v>
      </c>
      <c r="K8" s="4">
        <f t="array" ref="K8">L8:N8</f>
        <v>999.62515900691733</v>
      </c>
      <c r="L8" s="4">
        <v>999.62515900691733</v>
      </c>
      <c r="M8" s="4">
        <v>10</v>
      </c>
      <c r="N8" s="4">
        <v>1000</v>
      </c>
      <c r="P8" s="30" t="s">
        <v>1117</v>
      </c>
      <c r="Q8" s="4">
        <f t="array" ref="Q8">R8:T8</f>
        <v>0.99062974474782584</v>
      </c>
      <c r="R8" s="4">
        <v>0.99062974474782584</v>
      </c>
      <c r="S8" s="4">
        <v>0.05</v>
      </c>
      <c r="T8" s="4">
        <v>1</v>
      </c>
    </row>
    <row r="9" spans="1:20">
      <c r="B9" s="29" t="s">
        <v>18</v>
      </c>
      <c r="C9" s="32">
        <f>sep_ovhd_mass+bypass_mass</f>
        <v>592.51521725385248</v>
      </c>
      <c r="D9" s="31" t="s">
        <v>0</v>
      </c>
      <c r="E9" s="32">
        <f>acid_gas_mass+condensate_mass</f>
        <v>592.51521721700487</v>
      </c>
      <c r="F9" s="32" t="b">
        <f>D_7_Feed=D_7_Product</f>
        <v>0</v>
      </c>
      <c r="G9" s="30" t="s">
        <v>1094</v>
      </c>
      <c r="H9">
        <f>abs_ovhd_vol*abs_ovhd_dens</f>
        <v>97.484698605315941</v>
      </c>
      <c r="J9" s="30" t="s">
        <v>1106</v>
      </c>
      <c r="K9" s="4">
        <f t="array" ref="K9">L9:N9</f>
        <v>97.484698605316055</v>
      </c>
      <c r="L9" s="4">
        <v>97.484698605316055</v>
      </c>
      <c r="M9" s="4"/>
      <c r="N9" s="4"/>
      <c r="P9" s="30" t="s">
        <v>1118</v>
      </c>
      <c r="Q9" s="4">
        <f t="array" ref="Q9">R9:T9</f>
        <v>0.99999999999999878</v>
      </c>
      <c r="R9" s="4">
        <v>0.99999999999999878</v>
      </c>
      <c r="S9" s="4">
        <v>0.05</v>
      </c>
      <c r="T9" s="4">
        <v>1</v>
      </c>
    </row>
    <row r="10" spans="1:20">
      <c r="B10" s="29" t="s">
        <v>19</v>
      </c>
      <c r="C10" s="32">
        <f>sour_gas_mass</f>
        <v>99.99999999999973</v>
      </c>
      <c r="D10" s="31" t="s">
        <v>0</v>
      </c>
      <c r="E10" s="30">
        <f xml:space="preserve"> (treat_gas_mass + (acid_gas_mass + fuel_gas_mass))</f>
        <v>99.999915822192676</v>
      </c>
      <c r="F10" s="32" t="b">
        <f>World_Feed=World_Product</f>
        <v>0</v>
      </c>
      <c r="G10" s="30" t="s">
        <v>1095</v>
      </c>
      <c r="H10">
        <f>fat_oil_vol*fat_oil_dens</f>
        <v>992.77371722049952</v>
      </c>
      <c r="J10" s="30" t="s">
        <v>1107</v>
      </c>
      <c r="K10" s="4">
        <f t="array" ref="K10">L10:N10</f>
        <v>992.77371722025532</v>
      </c>
      <c r="L10" s="4">
        <v>992.77371722025532</v>
      </c>
      <c r="M10" s="4"/>
      <c r="N10" s="4"/>
      <c r="P10" s="30" t="s">
        <v>1119</v>
      </c>
      <c r="Q10" s="4">
        <f t="array" ref="Q10">R10:T10</f>
        <v>1.000000000000246</v>
      </c>
      <c r="R10" s="4">
        <v>1.000000000000246</v>
      </c>
      <c r="S10" s="4">
        <v>0.05</v>
      </c>
      <c r="T10" s="4">
        <v>1</v>
      </c>
    </row>
    <row r="11" spans="1:20">
      <c r="B11" s="1"/>
      <c r="G11" s="30" t="s">
        <v>1096</v>
      </c>
      <c r="H11">
        <f>sep_ovhd_vol*sep_ovhd_dens</f>
        <v>502.51521725385265</v>
      </c>
      <c r="J11" s="30" t="s">
        <v>1108</v>
      </c>
      <c r="K11" s="4">
        <f t="array" ref="K11">L11:N11</f>
        <v>504.90441022361887</v>
      </c>
      <c r="L11" s="4">
        <v>504.90441022361887</v>
      </c>
      <c r="M11" s="4">
        <v>5.05</v>
      </c>
      <c r="N11" s="4">
        <v>505</v>
      </c>
      <c r="P11" s="30" t="s">
        <v>1120</v>
      </c>
      <c r="Q11" s="4">
        <f t="array" ref="Q11">R11:T11</f>
        <v>0.99526802911325718</v>
      </c>
      <c r="R11" s="4">
        <v>0.99526802911325718</v>
      </c>
      <c r="S11" s="4">
        <v>0.05</v>
      </c>
      <c r="T11" s="4">
        <v>1</v>
      </c>
    </row>
    <row r="12" spans="1:20">
      <c r="B12" s="5"/>
      <c r="G12" s="30" t="s">
        <v>1097</v>
      </c>
      <c r="H12">
        <f>sour_gas_vol*sour_gas_dens</f>
        <v>99.99999999999973</v>
      </c>
      <c r="J12" s="30" t="s">
        <v>1109</v>
      </c>
      <c r="K12" s="4">
        <f t="array" ref="K12">L12:N12</f>
        <v>100</v>
      </c>
      <c r="L12" s="4">
        <v>100</v>
      </c>
      <c r="M12" s="4">
        <v>1</v>
      </c>
      <c r="N12" s="4">
        <v>100</v>
      </c>
      <c r="P12" s="30" t="s">
        <v>1121</v>
      </c>
      <c r="Q12" s="4">
        <f t="array" ref="Q12">R12:T12</f>
        <v>0.99999999999999734</v>
      </c>
      <c r="R12" s="4">
        <v>0.99999999999999734</v>
      </c>
      <c r="S12" s="4">
        <v>0.05</v>
      </c>
      <c r="T12" s="4">
        <v>1</v>
      </c>
    </row>
    <row r="13" spans="1:20" ht="18.75">
      <c r="B13" s="65" t="s">
        <v>59</v>
      </c>
      <c r="C13" s="67"/>
      <c r="G13" s="30" t="s">
        <v>1098</v>
      </c>
      <c r="H13">
        <f>fuel_gas_vol*fuel_gas_dens</f>
        <v>-8.8780432000974463E-14</v>
      </c>
      <c r="J13" s="30" t="s">
        <v>1110</v>
      </c>
      <c r="K13" s="4">
        <f t="array" ref="K13">L13:N13</f>
        <v>-8.8780432000974463E-14</v>
      </c>
      <c r="L13" s="4">
        <v>-8.8780432000974463E-14</v>
      </c>
      <c r="M13" s="4">
        <v>1</v>
      </c>
      <c r="N13" s="4">
        <v>0</v>
      </c>
      <c r="P13" s="30" t="s">
        <v>1122</v>
      </c>
      <c r="Q13" s="4">
        <f t="array" ref="Q13">R13:T13</f>
        <v>1</v>
      </c>
      <c r="R13" s="4">
        <v>1</v>
      </c>
      <c r="S13" s="4">
        <v>0.05</v>
      </c>
      <c r="T13" s="4">
        <v>1</v>
      </c>
    </row>
    <row r="14" spans="1:20">
      <c r="B14" s="5" t="s">
        <v>1069</v>
      </c>
      <c r="C14">
        <f>MIN($C$18)</f>
        <v>0</v>
      </c>
      <c r="G14" s="30" t="s">
        <v>1099</v>
      </c>
      <c r="H14">
        <f>condensate_vol*condensate_dens</f>
        <v>500.0000000001283</v>
      </c>
      <c r="J14" s="30" t="s">
        <v>1111</v>
      </c>
      <c r="K14" s="4">
        <f t="array" ref="K14">L14:N14</f>
        <v>500.00000000000495</v>
      </c>
      <c r="L14" s="4">
        <v>500.00000000000495</v>
      </c>
      <c r="M14" s="4">
        <v>5</v>
      </c>
      <c r="N14" s="4">
        <v>500</v>
      </c>
      <c r="P14" s="30" t="s">
        <v>1123</v>
      </c>
      <c r="Q14" s="4">
        <f t="array" ref="Q14">R14:T14</f>
        <v>1.0000000000002467</v>
      </c>
      <c r="R14" s="4">
        <v>1.0000000000002467</v>
      </c>
      <c r="S14" s="4">
        <v>0.05</v>
      </c>
      <c r="T14" s="4">
        <v>1</v>
      </c>
    </row>
    <row r="15" spans="1:20">
      <c r="B15" s="5" t="s">
        <v>46</v>
      </c>
      <c r="C15">
        <f>COUNT($K$4:$K$15,$Q$4:$Q$15)</f>
        <v>24</v>
      </c>
      <c r="G15" s="30" t="s">
        <v>1100</v>
      </c>
      <c r="H15">
        <f>bypass_vol*bypass_dens</f>
        <v>89.999999999999815</v>
      </c>
      <c r="J15" s="30" t="s">
        <v>1112</v>
      </c>
      <c r="K15" s="4">
        <f t="array" ref="K15">L15:N15</f>
        <v>89.999999999999986</v>
      </c>
      <c r="L15" s="4">
        <v>89.999999999999986</v>
      </c>
      <c r="M15" s="4">
        <v>0.9</v>
      </c>
      <c r="N15" s="4">
        <v>90</v>
      </c>
      <c r="P15" s="30" t="s">
        <v>1124</v>
      </c>
      <c r="Q15" s="4">
        <f t="array" ref="Q15">R15:T15</f>
        <v>0.99999999999999811</v>
      </c>
      <c r="R15" s="4">
        <v>0.99999999999999811</v>
      </c>
      <c r="S15" s="4">
        <v>0.05</v>
      </c>
      <c r="T15" s="4">
        <v>1</v>
      </c>
    </row>
    <row r="16" spans="1:20">
      <c r="B16" s="5" t="s">
        <v>29</v>
      </c>
      <c r="C16" t="b">
        <f t="array" ref="C16">$C$4:$C$9=$E$4:$E$9</f>
        <v>1</v>
      </c>
      <c r="D16" s="1"/>
      <c r="N16" s="2"/>
    </row>
    <row r="17" spans="1:18">
      <c r="B17" s="5" t="s">
        <v>1073</v>
      </c>
      <c r="C17">
        <f>{10,20,0.000001,5,TRUE,TRUE,TRUE,1,1,1,0.0001,FALSE,FALSE}</f>
        <v>10</v>
      </c>
      <c r="R17" s="2"/>
    </row>
    <row r="18" spans="1:18">
      <c r="A18" s="2"/>
      <c r="B18" s="5" t="s">
        <v>1074</v>
      </c>
      <c r="C18" s="2">
        <f>[1]!Gaussian($K$4:$K$15,$Q$4:$Q$15)</f>
        <v>0</v>
      </c>
    </row>
    <row r="19" spans="1:18">
      <c r="A19" s="2"/>
      <c r="C19" s="8"/>
    </row>
    <row r="32" spans="1:18">
      <c r="M32" t="e">
        <f>[1]!Gaussian(M20:M30)</f>
        <v>#VALUE!</v>
      </c>
    </row>
  </sheetData>
  <mergeCells count="5">
    <mergeCell ref="B2:F2"/>
    <mergeCell ref="J2:N2"/>
    <mergeCell ref="B13:C13"/>
    <mergeCell ref="P2:T2"/>
    <mergeCell ref="G2:I2"/>
  </mergeCells>
  <hyperlinks>
    <hyperlink ref="B4" r:id="rId1" display="mass_balance@D_2"/>
    <hyperlink ref="B5" r:id="rId2" display="mass_balance@J_4"/>
    <hyperlink ref="B6" r:id="rId3" display="mass_balance@J_6"/>
    <hyperlink ref="B7" r:id="rId4" display="mass_balance@T_5"/>
    <hyperlink ref="B8" r:id="rId5" display="mass_balance@T_3"/>
    <hyperlink ref="B9" r:id="rId6" display="mass_balance@D_7"/>
    <hyperlink ref="B10" r:id="rId7" display="mass_balance@world"/>
  </hyperlinks>
  <pageMargins left="0.7" right="0.7" top="0.75" bottom="0.75" header="0.3" footer="0.3"/>
  <pageSetup orientation="portrait" r:id="rId8"/>
  <drawing r:id="rId9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I402"/>
  <sheetViews>
    <sheetView topLeftCell="A382" workbookViewId="0"/>
  </sheetViews>
  <sheetFormatPr defaultRowHeight="15"/>
  <cols>
    <col min="1" max="1" width="2.7109375" customWidth="1"/>
    <col min="2" max="2" width="13.28515625" customWidth="1"/>
    <col min="3" max="10" width="15.28515625" customWidth="1"/>
  </cols>
  <sheetData>
    <row r="1" spans="1:9">
      <c r="A1" s="55" t="s">
        <v>1999</v>
      </c>
    </row>
    <row r="2" spans="1:9">
      <c r="A2" s="55" t="s">
        <v>2000</v>
      </c>
    </row>
    <row r="3" spans="1:9">
      <c r="A3" s="55" t="s">
        <v>2330</v>
      </c>
    </row>
    <row r="5" spans="1:9" ht="15.75" thickBot="1">
      <c r="A5" s="55" t="s">
        <v>1067</v>
      </c>
    </row>
    <row r="6" spans="1:9" ht="30.75" thickBot="1">
      <c r="B6" s="56" t="s">
        <v>2001</v>
      </c>
      <c r="C6" s="56" t="s">
        <v>2002</v>
      </c>
      <c r="D6" s="56" t="s">
        <v>2003</v>
      </c>
      <c r="E6" s="56" t="s">
        <v>2004</v>
      </c>
      <c r="F6" s="56" t="s">
        <v>2005</v>
      </c>
      <c r="G6" s="56" t="s">
        <v>46</v>
      </c>
      <c r="H6" s="56" t="s">
        <v>2006</v>
      </c>
    </row>
    <row r="7" spans="1:9">
      <c r="B7">
        <v>146</v>
      </c>
      <c r="C7">
        <v>91</v>
      </c>
      <c r="D7">
        <v>55</v>
      </c>
      <c r="E7">
        <v>0</v>
      </c>
      <c r="F7">
        <v>0</v>
      </c>
      <c r="G7">
        <v>237</v>
      </c>
      <c r="H7">
        <v>70</v>
      </c>
    </row>
    <row r="8" spans="1:9" ht="15.75" thickBot="1">
      <c r="A8" s="55" t="s">
        <v>2007</v>
      </c>
    </row>
    <row r="9" spans="1:9" ht="15.75" thickBot="1">
      <c r="B9" s="56" t="s">
        <v>2008</v>
      </c>
      <c r="C9" s="56" t="s">
        <v>2009</v>
      </c>
      <c r="D9" s="56" t="s">
        <v>2010</v>
      </c>
      <c r="E9" s="56" t="s">
        <v>2011</v>
      </c>
      <c r="F9" s="56" t="s">
        <v>2012</v>
      </c>
      <c r="G9" s="56" t="s">
        <v>2007</v>
      </c>
    </row>
    <row r="10" spans="1:9">
      <c r="B10" t="b">
        <v>1</v>
      </c>
      <c r="C10" t="s">
        <v>2013</v>
      </c>
      <c r="D10">
        <v>0.16700000000000001</v>
      </c>
      <c r="E10">
        <v>2</v>
      </c>
      <c r="F10">
        <v>1.3334034188474404E-8</v>
      </c>
      <c r="G10">
        <v>4.8690815585786414E-4</v>
      </c>
    </row>
    <row r="11" spans="1:9" ht="15.75" thickBot="1">
      <c r="A11" s="55" t="s">
        <v>1069</v>
      </c>
    </row>
    <row r="12" spans="1:9" ht="30.75" thickBot="1">
      <c r="B12" s="56" t="s">
        <v>2014</v>
      </c>
      <c r="C12" s="56" t="s">
        <v>2015</v>
      </c>
      <c r="D12" s="56" t="s">
        <v>2016</v>
      </c>
      <c r="E12" s="56" t="s">
        <v>2017</v>
      </c>
      <c r="F12" s="56" t="s">
        <v>2018</v>
      </c>
      <c r="G12" s="56" t="s">
        <v>2019</v>
      </c>
    </row>
    <row r="13" spans="1:9">
      <c r="B13" t="s">
        <v>2020</v>
      </c>
      <c r="C13">
        <v>5.0784411178330845E-8</v>
      </c>
      <c r="D13">
        <v>194.88254262217077</v>
      </c>
      <c r="E13">
        <v>164</v>
      </c>
      <c r="F13">
        <v>2.262266262807346</v>
      </c>
      <c r="G13">
        <v>2.4631195665574248</v>
      </c>
    </row>
    <row r="15" spans="1:9" ht="15.75" thickBot="1">
      <c r="A15" s="55" t="s">
        <v>2021</v>
      </c>
    </row>
    <row r="16" spans="1:9" ht="30.75" thickBot="1">
      <c r="B16" s="56" t="s">
        <v>2014</v>
      </c>
      <c r="C16" s="56" t="s">
        <v>2022</v>
      </c>
      <c r="D16" s="56" t="s">
        <v>2023</v>
      </c>
      <c r="E16" s="56" t="s">
        <v>2024</v>
      </c>
      <c r="F16" s="56" t="s">
        <v>2025</v>
      </c>
      <c r="G16" s="56" t="s">
        <v>2026</v>
      </c>
      <c r="H16" s="56" t="s">
        <v>2027</v>
      </c>
      <c r="I16" s="56" t="s">
        <v>2028</v>
      </c>
    </row>
    <row r="17" spans="2:9">
      <c r="B17" t="s">
        <v>1763</v>
      </c>
      <c r="C17">
        <v>995.62790687132156</v>
      </c>
      <c r="D17">
        <v>995.62795319999998</v>
      </c>
      <c r="E17" t="s">
        <v>2029</v>
      </c>
      <c r="F17">
        <v>-9.7808635524146003E-6</v>
      </c>
      <c r="G17">
        <v>-4.6532119024547726E-7</v>
      </c>
      <c r="H17">
        <v>99.562795320000006</v>
      </c>
      <c r="I17">
        <v>4.7366654461744417</v>
      </c>
    </row>
    <row r="18" spans="2:9">
      <c r="B18" t="s">
        <v>1762</v>
      </c>
      <c r="C18">
        <v>0.38985905592140768</v>
      </c>
      <c r="D18">
        <v>0.38985900000000001</v>
      </c>
      <c r="E18" t="s">
        <v>2029</v>
      </c>
      <c r="F18">
        <v>3.4766419838919903E-4</v>
      </c>
      <c r="G18">
        <v>1.4344008390517833E-6</v>
      </c>
      <c r="H18">
        <v>3.8985899999999997E-2</v>
      </c>
      <c r="I18">
        <v>1.608489109039254E-4</v>
      </c>
    </row>
    <row r="19" spans="2:9">
      <c r="B19" t="s">
        <v>1772</v>
      </c>
      <c r="C19">
        <v>415.59365227979447</v>
      </c>
      <c r="D19">
        <v>415.59363000000002</v>
      </c>
      <c r="E19" t="s">
        <v>2029</v>
      </c>
      <c r="F19">
        <v>1.5117361873924754E-6</v>
      </c>
      <c r="G19">
        <v>5.3609566754528349E-7</v>
      </c>
      <c r="H19">
        <v>41.559362999999998</v>
      </c>
      <c r="I19">
        <v>14.737885244826447</v>
      </c>
    </row>
    <row r="20" spans="2:9">
      <c r="B20" t="s">
        <v>1771</v>
      </c>
      <c r="C20">
        <v>0.3908298779607039</v>
      </c>
      <c r="D20">
        <v>0.39082990000000001</v>
      </c>
      <c r="E20" t="s">
        <v>2029</v>
      </c>
      <c r="F20">
        <v>0</v>
      </c>
      <c r="G20">
        <v>-5.6391018472056966E-7</v>
      </c>
      <c r="H20">
        <v>3.9082989999999998E-2</v>
      </c>
      <c r="I20">
        <v>8.0424455451962726E-5</v>
      </c>
    </row>
    <row r="21" spans="2:9">
      <c r="B21" t="s">
        <v>1769</v>
      </c>
      <c r="C21">
        <v>0</v>
      </c>
      <c r="D21">
        <v>0</v>
      </c>
      <c r="E21" t="s">
        <v>2030</v>
      </c>
      <c r="F21">
        <v>0</v>
      </c>
      <c r="G21">
        <v>0</v>
      </c>
      <c r="H21">
        <v>0</v>
      </c>
      <c r="I21">
        <v>0</v>
      </c>
    </row>
    <row r="22" spans="2:9">
      <c r="B22" t="s">
        <v>1768</v>
      </c>
      <c r="C22">
        <v>0.39082987796070384</v>
      </c>
      <c r="D22">
        <v>0.39082990000000001</v>
      </c>
      <c r="E22" t="s">
        <v>2029</v>
      </c>
      <c r="F22">
        <v>0</v>
      </c>
      <c r="G22">
        <v>-5.6391018614091008E-7</v>
      </c>
      <c r="H22">
        <v>3.9082989999999998E-2</v>
      </c>
      <c r="I22">
        <v>8.0424455451962726E-5</v>
      </c>
    </row>
    <row r="23" spans="2:9">
      <c r="B23" t="s">
        <v>1766</v>
      </c>
      <c r="C23">
        <v>1287.6652647000001</v>
      </c>
      <c r="D23">
        <v>1287.6652647000001</v>
      </c>
      <c r="E23" t="s">
        <v>2030</v>
      </c>
      <c r="F23">
        <v>0</v>
      </c>
      <c r="G23">
        <v>0</v>
      </c>
      <c r="H23">
        <v>0</v>
      </c>
      <c r="I23">
        <v>0</v>
      </c>
    </row>
    <row r="24" spans="2:9">
      <c r="B24" t="s">
        <v>1765</v>
      </c>
      <c r="C24">
        <v>0.3918007</v>
      </c>
      <c r="D24">
        <v>0.3918007</v>
      </c>
      <c r="E24" t="s">
        <v>2030</v>
      </c>
      <c r="F24">
        <v>0</v>
      </c>
      <c r="G24">
        <v>0</v>
      </c>
      <c r="H24">
        <v>0</v>
      </c>
      <c r="I24">
        <v>0</v>
      </c>
    </row>
    <row r="25" spans="2:9">
      <c r="B25" t="s">
        <v>1808</v>
      </c>
      <c r="C25">
        <v>123.55629445111595</v>
      </c>
      <c r="D25">
        <v>123.55631839999999</v>
      </c>
      <c r="E25" t="s">
        <v>2029</v>
      </c>
      <c r="F25">
        <v>-2.2643662673335717E-6</v>
      </c>
      <c r="G25">
        <v>-1.9382969935771879E-6</v>
      </c>
      <c r="H25">
        <v>12.355631839999999</v>
      </c>
      <c r="I25">
        <v>10.576417956190381</v>
      </c>
    </row>
    <row r="26" spans="2:9">
      <c r="B26" t="s">
        <v>1807</v>
      </c>
      <c r="C26">
        <v>0.37288929999999998</v>
      </c>
      <c r="D26">
        <v>0.37288929999999998</v>
      </c>
      <c r="E26" t="s">
        <v>2029</v>
      </c>
      <c r="F26">
        <v>0</v>
      </c>
      <c r="G26">
        <v>0</v>
      </c>
      <c r="H26">
        <v>3.7288929999999998E-2</v>
      </c>
      <c r="I26">
        <v>9.4628336681129971E-8</v>
      </c>
    </row>
    <row r="27" spans="2:9">
      <c r="B27" t="s">
        <v>1774</v>
      </c>
      <c r="C27">
        <v>5086</v>
      </c>
      <c r="D27">
        <v>5086</v>
      </c>
      <c r="E27" t="s">
        <v>2030</v>
      </c>
      <c r="F27">
        <v>0</v>
      </c>
      <c r="G27">
        <v>0</v>
      </c>
      <c r="H27">
        <v>0</v>
      </c>
      <c r="I27">
        <v>0</v>
      </c>
    </row>
    <row r="28" spans="2:9">
      <c r="B28" t="s">
        <v>1775</v>
      </c>
      <c r="C28">
        <v>5086</v>
      </c>
      <c r="D28">
        <v>5086</v>
      </c>
      <c r="E28" t="s">
        <v>2029</v>
      </c>
      <c r="F28">
        <v>0</v>
      </c>
      <c r="G28">
        <v>0</v>
      </c>
      <c r="H28">
        <v>508.6</v>
      </c>
      <c r="I28">
        <v>0</v>
      </c>
    </row>
    <row r="29" spans="2:9">
      <c r="B29" t="s">
        <v>1764</v>
      </c>
      <c r="C29">
        <v>4.869334192259382</v>
      </c>
      <c r="D29">
        <v>4.8693339</v>
      </c>
      <c r="E29" t="s">
        <v>2029</v>
      </c>
      <c r="F29">
        <v>6.0128937089117836E-6</v>
      </c>
      <c r="G29">
        <v>6.0020402796510498E-7</v>
      </c>
      <c r="H29">
        <v>0.48693339000000002</v>
      </c>
      <c r="I29">
        <v>4.8605446258852401E-2</v>
      </c>
    </row>
    <row r="30" spans="2:9">
      <c r="B30" t="s">
        <v>1773</v>
      </c>
      <c r="C30">
        <v>0.41959999999999997</v>
      </c>
      <c r="D30">
        <v>0.41959999999999997</v>
      </c>
      <c r="E30" t="s">
        <v>2029</v>
      </c>
      <c r="F30">
        <v>0</v>
      </c>
      <c r="G30">
        <v>0</v>
      </c>
      <c r="H30">
        <v>4.1959999999999997E-2</v>
      </c>
      <c r="I30">
        <v>0</v>
      </c>
    </row>
    <row r="31" spans="2:9">
      <c r="B31" t="s">
        <v>1761</v>
      </c>
      <c r="C31">
        <v>76.660854328765268</v>
      </c>
      <c r="D31">
        <v>76.660853500000002</v>
      </c>
      <c r="E31" t="s">
        <v>2029</v>
      </c>
      <c r="F31">
        <v>1.0824445196087563E-7</v>
      </c>
      <c r="G31">
        <v>1.0810801450208507E-7</v>
      </c>
      <c r="H31">
        <v>7.6660853500000004</v>
      </c>
      <c r="I31">
        <v>7.6564225803607444</v>
      </c>
    </row>
    <row r="32" spans="2:9">
      <c r="B32" t="s">
        <v>1770</v>
      </c>
      <c r="C32">
        <v>361.39702899999997</v>
      </c>
      <c r="D32">
        <v>361.39702899999997</v>
      </c>
      <c r="E32" t="s">
        <v>2029</v>
      </c>
      <c r="F32">
        <v>0</v>
      </c>
      <c r="G32">
        <v>0</v>
      </c>
      <c r="H32">
        <v>36.139702900000003</v>
      </c>
      <c r="I32">
        <v>20.865267197748103</v>
      </c>
    </row>
    <row r="33" spans="2:9">
      <c r="B33" t="s">
        <v>1767</v>
      </c>
      <c r="C33">
        <v>3.7107842999999998</v>
      </c>
      <c r="D33">
        <v>3.7107842999999998</v>
      </c>
      <c r="E33" t="s">
        <v>2030</v>
      </c>
      <c r="F33">
        <v>0</v>
      </c>
      <c r="G33">
        <v>0</v>
      </c>
      <c r="H33">
        <v>0</v>
      </c>
      <c r="I33">
        <v>0</v>
      </c>
    </row>
    <row r="34" spans="2:9">
      <c r="B34" t="s">
        <v>1809</v>
      </c>
      <c r="C34">
        <v>2.5967184759200328</v>
      </c>
      <c r="D34">
        <v>2.5967175</v>
      </c>
      <c r="E34" t="s">
        <v>2029</v>
      </c>
      <c r="F34">
        <v>9.0615708327852832E-6</v>
      </c>
      <c r="G34">
        <v>3.7582834204581293E-6</v>
      </c>
      <c r="H34">
        <v>0.25967174999999998</v>
      </c>
      <c r="I34">
        <v>0.1076987699809633</v>
      </c>
    </row>
    <row r="35" spans="2:9">
      <c r="B35" t="s">
        <v>1777</v>
      </c>
      <c r="C35">
        <v>5537.2600852161841</v>
      </c>
      <c r="D35">
        <v>5537.2619653000002</v>
      </c>
      <c r="E35" t="s">
        <v>2029</v>
      </c>
      <c r="F35">
        <v>-2.3360730825988973E-5</v>
      </c>
      <c r="G35">
        <v>-3.3953311724927592E-6</v>
      </c>
      <c r="H35">
        <v>553.72619653000004</v>
      </c>
      <c r="I35">
        <v>80.48052221091281</v>
      </c>
    </row>
    <row r="36" spans="2:9">
      <c r="B36" t="s">
        <v>1776</v>
      </c>
      <c r="C36">
        <v>0.37390586182217755</v>
      </c>
      <c r="D36">
        <v>0.37390590000000001</v>
      </c>
      <c r="E36" t="s">
        <v>2029</v>
      </c>
      <c r="F36">
        <v>0</v>
      </c>
      <c r="G36">
        <v>-1.0210542935792773E-6</v>
      </c>
      <c r="H36">
        <v>3.7390590000000001E-2</v>
      </c>
      <c r="I36">
        <v>9.9738793142584192E-6</v>
      </c>
    </row>
    <row r="37" spans="2:9">
      <c r="B37" t="s">
        <v>1783</v>
      </c>
      <c r="C37">
        <v>1544.1567937583741</v>
      </c>
      <c r="D37">
        <v>1544.1572060999999</v>
      </c>
      <c r="E37" t="s">
        <v>2029</v>
      </c>
      <c r="F37">
        <v>-5.7605183496235608E-6</v>
      </c>
      <c r="G37">
        <v>-2.6703344985334805E-6</v>
      </c>
      <c r="H37">
        <v>154.41572060999999</v>
      </c>
      <c r="I37">
        <v>71.580646190934559</v>
      </c>
    </row>
    <row r="38" spans="2:9">
      <c r="B38" t="s">
        <v>1782</v>
      </c>
      <c r="C38">
        <v>0.37421393091108873</v>
      </c>
      <c r="D38">
        <v>0.37421399999999999</v>
      </c>
      <c r="E38" t="s">
        <v>2029</v>
      </c>
      <c r="F38">
        <v>0</v>
      </c>
      <c r="G38">
        <v>-1.8462406873787339E-6</v>
      </c>
      <c r="H38">
        <v>3.74214E-2</v>
      </c>
      <c r="I38">
        <v>4.986939657129213E-6</v>
      </c>
    </row>
    <row r="39" spans="2:9">
      <c r="B39" t="s">
        <v>1786</v>
      </c>
      <c r="C39">
        <v>0</v>
      </c>
      <c r="D39">
        <v>0</v>
      </c>
      <c r="E39" t="s">
        <v>2030</v>
      </c>
      <c r="F39">
        <v>0</v>
      </c>
      <c r="G39">
        <v>0</v>
      </c>
      <c r="H39">
        <v>0</v>
      </c>
      <c r="I39">
        <v>0</v>
      </c>
    </row>
    <row r="40" spans="2:9">
      <c r="B40" t="s">
        <v>1785</v>
      </c>
      <c r="C40">
        <v>0.37421393091108873</v>
      </c>
      <c r="D40">
        <v>0.37421399999999999</v>
      </c>
      <c r="E40" t="s">
        <v>2029</v>
      </c>
      <c r="F40">
        <v>0</v>
      </c>
      <c r="G40">
        <v>-1.8462406873787339E-6</v>
      </c>
      <c r="H40">
        <v>3.74214E-2</v>
      </c>
      <c r="I40">
        <v>4.9869396571292079E-6</v>
      </c>
    </row>
    <row r="41" spans="2:9">
      <c r="B41" t="s">
        <v>1780</v>
      </c>
      <c r="C41">
        <v>4700.4379387999998</v>
      </c>
      <c r="D41">
        <v>4700.4379387999998</v>
      </c>
      <c r="E41" t="s">
        <v>2030</v>
      </c>
      <c r="F41">
        <v>0</v>
      </c>
      <c r="G41">
        <v>0</v>
      </c>
      <c r="H41">
        <v>0</v>
      </c>
      <c r="I41">
        <v>0</v>
      </c>
    </row>
    <row r="42" spans="2:9">
      <c r="B42" t="s">
        <v>1779</v>
      </c>
      <c r="C42">
        <v>0.37452200000000002</v>
      </c>
      <c r="D42">
        <v>0.37452200000000002</v>
      </c>
      <c r="E42" t="s">
        <v>2030</v>
      </c>
      <c r="F42">
        <v>0</v>
      </c>
      <c r="G42">
        <v>0</v>
      </c>
      <c r="H42">
        <v>0</v>
      </c>
      <c r="I42">
        <v>0</v>
      </c>
    </row>
    <row r="43" spans="2:9">
      <c r="B43" t="s">
        <v>1811</v>
      </c>
      <c r="C43">
        <v>2380.9789401745593</v>
      </c>
      <c r="D43">
        <v>2380.9812327</v>
      </c>
      <c r="E43" t="s">
        <v>2029</v>
      </c>
      <c r="F43">
        <v>-4.2612669872293246E-5</v>
      </c>
      <c r="G43">
        <v>-9.6284901753733914E-6</v>
      </c>
      <c r="H43">
        <v>238.09812327</v>
      </c>
      <c r="I43">
        <v>53.799150523789116</v>
      </c>
    </row>
    <row r="44" spans="2:9">
      <c r="B44" t="s">
        <v>1810</v>
      </c>
      <c r="C44">
        <v>0.37288929999999998</v>
      </c>
      <c r="D44">
        <v>0.37288929999999998</v>
      </c>
      <c r="E44" t="s">
        <v>2029</v>
      </c>
      <c r="F44">
        <v>0</v>
      </c>
      <c r="G44">
        <v>0</v>
      </c>
      <c r="H44">
        <v>3.7288929999999998E-2</v>
      </c>
      <c r="I44">
        <v>9.4628336681129971E-8</v>
      </c>
    </row>
    <row r="45" spans="2:9">
      <c r="B45" t="s">
        <v>1788</v>
      </c>
      <c r="C45">
        <v>5086</v>
      </c>
      <c r="D45">
        <v>5086</v>
      </c>
      <c r="E45" t="s">
        <v>2030</v>
      </c>
      <c r="F45">
        <v>0</v>
      </c>
      <c r="G45">
        <v>0</v>
      </c>
      <c r="H45">
        <v>0</v>
      </c>
      <c r="I45">
        <v>0</v>
      </c>
    </row>
    <row r="46" spans="2:9">
      <c r="B46" t="s">
        <v>1789</v>
      </c>
      <c r="C46">
        <v>5086</v>
      </c>
      <c r="D46">
        <v>5086</v>
      </c>
      <c r="E46" t="s">
        <v>2029</v>
      </c>
      <c r="F46">
        <v>0</v>
      </c>
      <c r="G46">
        <v>0</v>
      </c>
      <c r="H46">
        <v>508.6</v>
      </c>
      <c r="I46">
        <v>0</v>
      </c>
    </row>
    <row r="47" spans="2:9">
      <c r="B47" t="s">
        <v>1778</v>
      </c>
      <c r="C47">
        <v>0.67950479156639565</v>
      </c>
      <c r="D47">
        <v>0.67950449999999996</v>
      </c>
      <c r="E47" t="s">
        <v>2029</v>
      </c>
      <c r="F47">
        <v>1.0920190427293033E-5</v>
      </c>
      <c r="G47">
        <v>4.2908677675235548E-6</v>
      </c>
      <c r="H47">
        <v>6.7950449999999996E-2</v>
      </c>
      <c r="I47">
        <v>2.6699753784970966E-2</v>
      </c>
    </row>
    <row r="48" spans="2:9">
      <c r="B48" t="s">
        <v>1784</v>
      </c>
      <c r="C48">
        <v>0.43959999999999999</v>
      </c>
      <c r="D48">
        <v>0.43959999999999999</v>
      </c>
      <c r="E48" t="s">
        <v>2029</v>
      </c>
      <c r="F48">
        <v>0</v>
      </c>
      <c r="G48">
        <v>0</v>
      </c>
      <c r="H48">
        <v>4.3959999999999999E-2</v>
      </c>
      <c r="I48">
        <v>0</v>
      </c>
    </row>
    <row r="49" spans="2:9">
      <c r="B49" t="s">
        <v>1787</v>
      </c>
      <c r="C49">
        <v>0.5202</v>
      </c>
      <c r="D49">
        <v>0.5202</v>
      </c>
      <c r="E49" t="s">
        <v>2029</v>
      </c>
      <c r="F49">
        <v>0</v>
      </c>
      <c r="G49">
        <v>0</v>
      </c>
      <c r="H49">
        <v>5.2019999999999997E-2</v>
      </c>
      <c r="I49">
        <v>0</v>
      </c>
    </row>
    <row r="50" spans="2:9">
      <c r="B50" t="s">
        <v>1790</v>
      </c>
      <c r="C50">
        <v>5703.9210722830094</v>
      </c>
      <c r="D50">
        <v>5703.9251413000002</v>
      </c>
      <c r="E50" t="s">
        <v>2029</v>
      </c>
      <c r="F50">
        <v>-1.4531067847308726E-5</v>
      </c>
      <c r="G50">
        <v>-7.1337138724617858E-6</v>
      </c>
      <c r="H50">
        <v>570.39251413</v>
      </c>
      <c r="I50">
        <v>280.0218837014894</v>
      </c>
    </row>
    <row r="51" spans="2:9">
      <c r="B51" t="s">
        <v>1781</v>
      </c>
      <c r="C51">
        <v>0.84302679999999997</v>
      </c>
      <c r="D51">
        <v>0.84302679999999997</v>
      </c>
      <c r="E51" t="s">
        <v>2030</v>
      </c>
      <c r="F51">
        <v>0</v>
      </c>
      <c r="G51">
        <v>0</v>
      </c>
      <c r="H51">
        <v>0</v>
      </c>
      <c r="I51">
        <v>0</v>
      </c>
    </row>
    <row r="52" spans="2:9">
      <c r="B52" t="s">
        <v>1812</v>
      </c>
      <c r="C52">
        <v>2.5967184759200328</v>
      </c>
      <c r="D52">
        <v>2.5967175</v>
      </c>
      <c r="E52" t="s">
        <v>2029</v>
      </c>
      <c r="F52">
        <v>9.0615708327852832E-6</v>
      </c>
      <c r="G52">
        <v>3.7582834204581293E-6</v>
      </c>
      <c r="H52">
        <v>0.25967174999999998</v>
      </c>
      <c r="I52">
        <v>0.10769876998096328</v>
      </c>
    </row>
    <row r="53" spans="2:9">
      <c r="B53" t="s">
        <v>1791</v>
      </c>
      <c r="C53">
        <v>5780.5819266117751</v>
      </c>
      <c r="D53">
        <v>5780.5859947999998</v>
      </c>
      <c r="E53" t="s">
        <v>2029</v>
      </c>
      <c r="F53">
        <v>-1.4525092094861384E-5</v>
      </c>
      <c r="G53">
        <v>-7.0376744301080765E-6</v>
      </c>
      <c r="H53">
        <v>578.05859948</v>
      </c>
      <c r="I53">
        <v>280.08002965459377</v>
      </c>
    </row>
    <row r="54" spans="2:9">
      <c r="B54" t="s">
        <v>1814</v>
      </c>
      <c r="C54">
        <v>2504.5352346256741</v>
      </c>
      <c r="D54">
        <v>2504.5375511000002</v>
      </c>
      <c r="E54" t="s">
        <v>2029</v>
      </c>
      <c r="F54">
        <v>-4.3528583703790943E-5</v>
      </c>
      <c r="G54">
        <v>-9.2491099807639427E-6</v>
      </c>
      <c r="H54">
        <v>250.45375511</v>
      </c>
      <c r="I54">
        <v>53.217314440349348</v>
      </c>
    </row>
    <row r="55" spans="2:9">
      <c r="B55" t="s">
        <v>1813</v>
      </c>
      <c r="C55">
        <v>0.37288929999999998</v>
      </c>
      <c r="D55">
        <v>0.37288929999999998</v>
      </c>
      <c r="E55" t="s">
        <v>2029</v>
      </c>
      <c r="F55">
        <v>0</v>
      </c>
      <c r="G55">
        <v>0</v>
      </c>
      <c r="H55">
        <v>3.7288929999999998E-2</v>
      </c>
      <c r="I55">
        <v>9.4628336681129997E-8</v>
      </c>
    </row>
    <row r="56" spans="2:9">
      <c r="B56" t="s">
        <v>1815</v>
      </c>
      <c r="C56">
        <v>2.5967184759200328</v>
      </c>
      <c r="D56">
        <v>2.5967175</v>
      </c>
      <c r="E56" t="s">
        <v>2029</v>
      </c>
      <c r="F56">
        <v>9.0615708327852832E-6</v>
      </c>
      <c r="G56">
        <v>3.7582834204581293E-6</v>
      </c>
      <c r="H56">
        <v>0.25967174999999998</v>
      </c>
      <c r="I56">
        <v>0.1076987699809633</v>
      </c>
    </row>
    <row r="57" spans="2:9">
      <c r="B57" t="s">
        <v>1829</v>
      </c>
      <c r="C57">
        <v>2504.5352346256741</v>
      </c>
      <c r="D57">
        <v>2504.5375511000002</v>
      </c>
      <c r="E57" t="s">
        <v>2029</v>
      </c>
      <c r="F57">
        <v>-4.3528583703790943E-5</v>
      </c>
      <c r="G57">
        <v>-9.2491099807639427E-6</v>
      </c>
      <c r="H57">
        <v>250.45375511</v>
      </c>
      <c r="I57">
        <v>53.217314440349348</v>
      </c>
    </row>
    <row r="58" spans="2:9">
      <c r="B58" t="s">
        <v>1828</v>
      </c>
      <c r="C58">
        <v>0.37288929999999998</v>
      </c>
      <c r="D58">
        <v>0.37288929999999998</v>
      </c>
      <c r="E58" t="s">
        <v>2030</v>
      </c>
      <c r="F58">
        <v>0</v>
      </c>
      <c r="G58">
        <v>0</v>
      </c>
      <c r="H58">
        <v>0</v>
      </c>
      <c r="I58">
        <v>0</v>
      </c>
    </row>
    <row r="59" spans="2:9">
      <c r="B59" t="s">
        <v>1889</v>
      </c>
      <c r="C59">
        <v>0</v>
      </c>
      <c r="D59">
        <v>0</v>
      </c>
      <c r="E59" t="s">
        <v>2030</v>
      </c>
      <c r="F59">
        <v>0</v>
      </c>
      <c r="G59">
        <v>0</v>
      </c>
      <c r="H59">
        <v>0</v>
      </c>
      <c r="I59">
        <v>0</v>
      </c>
    </row>
    <row r="60" spans="2:9">
      <c r="B60" t="s">
        <v>1888</v>
      </c>
      <c r="C60">
        <v>0.37421393091108873</v>
      </c>
      <c r="D60">
        <v>0.37421399999999999</v>
      </c>
      <c r="E60" t="s">
        <v>2029</v>
      </c>
      <c r="F60">
        <v>0</v>
      </c>
      <c r="G60">
        <v>-1.8462406873787339E-6</v>
      </c>
      <c r="H60">
        <v>3.74214E-2</v>
      </c>
      <c r="I60">
        <v>4.9869396571292079E-6</v>
      </c>
    </row>
    <row r="61" spans="2:9">
      <c r="B61" t="s">
        <v>1871</v>
      </c>
      <c r="C61">
        <v>0</v>
      </c>
      <c r="D61">
        <v>0</v>
      </c>
      <c r="E61" t="s">
        <v>2030</v>
      </c>
      <c r="F61">
        <v>0</v>
      </c>
      <c r="G61">
        <v>0</v>
      </c>
      <c r="H61">
        <v>0</v>
      </c>
      <c r="I61">
        <v>0</v>
      </c>
    </row>
    <row r="62" spans="2:9">
      <c r="B62" t="s">
        <v>1870</v>
      </c>
      <c r="C62">
        <v>0.39082987796070384</v>
      </c>
      <c r="D62">
        <v>0.39082990000000001</v>
      </c>
      <c r="E62" t="s">
        <v>2029</v>
      </c>
      <c r="F62">
        <v>0</v>
      </c>
      <c r="G62">
        <v>-5.6391018614091008E-7</v>
      </c>
      <c r="H62">
        <v>3.9082989999999998E-2</v>
      </c>
      <c r="I62">
        <v>8.0424455451962712E-5</v>
      </c>
    </row>
    <row r="63" spans="2:9">
      <c r="B63" t="s">
        <v>1883</v>
      </c>
      <c r="C63">
        <v>0</v>
      </c>
      <c r="D63">
        <v>0</v>
      </c>
      <c r="E63" t="s">
        <v>2030</v>
      </c>
      <c r="F63">
        <v>0</v>
      </c>
      <c r="G63">
        <v>0</v>
      </c>
      <c r="H63">
        <v>0</v>
      </c>
      <c r="I63">
        <v>0</v>
      </c>
    </row>
    <row r="64" spans="2:9">
      <c r="B64" t="s">
        <v>1882</v>
      </c>
      <c r="C64">
        <v>0.37421393091108873</v>
      </c>
      <c r="D64">
        <v>0.37421399999999999</v>
      </c>
      <c r="E64" t="s">
        <v>2029</v>
      </c>
      <c r="F64">
        <v>0</v>
      </c>
      <c r="G64">
        <v>-1.8462406873787339E-6</v>
      </c>
      <c r="H64">
        <v>3.74214E-2</v>
      </c>
      <c r="I64">
        <v>4.9869396571292096E-6</v>
      </c>
    </row>
    <row r="65" spans="2:9">
      <c r="B65" t="s">
        <v>1877</v>
      </c>
      <c r="C65">
        <v>0</v>
      </c>
      <c r="D65">
        <v>0</v>
      </c>
      <c r="E65" t="s">
        <v>2030</v>
      </c>
      <c r="F65">
        <v>0</v>
      </c>
      <c r="G65">
        <v>0</v>
      </c>
      <c r="H65">
        <v>0</v>
      </c>
      <c r="I65">
        <v>0</v>
      </c>
    </row>
    <row r="66" spans="2:9">
      <c r="B66" t="s">
        <v>1876</v>
      </c>
      <c r="C66">
        <v>0.3908298779607039</v>
      </c>
      <c r="D66">
        <v>0.39082990000000001</v>
      </c>
      <c r="E66" t="s">
        <v>2029</v>
      </c>
      <c r="F66">
        <v>0</v>
      </c>
      <c r="G66">
        <v>-5.6391018472056966E-7</v>
      </c>
      <c r="H66">
        <v>3.9082989999999998E-2</v>
      </c>
      <c r="I66">
        <v>8.0424455451962726E-5</v>
      </c>
    </row>
    <row r="67" spans="2:9">
      <c r="B67" t="s">
        <v>1830</v>
      </c>
      <c r="C67">
        <v>2.5967184759200324</v>
      </c>
      <c r="D67">
        <v>2.5967175</v>
      </c>
      <c r="E67" t="s">
        <v>2029</v>
      </c>
      <c r="F67">
        <v>9.0615708286595399E-6</v>
      </c>
      <c r="G67">
        <v>3.758283418747935E-6</v>
      </c>
      <c r="H67">
        <v>0.25967174999999998</v>
      </c>
      <c r="I67">
        <v>0.10769876998099069</v>
      </c>
    </row>
    <row r="68" spans="2:9">
      <c r="B68" t="s">
        <v>1878</v>
      </c>
      <c r="C68">
        <v>0.41959999999999997</v>
      </c>
      <c r="D68">
        <v>0.41959999999999997</v>
      </c>
      <c r="E68" t="s">
        <v>2030</v>
      </c>
      <c r="F68">
        <v>0</v>
      </c>
      <c r="G68">
        <v>0</v>
      </c>
      <c r="H68">
        <v>0</v>
      </c>
      <c r="I68">
        <v>0</v>
      </c>
    </row>
    <row r="69" spans="2:9">
      <c r="B69" t="s">
        <v>1890</v>
      </c>
      <c r="C69">
        <v>0.5202</v>
      </c>
      <c r="D69">
        <v>0.5202</v>
      </c>
      <c r="E69" t="s">
        <v>2030</v>
      </c>
      <c r="F69">
        <v>0</v>
      </c>
      <c r="G69">
        <v>0</v>
      </c>
      <c r="H69">
        <v>0</v>
      </c>
      <c r="I69">
        <v>0</v>
      </c>
    </row>
    <row r="70" spans="2:9">
      <c r="B70" t="s">
        <v>1884</v>
      </c>
      <c r="C70">
        <v>0.43959999999999999</v>
      </c>
      <c r="D70">
        <v>0.43959999999999999</v>
      </c>
      <c r="E70" t="s">
        <v>2030</v>
      </c>
      <c r="F70">
        <v>0</v>
      </c>
      <c r="G70">
        <v>0</v>
      </c>
      <c r="H70">
        <v>0</v>
      </c>
      <c r="I70">
        <v>0</v>
      </c>
    </row>
    <row r="71" spans="2:9">
      <c r="B71" t="s">
        <v>1872</v>
      </c>
      <c r="C71">
        <v>361.39702899999997</v>
      </c>
      <c r="D71">
        <v>361.39702899999997</v>
      </c>
      <c r="E71" t="s">
        <v>2029</v>
      </c>
      <c r="F71">
        <v>0</v>
      </c>
      <c r="G71">
        <v>0</v>
      </c>
      <c r="H71">
        <v>36.139702900000003</v>
      </c>
      <c r="I71">
        <v>20.865267197748103</v>
      </c>
    </row>
    <row r="72" spans="2:9">
      <c r="B72" t="s">
        <v>1793</v>
      </c>
      <c r="C72">
        <v>0</v>
      </c>
      <c r="D72">
        <v>0</v>
      </c>
      <c r="E72" t="s">
        <v>2030</v>
      </c>
      <c r="F72">
        <v>0</v>
      </c>
      <c r="G72">
        <v>0</v>
      </c>
      <c r="H72">
        <v>0</v>
      </c>
      <c r="I72">
        <v>0</v>
      </c>
    </row>
    <row r="73" spans="2:9">
      <c r="B73" t="s">
        <v>1792</v>
      </c>
      <c r="C73">
        <v>0.37773758471833613</v>
      </c>
      <c r="D73">
        <v>0.37773760000000001</v>
      </c>
      <c r="E73" t="s">
        <v>2029</v>
      </c>
      <c r="F73">
        <v>-9.4794823039845926E-5</v>
      </c>
      <c r="G73">
        <v>-4.045576579817152E-7</v>
      </c>
      <c r="H73">
        <v>3.7773760000000003E-2</v>
      </c>
      <c r="I73">
        <v>1.6120778950491762E-4</v>
      </c>
    </row>
    <row r="74" spans="2:9">
      <c r="B74" t="s">
        <v>1796</v>
      </c>
      <c r="C74">
        <v>0</v>
      </c>
      <c r="D74">
        <v>0</v>
      </c>
      <c r="E74" t="s">
        <v>2030</v>
      </c>
      <c r="F74">
        <v>0</v>
      </c>
      <c r="G74">
        <v>0</v>
      </c>
      <c r="H74">
        <v>0</v>
      </c>
      <c r="I74">
        <v>0</v>
      </c>
    </row>
    <row r="75" spans="2:9">
      <c r="B75" t="s">
        <v>1795</v>
      </c>
      <c r="C75">
        <v>0.37773758471833613</v>
      </c>
      <c r="D75">
        <v>0.37773760000000001</v>
      </c>
      <c r="E75" t="s">
        <v>2029</v>
      </c>
      <c r="F75">
        <v>-9.4794823039845926E-5</v>
      </c>
      <c r="G75">
        <v>-4.045576579817152E-7</v>
      </c>
      <c r="H75">
        <v>3.7773760000000003E-2</v>
      </c>
      <c r="I75">
        <v>1.6120778950491762E-4</v>
      </c>
    </row>
    <row r="76" spans="2:9">
      <c r="B76" t="s">
        <v>1799</v>
      </c>
      <c r="C76">
        <v>667.31086771851994</v>
      </c>
      <c r="D76">
        <v>667.31095500000004</v>
      </c>
      <c r="E76" t="s">
        <v>2029</v>
      </c>
      <c r="F76">
        <v>-1.5146351024889702E-6</v>
      </c>
      <c r="G76">
        <v>-1.3079581481081138E-6</v>
      </c>
      <c r="H76">
        <v>66.731095499999995</v>
      </c>
      <c r="I76">
        <v>57.625417467202318</v>
      </c>
    </row>
    <row r="77" spans="2:9">
      <c r="B77" t="s">
        <v>1798</v>
      </c>
      <c r="C77">
        <v>0.37773758471833613</v>
      </c>
      <c r="D77">
        <v>0.37773760000000001</v>
      </c>
      <c r="E77" t="s">
        <v>2029</v>
      </c>
      <c r="F77">
        <v>-9.4794823039845926E-5</v>
      </c>
      <c r="G77">
        <v>-4.045576579817152E-7</v>
      </c>
      <c r="H77">
        <v>3.7773760000000003E-2</v>
      </c>
      <c r="I77">
        <v>1.6120778950491762E-4</v>
      </c>
    </row>
    <row r="78" spans="2:9">
      <c r="B78" t="s">
        <v>1802</v>
      </c>
      <c r="C78">
        <v>1292.4395783196485</v>
      </c>
      <c r="D78">
        <v>1292.4398811000001</v>
      </c>
      <c r="E78" t="s">
        <v>2029</v>
      </c>
      <c r="F78">
        <v>-3.8681602021442386E-6</v>
      </c>
      <c r="G78">
        <v>-2.3427035642513802E-6</v>
      </c>
      <c r="H78">
        <v>129.24398811</v>
      </c>
      <c r="I78">
        <v>78.275028897593145</v>
      </c>
    </row>
    <row r="79" spans="2:9">
      <c r="B79" t="s">
        <v>1801</v>
      </c>
      <c r="C79">
        <v>0.37773758471833613</v>
      </c>
      <c r="D79">
        <v>0.37773760000000001</v>
      </c>
      <c r="E79" t="s">
        <v>2029</v>
      </c>
      <c r="F79">
        <v>-9.4794823039845872E-5</v>
      </c>
      <c r="G79">
        <v>-4.045576579817152E-7</v>
      </c>
      <c r="H79">
        <v>3.7773760000000003E-2</v>
      </c>
      <c r="I79">
        <v>1.612077895049177E-4</v>
      </c>
    </row>
    <row r="80" spans="2:9">
      <c r="B80" t="s">
        <v>1805</v>
      </c>
      <c r="C80">
        <v>1959.7504460381695</v>
      </c>
      <c r="D80">
        <v>1959.7508361</v>
      </c>
      <c r="E80" t="s">
        <v>2029</v>
      </c>
      <c r="F80">
        <v>-5.4482009421283492E-6</v>
      </c>
      <c r="G80">
        <v>-1.9903644043552978E-6</v>
      </c>
      <c r="H80">
        <v>195.97508361000001</v>
      </c>
      <c r="I80">
        <v>71.594611634408437</v>
      </c>
    </row>
    <row r="81" spans="2:9">
      <c r="B81" t="s">
        <v>1804</v>
      </c>
      <c r="C81">
        <v>0.37773758471833613</v>
      </c>
      <c r="D81">
        <v>0.37773760000000001</v>
      </c>
      <c r="E81" t="s">
        <v>2029</v>
      </c>
      <c r="F81">
        <v>-9.4794823039845926E-5</v>
      </c>
      <c r="G81">
        <v>-4.045576579817152E-7</v>
      </c>
      <c r="H81">
        <v>3.7773760000000003E-2</v>
      </c>
      <c r="I81">
        <v>1.6120778950491762E-4</v>
      </c>
    </row>
    <row r="82" spans="2:9">
      <c r="B82" t="s">
        <v>1794</v>
      </c>
      <c r="C82">
        <v>0.43535870843024971</v>
      </c>
      <c r="D82">
        <v>0.43535869999999999</v>
      </c>
      <c r="E82" t="s">
        <v>2029</v>
      </c>
      <c r="F82">
        <v>4.1239421527509224E-5</v>
      </c>
      <c r="G82">
        <v>1.9363916973580064E-7</v>
      </c>
      <c r="H82">
        <v>4.3535869999999997E-2</v>
      </c>
      <c r="I82">
        <v>2.0442211379958998E-4</v>
      </c>
    </row>
    <row r="83" spans="2:9">
      <c r="B83" t="s">
        <v>1797</v>
      </c>
      <c r="C83">
        <v>0.43535870843024971</v>
      </c>
      <c r="D83">
        <v>0.43535869999999999</v>
      </c>
      <c r="E83" t="s">
        <v>2029</v>
      </c>
      <c r="F83">
        <v>4.1239421527509217E-5</v>
      </c>
      <c r="G83">
        <v>1.9363916973580064E-7</v>
      </c>
      <c r="H83">
        <v>4.3535869999999997E-2</v>
      </c>
      <c r="I83">
        <v>2.0442211379959001E-4</v>
      </c>
    </row>
    <row r="84" spans="2:9">
      <c r="B84" t="s">
        <v>1803</v>
      </c>
      <c r="C84">
        <v>0.43535870843024971</v>
      </c>
      <c r="D84">
        <v>0.43535869999999999</v>
      </c>
      <c r="E84" t="s">
        <v>2029</v>
      </c>
      <c r="F84">
        <v>4.1239421527509217E-5</v>
      </c>
      <c r="G84">
        <v>1.9363916973580064E-7</v>
      </c>
      <c r="H84">
        <v>4.3535869999999997E-2</v>
      </c>
      <c r="I84">
        <v>2.0442211379959001E-4</v>
      </c>
    </row>
    <row r="85" spans="2:9">
      <c r="B85" t="s">
        <v>1800</v>
      </c>
      <c r="C85">
        <v>0.43535870843024971</v>
      </c>
      <c r="D85">
        <v>0.43535869999999999</v>
      </c>
      <c r="E85" t="s">
        <v>2029</v>
      </c>
      <c r="F85">
        <v>4.1239421527509217E-5</v>
      </c>
      <c r="G85">
        <v>1.9363916973580064E-7</v>
      </c>
      <c r="H85">
        <v>4.3535869999999997E-2</v>
      </c>
      <c r="I85">
        <v>2.0442211379959001E-4</v>
      </c>
    </row>
    <row r="86" spans="2:9">
      <c r="B86" t="s">
        <v>1806</v>
      </c>
      <c r="C86">
        <v>0.43535870843024971</v>
      </c>
      <c r="D86">
        <v>0.43535869999999999</v>
      </c>
      <c r="E86" t="s">
        <v>2029</v>
      </c>
      <c r="F86">
        <v>4.1239421527509217E-5</v>
      </c>
      <c r="G86">
        <v>1.9363916973580064E-7</v>
      </c>
      <c r="H86">
        <v>4.3535869999999997E-2</v>
      </c>
      <c r="I86">
        <v>2.0442211379959001E-4</v>
      </c>
    </row>
    <row r="87" spans="2:9">
      <c r="B87" t="s">
        <v>1886</v>
      </c>
      <c r="C87">
        <v>1544.1567937583741</v>
      </c>
      <c r="D87">
        <v>1544.1572060999999</v>
      </c>
      <c r="E87" t="s">
        <v>2029</v>
      </c>
      <c r="F87">
        <v>-5.7605183496235608E-6</v>
      </c>
      <c r="G87">
        <v>-2.6703344985334805E-6</v>
      </c>
      <c r="H87">
        <v>154.41572060999999</v>
      </c>
      <c r="I87">
        <v>71.580646190934559</v>
      </c>
    </row>
    <row r="88" spans="2:9">
      <c r="B88" t="s">
        <v>1885</v>
      </c>
      <c r="C88">
        <v>0.37421393091108873</v>
      </c>
      <c r="D88">
        <v>0.37421399999999999</v>
      </c>
      <c r="E88" t="s">
        <v>2029</v>
      </c>
      <c r="F88">
        <v>0</v>
      </c>
      <c r="G88">
        <v>-1.8462406873787339E-6</v>
      </c>
      <c r="H88">
        <v>3.74214E-2</v>
      </c>
      <c r="I88">
        <v>4.9869396571292147E-6</v>
      </c>
    </row>
    <row r="89" spans="2:9">
      <c r="B89" t="s">
        <v>1874</v>
      </c>
      <c r="C89">
        <v>0</v>
      </c>
      <c r="D89">
        <v>0</v>
      </c>
      <c r="E89" t="s">
        <v>2030</v>
      </c>
      <c r="F89">
        <v>0</v>
      </c>
      <c r="G89">
        <v>0</v>
      </c>
      <c r="H89">
        <v>0</v>
      </c>
      <c r="I89">
        <v>0</v>
      </c>
    </row>
    <row r="90" spans="2:9">
      <c r="B90" t="s">
        <v>1873</v>
      </c>
      <c r="C90">
        <v>0.39082987796070384</v>
      </c>
      <c r="D90">
        <v>0.39082990000000001</v>
      </c>
      <c r="E90" t="s">
        <v>2029</v>
      </c>
      <c r="F90">
        <v>0</v>
      </c>
      <c r="G90">
        <v>-5.6391018614091008E-7</v>
      </c>
      <c r="H90">
        <v>3.9082989999999998E-2</v>
      </c>
      <c r="I90">
        <v>8.0424455451962726E-5</v>
      </c>
    </row>
    <row r="91" spans="2:9">
      <c r="B91" t="s">
        <v>1880</v>
      </c>
      <c r="C91">
        <v>415.59365227979447</v>
      </c>
      <c r="D91">
        <v>415.59363000000002</v>
      </c>
      <c r="E91" t="s">
        <v>2029</v>
      </c>
      <c r="F91">
        <v>1.511736187392475E-6</v>
      </c>
      <c r="G91">
        <v>5.3609566754528349E-7</v>
      </c>
      <c r="H91">
        <v>41.559362999999998</v>
      </c>
      <c r="I91">
        <v>14.737885244826451</v>
      </c>
    </row>
    <row r="92" spans="2:9">
      <c r="B92" t="s">
        <v>1879</v>
      </c>
      <c r="C92">
        <v>0.3908298779607039</v>
      </c>
      <c r="D92">
        <v>0.39082990000000001</v>
      </c>
      <c r="E92" t="s">
        <v>2029</v>
      </c>
      <c r="F92">
        <v>0</v>
      </c>
      <c r="G92">
        <v>-5.6391018472056966E-7</v>
      </c>
      <c r="H92">
        <v>3.9082989999999998E-2</v>
      </c>
      <c r="I92">
        <v>8.0424455451962726E-5</v>
      </c>
    </row>
    <row r="93" spans="2:9">
      <c r="B93" t="s">
        <v>1892</v>
      </c>
      <c r="C93">
        <v>0</v>
      </c>
      <c r="D93">
        <v>0</v>
      </c>
      <c r="E93" t="s">
        <v>2030</v>
      </c>
      <c r="F93">
        <v>0</v>
      </c>
      <c r="G93">
        <v>0</v>
      </c>
      <c r="H93">
        <v>0</v>
      </c>
      <c r="I93">
        <v>0</v>
      </c>
    </row>
    <row r="94" spans="2:9">
      <c r="B94" t="s">
        <v>1891</v>
      </c>
      <c r="C94">
        <v>0.37421393091108873</v>
      </c>
      <c r="D94">
        <v>0.37421399999999999</v>
      </c>
      <c r="E94" t="s">
        <v>2029</v>
      </c>
      <c r="F94">
        <v>0</v>
      </c>
      <c r="G94">
        <v>-1.8462406873787339E-6</v>
      </c>
      <c r="H94">
        <v>3.74214E-2</v>
      </c>
      <c r="I94">
        <v>4.986939657129213E-6</v>
      </c>
    </row>
    <row r="95" spans="2:9">
      <c r="B95" t="s">
        <v>1875</v>
      </c>
      <c r="C95">
        <v>361.39702899999997</v>
      </c>
      <c r="D95">
        <v>361.39702899999997</v>
      </c>
      <c r="E95" t="s">
        <v>2029</v>
      </c>
      <c r="F95">
        <v>0</v>
      </c>
      <c r="G95">
        <v>0</v>
      </c>
      <c r="H95">
        <v>36.139702900000003</v>
      </c>
      <c r="I95">
        <v>20.865267197748107</v>
      </c>
    </row>
    <row r="96" spans="2:9">
      <c r="B96" t="s">
        <v>1887</v>
      </c>
      <c r="C96">
        <v>0.43959999999999999</v>
      </c>
      <c r="D96">
        <v>0.43959999999999999</v>
      </c>
      <c r="E96" t="s">
        <v>2029</v>
      </c>
      <c r="F96">
        <v>0</v>
      </c>
      <c r="G96">
        <v>0</v>
      </c>
      <c r="H96">
        <v>4.3959999999999999E-2</v>
      </c>
      <c r="I96">
        <v>0</v>
      </c>
    </row>
    <row r="97" spans="2:9">
      <c r="B97" t="s">
        <v>1893</v>
      </c>
      <c r="C97">
        <v>0.5202</v>
      </c>
      <c r="D97">
        <v>0.5202</v>
      </c>
      <c r="E97" t="s">
        <v>2030</v>
      </c>
      <c r="F97">
        <v>0</v>
      </c>
      <c r="G97">
        <v>0</v>
      </c>
      <c r="H97">
        <v>0</v>
      </c>
      <c r="I97">
        <v>0</v>
      </c>
    </row>
    <row r="98" spans="2:9">
      <c r="B98" t="s">
        <v>1881</v>
      </c>
      <c r="C98">
        <v>0.41959999999999997</v>
      </c>
      <c r="D98">
        <v>0.41959999999999997</v>
      </c>
      <c r="E98" t="s">
        <v>2029</v>
      </c>
      <c r="F98">
        <v>0</v>
      </c>
      <c r="G98">
        <v>0</v>
      </c>
      <c r="H98">
        <v>4.1959999999999997E-2</v>
      </c>
      <c r="I98">
        <v>0</v>
      </c>
    </row>
    <row r="99" spans="2:9">
      <c r="B99" t="s">
        <v>1995</v>
      </c>
      <c r="C99">
        <v>1771.3037138098055</v>
      </c>
      <c r="D99">
        <v>1771.3037405</v>
      </c>
      <c r="E99" t="s">
        <v>2029</v>
      </c>
      <c r="F99">
        <v>-3.0088001505376423E-7</v>
      </c>
      <c r="G99">
        <v>-1.5068107143283957E-7</v>
      </c>
      <c r="H99">
        <v>177.13037405</v>
      </c>
      <c r="I99">
        <v>88.707103196549539</v>
      </c>
    </row>
    <row r="100" spans="2:9">
      <c r="B100" t="s">
        <v>1994</v>
      </c>
      <c r="C100">
        <v>0.37367426675211463</v>
      </c>
      <c r="D100">
        <v>0.37367430000000001</v>
      </c>
      <c r="E100" t="s">
        <v>2029</v>
      </c>
      <c r="F100">
        <v>0</v>
      </c>
      <c r="G100">
        <v>-8.8975574154486729E-7</v>
      </c>
      <c r="H100">
        <v>3.736743E-2</v>
      </c>
      <c r="I100">
        <v>7.1025081553772882E-5</v>
      </c>
    </row>
    <row r="101" spans="2:9">
      <c r="B101" t="s">
        <v>1962</v>
      </c>
      <c r="C101">
        <v>0</v>
      </c>
      <c r="D101">
        <v>0</v>
      </c>
      <c r="E101" t="s">
        <v>2030</v>
      </c>
      <c r="F101">
        <v>0</v>
      </c>
      <c r="G101">
        <v>0</v>
      </c>
      <c r="H101">
        <v>0</v>
      </c>
      <c r="I101">
        <v>0</v>
      </c>
    </row>
    <row r="102" spans="2:9">
      <c r="B102" t="s">
        <v>1961</v>
      </c>
      <c r="C102">
        <v>0.30489260000000001</v>
      </c>
      <c r="D102">
        <v>0.30489260000000001</v>
      </c>
      <c r="E102" t="s">
        <v>2029</v>
      </c>
      <c r="F102">
        <v>0</v>
      </c>
      <c r="G102">
        <v>0</v>
      </c>
      <c r="H102">
        <v>3.0489260000000001E-2</v>
      </c>
      <c r="I102">
        <v>2.1559162499359758E-2</v>
      </c>
    </row>
    <row r="103" spans="2:9">
      <c r="B103" t="s">
        <v>1971</v>
      </c>
      <c r="C103">
        <v>1771.3037138098055</v>
      </c>
      <c r="D103">
        <v>1771.3037405</v>
      </c>
      <c r="E103" t="s">
        <v>2029</v>
      </c>
      <c r="F103">
        <v>-3.0088001505376423E-7</v>
      </c>
      <c r="G103">
        <v>-1.5068107143283957E-7</v>
      </c>
      <c r="H103">
        <v>177.13037405</v>
      </c>
      <c r="I103">
        <v>88.707103196549554</v>
      </c>
    </row>
    <row r="104" spans="2:9">
      <c r="B104" t="s">
        <v>1970</v>
      </c>
      <c r="C104">
        <v>0.37367426675211463</v>
      </c>
      <c r="D104">
        <v>0.37367430000000001</v>
      </c>
      <c r="E104" t="s">
        <v>2029</v>
      </c>
      <c r="F104">
        <v>0</v>
      </c>
      <c r="G104">
        <v>-8.8975574154486729E-7</v>
      </c>
      <c r="H104">
        <v>3.736743E-2</v>
      </c>
      <c r="I104">
        <v>7.1024955527355702E-5</v>
      </c>
    </row>
    <row r="105" spans="2:9">
      <c r="B105" t="s">
        <v>1953</v>
      </c>
      <c r="C105">
        <v>0</v>
      </c>
      <c r="D105">
        <v>0</v>
      </c>
      <c r="E105" t="s">
        <v>2030</v>
      </c>
      <c r="F105">
        <v>0</v>
      </c>
      <c r="G105">
        <v>0</v>
      </c>
      <c r="H105">
        <v>0</v>
      </c>
      <c r="I105">
        <v>0</v>
      </c>
    </row>
    <row r="106" spans="2:9">
      <c r="B106" t="s">
        <v>1952</v>
      </c>
      <c r="C106">
        <v>0.3216</v>
      </c>
      <c r="D106">
        <v>0.3216</v>
      </c>
      <c r="E106" t="s">
        <v>2029</v>
      </c>
      <c r="F106">
        <v>0</v>
      </c>
      <c r="G106">
        <v>0</v>
      </c>
      <c r="H106">
        <v>3.2160000000000001E-2</v>
      </c>
      <c r="I106">
        <v>2.2740554082959372E-2</v>
      </c>
    </row>
    <row r="107" spans="2:9">
      <c r="B107" t="s">
        <v>1980</v>
      </c>
      <c r="C107">
        <v>0</v>
      </c>
      <c r="D107">
        <v>0</v>
      </c>
      <c r="E107" t="s">
        <v>2030</v>
      </c>
      <c r="F107">
        <v>0</v>
      </c>
      <c r="G107">
        <v>0</v>
      </c>
      <c r="H107">
        <v>0</v>
      </c>
      <c r="I107">
        <v>0</v>
      </c>
    </row>
    <row r="108" spans="2:9">
      <c r="B108" t="s">
        <v>1979</v>
      </c>
      <c r="C108">
        <v>0.37247654969142308</v>
      </c>
      <c r="D108">
        <v>0.37247659999999999</v>
      </c>
      <c r="E108" t="s">
        <v>2029</v>
      </c>
      <c r="F108">
        <v>-3.8157389034289063E-4</v>
      </c>
      <c r="G108">
        <v>-1.3506506694771901E-6</v>
      </c>
      <c r="H108">
        <v>3.7247660000000002E-2</v>
      </c>
      <c r="I108">
        <v>1.3184491441552872E-4</v>
      </c>
    </row>
    <row r="109" spans="2:9">
      <c r="B109" t="s">
        <v>1996</v>
      </c>
      <c r="C109">
        <v>0.45278775510033453</v>
      </c>
      <c r="D109">
        <v>0.45278770000000002</v>
      </c>
      <c r="E109" t="s">
        <v>2029</v>
      </c>
      <c r="F109">
        <v>1.8583123987723376E-4</v>
      </c>
      <c r="G109">
        <v>1.2169132358780365E-6</v>
      </c>
      <c r="H109">
        <v>4.5278770000000003E-2</v>
      </c>
      <c r="I109">
        <v>2.9650738247066777E-4</v>
      </c>
    </row>
    <row r="110" spans="2:9">
      <c r="B110" t="s">
        <v>1954</v>
      </c>
      <c r="C110">
        <v>0.53920000000000001</v>
      </c>
      <c r="D110">
        <v>0.53920000000000001</v>
      </c>
      <c r="E110" t="s">
        <v>2029</v>
      </c>
      <c r="F110">
        <v>0</v>
      </c>
      <c r="G110">
        <v>0</v>
      </c>
      <c r="H110">
        <v>5.3920000000000003E-2</v>
      </c>
      <c r="I110">
        <v>3.8127197641578639E-2</v>
      </c>
    </row>
    <row r="111" spans="2:9">
      <c r="B111" t="s">
        <v>1981</v>
      </c>
      <c r="C111">
        <v>0.44257865250220579</v>
      </c>
      <c r="D111">
        <v>0.44257859999999999</v>
      </c>
      <c r="E111" t="s">
        <v>2029</v>
      </c>
      <c r="F111">
        <v>2.8236623089360186E-4</v>
      </c>
      <c r="G111">
        <v>1.1862798112042697E-6</v>
      </c>
      <c r="H111">
        <v>4.4257860000000003E-2</v>
      </c>
      <c r="I111">
        <v>1.8593656061120252E-4</v>
      </c>
    </row>
    <row r="112" spans="2:9">
      <c r="B112" t="s">
        <v>1963</v>
      </c>
      <c r="C112">
        <v>0.51060000000000005</v>
      </c>
      <c r="D112">
        <v>0.51060000000000005</v>
      </c>
      <c r="E112" t="s">
        <v>2029</v>
      </c>
      <c r="F112">
        <v>0</v>
      </c>
      <c r="G112">
        <v>0</v>
      </c>
      <c r="H112">
        <v>5.1060000000000001E-2</v>
      </c>
      <c r="I112">
        <v>3.6104872247385109E-2</v>
      </c>
    </row>
    <row r="113" spans="2:9">
      <c r="B113" t="s">
        <v>1972</v>
      </c>
      <c r="C113">
        <v>0.45278775510033453</v>
      </c>
      <c r="D113">
        <v>0.45278770000000002</v>
      </c>
      <c r="E113" t="s">
        <v>2029</v>
      </c>
      <c r="F113">
        <v>1.8583125879424655E-4</v>
      </c>
      <c r="G113">
        <v>1.2169132358780365E-6</v>
      </c>
      <c r="H113">
        <v>4.5278770000000003E-2</v>
      </c>
      <c r="I113">
        <v>2.9650735228718851E-4</v>
      </c>
    </row>
    <row r="114" spans="2:9">
      <c r="B114" t="s">
        <v>1817</v>
      </c>
      <c r="C114">
        <v>6386.6919303881377</v>
      </c>
      <c r="D114">
        <v>6386.6891825000002</v>
      </c>
      <c r="E114" t="s">
        <v>2029</v>
      </c>
      <c r="F114">
        <v>5.8443041393877852E-6</v>
      </c>
      <c r="G114">
        <v>4.3025236691042419E-6</v>
      </c>
      <c r="H114">
        <v>638.66891825000005</v>
      </c>
      <c r="I114">
        <v>470.18226155829046</v>
      </c>
    </row>
    <row r="115" spans="2:9">
      <c r="B115" t="s">
        <v>1816</v>
      </c>
      <c r="C115">
        <v>3.0994999999999998E-3</v>
      </c>
      <c r="D115">
        <v>3.0994999999999998E-3</v>
      </c>
      <c r="E115" t="s">
        <v>2029</v>
      </c>
      <c r="F115">
        <v>0</v>
      </c>
      <c r="G115">
        <v>0</v>
      </c>
      <c r="H115">
        <v>3.0995000000000003E-4</v>
      </c>
      <c r="I115">
        <v>0</v>
      </c>
    </row>
    <row r="116" spans="2:9">
      <c r="B116" t="s">
        <v>1820</v>
      </c>
      <c r="C116">
        <v>27689.409078333763</v>
      </c>
      <c r="D116">
        <v>27689.391790999998</v>
      </c>
      <c r="E116" t="s">
        <v>2029</v>
      </c>
      <c r="F116">
        <v>1.3644955217245734E-5</v>
      </c>
      <c r="G116">
        <v>6.2433057019130137E-6</v>
      </c>
      <c r="H116">
        <v>2768.9391790999998</v>
      </c>
      <c r="I116">
        <v>1266.9395750948354</v>
      </c>
    </row>
    <row r="117" spans="2:9">
      <c r="B117" t="s">
        <v>1819</v>
      </c>
      <c r="C117">
        <v>3.0994999999999998E-3</v>
      </c>
      <c r="D117">
        <v>3.0994999999999998E-3</v>
      </c>
      <c r="E117" t="s">
        <v>2029</v>
      </c>
      <c r="F117">
        <v>0</v>
      </c>
      <c r="G117">
        <v>0</v>
      </c>
      <c r="H117">
        <v>3.0995000000000003E-4</v>
      </c>
      <c r="I117">
        <v>0</v>
      </c>
    </row>
    <row r="118" spans="2:9">
      <c r="B118" t="s">
        <v>1823</v>
      </c>
      <c r="C118">
        <v>22039.520695306364</v>
      </c>
      <c r="D118">
        <v>22039.5212842</v>
      </c>
      <c r="E118" t="s">
        <v>2029</v>
      </c>
      <c r="F118">
        <v>-5.274210186609102E-7</v>
      </c>
      <c r="G118">
        <v>-2.671989233017131E-7</v>
      </c>
      <c r="H118">
        <v>2203.95212842</v>
      </c>
      <c r="I118">
        <v>1116.5532181813837</v>
      </c>
    </row>
    <row r="119" spans="2:9">
      <c r="B119" t="s">
        <v>1822</v>
      </c>
      <c r="C119">
        <v>3.0994999999999998E-3</v>
      </c>
      <c r="D119">
        <v>3.0994999999999998E-3</v>
      </c>
      <c r="E119" t="s">
        <v>2029</v>
      </c>
      <c r="F119">
        <v>0</v>
      </c>
      <c r="G119">
        <v>0</v>
      </c>
      <c r="H119">
        <v>3.0995000000000003E-4</v>
      </c>
      <c r="I119">
        <v>0</v>
      </c>
    </row>
    <row r="120" spans="2:9">
      <c r="B120" t="s">
        <v>1904</v>
      </c>
      <c r="C120">
        <v>56115.621704028265</v>
      </c>
      <c r="D120">
        <v>56115.602257600003</v>
      </c>
      <c r="E120" t="s">
        <v>2029</v>
      </c>
      <c r="F120">
        <v>1.630910986611764E-5</v>
      </c>
      <c r="G120">
        <v>3.4654227129240364E-6</v>
      </c>
      <c r="H120">
        <v>5611.5602257600003</v>
      </c>
      <c r="I120">
        <v>1192.3660102192341</v>
      </c>
    </row>
    <row r="121" spans="2:9">
      <c r="B121" t="s">
        <v>1903</v>
      </c>
      <c r="C121">
        <v>3.0994999999999998E-3</v>
      </c>
      <c r="D121">
        <v>3.0994999999999998E-3</v>
      </c>
      <c r="E121" t="s">
        <v>2030</v>
      </c>
      <c r="F121">
        <v>0</v>
      </c>
      <c r="G121">
        <v>0</v>
      </c>
      <c r="H121">
        <v>0</v>
      </c>
      <c r="I121">
        <v>0</v>
      </c>
    </row>
    <row r="122" spans="2:9">
      <c r="B122" t="s">
        <v>1818</v>
      </c>
      <c r="C122">
        <v>2.8654906320044731</v>
      </c>
      <c r="D122">
        <v>2.8654912000000001</v>
      </c>
      <c r="E122" t="s">
        <v>2029</v>
      </c>
      <c r="F122">
        <v>-6.8535079793162388E-6</v>
      </c>
      <c r="G122">
        <v>-1.9821925366811558E-6</v>
      </c>
      <c r="H122">
        <v>0.28654911999999999</v>
      </c>
      <c r="I122">
        <v>8.2876612790231355E-2</v>
      </c>
    </row>
    <row r="123" spans="2:9">
      <c r="B123" t="s">
        <v>1824</v>
      </c>
      <c r="C123">
        <v>2.8654906320044731</v>
      </c>
      <c r="D123">
        <v>2.8654912000000001</v>
      </c>
      <c r="E123" t="s">
        <v>2029</v>
      </c>
      <c r="F123">
        <v>-6.8535079793162388E-6</v>
      </c>
      <c r="G123">
        <v>-1.9821925366811558E-6</v>
      </c>
      <c r="H123">
        <v>0.28654911999999999</v>
      </c>
      <c r="I123">
        <v>8.2876612790231355E-2</v>
      </c>
    </row>
    <row r="124" spans="2:9">
      <c r="B124" t="s">
        <v>1821</v>
      </c>
      <c r="C124">
        <v>2.8654906320044731</v>
      </c>
      <c r="D124">
        <v>2.8654912000000001</v>
      </c>
      <c r="E124" t="s">
        <v>2029</v>
      </c>
      <c r="F124">
        <v>-6.8535079793162388E-6</v>
      </c>
      <c r="G124">
        <v>-1.9821925366811558E-6</v>
      </c>
      <c r="H124">
        <v>0.28654911999999999</v>
      </c>
      <c r="I124">
        <v>8.2876612790231355E-2</v>
      </c>
    </row>
    <row r="125" spans="2:9">
      <c r="B125" t="s">
        <v>1905</v>
      </c>
      <c r="C125">
        <v>2.8654906320044731</v>
      </c>
      <c r="D125">
        <v>2.8654912000000001</v>
      </c>
      <c r="E125" t="s">
        <v>2029</v>
      </c>
      <c r="F125">
        <v>-6.8535079793162388E-6</v>
      </c>
      <c r="G125">
        <v>-1.9821925366811558E-6</v>
      </c>
      <c r="H125">
        <v>0.28654911999999999</v>
      </c>
      <c r="I125">
        <v>8.2876612790231355E-2</v>
      </c>
    </row>
    <row r="126" spans="2:9">
      <c r="B126" t="s">
        <v>1896</v>
      </c>
      <c r="C126">
        <v>58620.156938653941</v>
      </c>
      <c r="D126">
        <v>58620.139808699998</v>
      </c>
      <c r="E126" t="s">
        <v>2029</v>
      </c>
      <c r="F126">
        <v>1.3752555613334519E-5</v>
      </c>
      <c r="G126">
        <v>2.92219602328981E-6</v>
      </c>
      <c r="H126">
        <v>5862.0139808699996</v>
      </c>
      <c r="I126">
        <v>1245.5833246555519</v>
      </c>
    </row>
    <row r="127" spans="2:9">
      <c r="B127" t="s">
        <v>1895</v>
      </c>
      <c r="C127">
        <v>1.8898700000000001E-2</v>
      </c>
      <c r="D127">
        <v>1.8898700000000001E-2</v>
      </c>
      <c r="E127" t="s">
        <v>2030</v>
      </c>
      <c r="F127">
        <v>0</v>
      </c>
      <c r="G127">
        <v>0</v>
      </c>
      <c r="H127">
        <v>0</v>
      </c>
      <c r="I127">
        <v>0</v>
      </c>
    </row>
    <row r="128" spans="2:9">
      <c r="B128" t="s">
        <v>1837</v>
      </c>
      <c r="C128">
        <v>253.91860838921988</v>
      </c>
      <c r="D128">
        <v>253.91860819999999</v>
      </c>
      <c r="E128" t="s">
        <v>2029</v>
      </c>
      <c r="F128">
        <v>7.5119121602701262E-9</v>
      </c>
      <c r="G128">
        <v>7.4519898669953955E-9</v>
      </c>
      <c r="H128">
        <v>25.391860820000002</v>
      </c>
      <c r="I128">
        <v>25.189310723781563</v>
      </c>
    </row>
    <row r="129" spans="2:9">
      <c r="B129" t="s">
        <v>1838</v>
      </c>
      <c r="C129">
        <v>463.89691073156871</v>
      </c>
      <c r="D129">
        <v>463.89691010000001</v>
      </c>
      <c r="E129" t="s">
        <v>2029</v>
      </c>
      <c r="F129">
        <v>1.3990486390037987E-8</v>
      </c>
      <c r="G129">
        <v>1.3614419114620639E-8</v>
      </c>
      <c r="H129">
        <v>46.38969101</v>
      </c>
      <c r="I129">
        <v>45.142726164088309</v>
      </c>
    </row>
    <row r="130" spans="2:9">
      <c r="B130" t="s">
        <v>1865</v>
      </c>
      <c r="C130">
        <v>605.09418172371932</v>
      </c>
      <c r="D130">
        <v>605.09418119999998</v>
      </c>
      <c r="E130" t="s">
        <v>2031</v>
      </c>
      <c r="F130">
        <v>8.6553861399045636E-9</v>
      </c>
      <c r="G130">
        <v>8.6551705935123118E-9</v>
      </c>
      <c r="H130">
        <v>60.509418119999999</v>
      </c>
      <c r="I130">
        <v>60.507911244793945</v>
      </c>
    </row>
    <row r="131" spans="2:9">
      <c r="B131" t="s">
        <v>1897</v>
      </c>
      <c r="C131">
        <v>2.6943581507929664</v>
      </c>
      <c r="D131">
        <v>2.6943586000000002</v>
      </c>
      <c r="E131" t="s">
        <v>2029</v>
      </c>
      <c r="F131">
        <v>-5.7211037633420094E-6</v>
      </c>
      <c r="G131">
        <v>-1.6672132424855244E-6</v>
      </c>
      <c r="H131">
        <v>0.26943586000000003</v>
      </c>
      <c r="I131">
        <v>7.8517547028384857E-2</v>
      </c>
    </row>
    <row r="132" spans="2:9">
      <c r="B132" t="s">
        <v>1835</v>
      </c>
      <c r="C132">
        <v>157.71617747300124</v>
      </c>
      <c r="D132">
        <v>157.71617739999999</v>
      </c>
      <c r="E132" t="s">
        <v>2029</v>
      </c>
      <c r="F132">
        <v>4.6429001927561621E-9</v>
      </c>
      <c r="G132">
        <v>4.6286466702762593E-9</v>
      </c>
      <c r="H132">
        <v>15.77161774</v>
      </c>
      <c r="I132">
        <v>15.723199488762926</v>
      </c>
    </row>
    <row r="133" spans="2:9">
      <c r="B133" t="s">
        <v>1855</v>
      </c>
      <c r="C133">
        <v>5148.3941379136731</v>
      </c>
      <c r="D133">
        <v>5148.3941000000004</v>
      </c>
      <c r="E133" t="s">
        <v>2029</v>
      </c>
      <c r="F133">
        <v>7.3774866439370483E-8</v>
      </c>
      <c r="G133">
        <v>7.3641745322740563E-8</v>
      </c>
      <c r="H133">
        <v>514.83941000000004</v>
      </c>
      <c r="I133">
        <v>513.9104215727474</v>
      </c>
    </row>
    <row r="134" spans="2:9">
      <c r="B134" t="s">
        <v>1866</v>
      </c>
      <c r="C134">
        <v>0</v>
      </c>
      <c r="D134">
        <v>0</v>
      </c>
      <c r="E134" t="s">
        <v>2030</v>
      </c>
      <c r="F134">
        <v>0</v>
      </c>
      <c r="G134">
        <v>0</v>
      </c>
      <c r="H134">
        <v>0</v>
      </c>
      <c r="I134">
        <v>0</v>
      </c>
    </row>
    <row r="135" spans="2:9">
      <c r="B135" t="s">
        <v>1869</v>
      </c>
      <c r="C135">
        <v>0</v>
      </c>
      <c r="D135">
        <v>0</v>
      </c>
      <c r="E135" t="s">
        <v>2030</v>
      </c>
      <c r="F135">
        <v>0</v>
      </c>
      <c r="G135">
        <v>0</v>
      </c>
      <c r="H135">
        <v>0</v>
      </c>
      <c r="I135">
        <v>0</v>
      </c>
    </row>
    <row r="136" spans="2:9">
      <c r="B136" t="s">
        <v>1859</v>
      </c>
      <c r="C136">
        <v>2481.5069074081207</v>
      </c>
      <c r="D136">
        <v>2481.5068986000001</v>
      </c>
      <c r="E136" t="s">
        <v>2029</v>
      </c>
      <c r="F136">
        <v>3.5509923344178071E-8</v>
      </c>
      <c r="G136">
        <v>3.5495047739319857E-8</v>
      </c>
      <c r="H136">
        <v>248.15068986</v>
      </c>
      <c r="I136">
        <v>248.04673605610489</v>
      </c>
    </row>
    <row r="137" spans="2:9">
      <c r="B137" t="s">
        <v>1854</v>
      </c>
      <c r="C137">
        <v>0</v>
      </c>
      <c r="D137">
        <v>0</v>
      </c>
      <c r="E137" t="s">
        <v>2030</v>
      </c>
      <c r="F137">
        <v>0</v>
      </c>
      <c r="G137">
        <v>0</v>
      </c>
      <c r="H137">
        <v>0</v>
      </c>
      <c r="I137">
        <v>0</v>
      </c>
    </row>
    <row r="138" spans="2:9">
      <c r="B138" t="s">
        <v>1834</v>
      </c>
      <c r="C138">
        <v>248.13664728070054</v>
      </c>
      <c r="D138">
        <v>248.1366471</v>
      </c>
      <c r="E138" t="s">
        <v>2029</v>
      </c>
      <c r="F138">
        <v>7.3381904306291659E-9</v>
      </c>
      <c r="G138">
        <v>7.2822995348861006E-9</v>
      </c>
      <c r="H138">
        <v>24.813664710000001</v>
      </c>
      <c r="I138">
        <v>24.624672892409478</v>
      </c>
    </row>
    <row r="139" spans="2:9">
      <c r="B139" t="s">
        <v>1868</v>
      </c>
      <c r="C139">
        <v>0</v>
      </c>
      <c r="D139">
        <v>0</v>
      </c>
      <c r="E139" t="s">
        <v>2030</v>
      </c>
      <c r="F139">
        <v>0</v>
      </c>
      <c r="G139">
        <v>0</v>
      </c>
      <c r="H139">
        <v>0</v>
      </c>
      <c r="I139">
        <v>0</v>
      </c>
    </row>
    <row r="140" spans="2:9">
      <c r="B140" t="s">
        <v>1832</v>
      </c>
      <c r="C140">
        <v>22362.388486126776</v>
      </c>
      <c r="D140">
        <v>22362.388009800001</v>
      </c>
      <c r="E140" t="s">
        <v>2029</v>
      </c>
      <c r="F140">
        <v>4.3378019716095874E-7</v>
      </c>
      <c r="G140">
        <v>2.1300353747265194E-7</v>
      </c>
      <c r="H140">
        <v>2236.2388009800002</v>
      </c>
      <c r="I140">
        <v>1098.0832651187061</v>
      </c>
    </row>
    <row r="141" spans="2:9">
      <c r="B141" t="s">
        <v>1760</v>
      </c>
      <c r="C141">
        <v>6731.53541662106</v>
      </c>
      <c r="D141">
        <v>6731.5353421</v>
      </c>
      <c r="E141" t="s">
        <v>2029</v>
      </c>
      <c r="F141">
        <v>1.1613388228384938E-7</v>
      </c>
      <c r="G141">
        <v>1.107044028251785E-7</v>
      </c>
      <c r="H141">
        <v>673.15353420999998</v>
      </c>
      <c r="I141">
        <v>641.68232860962394</v>
      </c>
    </row>
    <row r="142" spans="2:9">
      <c r="B142" t="s">
        <v>1894</v>
      </c>
      <c r="C142">
        <v>15630.853069505711</v>
      </c>
      <c r="D142">
        <v>15630.852667700001</v>
      </c>
      <c r="E142" t="s">
        <v>2029</v>
      </c>
      <c r="F142">
        <v>3.6079527366027098E-7</v>
      </c>
      <c r="G142">
        <v>2.5705936733784124E-7</v>
      </c>
      <c r="H142">
        <v>1563.0852667700001</v>
      </c>
      <c r="I142">
        <v>1113.6667775458222</v>
      </c>
    </row>
    <row r="143" spans="2:9">
      <c r="B143" t="s">
        <v>1841</v>
      </c>
      <c r="C143">
        <v>58620.156938653941</v>
      </c>
      <c r="D143">
        <v>58620.139808699998</v>
      </c>
      <c r="E143" t="s">
        <v>2029</v>
      </c>
      <c r="F143">
        <v>1.375255561333452E-5</v>
      </c>
      <c r="G143">
        <v>2.92219602328981E-6</v>
      </c>
      <c r="H143">
        <v>5862.0139808699996</v>
      </c>
      <c r="I143">
        <v>1245.5833246555517</v>
      </c>
    </row>
    <row r="144" spans="2:9">
      <c r="B144" t="s">
        <v>1840</v>
      </c>
      <c r="C144">
        <v>1.8898700000000001E-2</v>
      </c>
      <c r="D144">
        <v>1.8898700000000001E-2</v>
      </c>
      <c r="E144" t="s">
        <v>2029</v>
      </c>
      <c r="F144">
        <v>0</v>
      </c>
      <c r="G144">
        <v>0</v>
      </c>
      <c r="H144">
        <v>1.8898700000000001E-3</v>
      </c>
      <c r="I144">
        <v>4.0429779753323457E-9</v>
      </c>
    </row>
    <row r="145" spans="2:9">
      <c r="B145" t="s">
        <v>1826</v>
      </c>
      <c r="C145">
        <v>58620.156938653941</v>
      </c>
      <c r="D145">
        <v>58620.139808699998</v>
      </c>
      <c r="E145" t="s">
        <v>2029</v>
      </c>
      <c r="F145">
        <v>1.3752555613334524E-5</v>
      </c>
      <c r="G145">
        <v>2.92219602328981E-6</v>
      </c>
      <c r="H145">
        <v>5862.0139808699996</v>
      </c>
      <c r="I145">
        <v>1245.5833246555515</v>
      </c>
    </row>
    <row r="146" spans="2:9">
      <c r="B146" t="s">
        <v>1825</v>
      </c>
      <c r="C146">
        <v>1.8898700000000001E-2</v>
      </c>
      <c r="D146">
        <v>1.8898700000000001E-2</v>
      </c>
      <c r="E146" t="s">
        <v>2029</v>
      </c>
      <c r="F146">
        <v>0</v>
      </c>
      <c r="G146">
        <v>0</v>
      </c>
      <c r="H146">
        <v>1.8898700000000001E-3</v>
      </c>
      <c r="I146">
        <v>5.7176342850841762E-9</v>
      </c>
    </row>
    <row r="147" spans="2:9">
      <c r="B147" t="s">
        <v>1842</v>
      </c>
      <c r="C147">
        <v>1.6232731135401459</v>
      </c>
      <c r="D147">
        <v>1.6232734</v>
      </c>
      <c r="E147" t="s">
        <v>2029</v>
      </c>
      <c r="F147">
        <v>-4.2127227982243217E-6</v>
      </c>
      <c r="G147">
        <v>-1.7647049108285058E-6</v>
      </c>
      <c r="H147">
        <v>0.16232733999999999</v>
      </c>
      <c r="I147">
        <v>6.7998742803697512E-2</v>
      </c>
    </row>
    <row r="148" spans="2:9">
      <c r="B148" t="s">
        <v>1827</v>
      </c>
      <c r="C148">
        <v>3.0899400506937159E-2</v>
      </c>
      <c r="D148">
        <v>3.08994E-2</v>
      </c>
      <c r="E148" t="s">
        <v>2029</v>
      </c>
      <c r="F148">
        <v>1.6413049792141195E-7</v>
      </c>
      <c r="G148">
        <v>1.6406051862406823E-7</v>
      </c>
      <c r="H148">
        <v>3.0899399999999998E-3</v>
      </c>
      <c r="I148">
        <v>3.0886225615423535E-3</v>
      </c>
    </row>
    <row r="149" spans="2:9">
      <c r="B149" t="s">
        <v>1857</v>
      </c>
      <c r="C149">
        <v>0</v>
      </c>
      <c r="D149">
        <v>0</v>
      </c>
      <c r="E149" t="s">
        <v>2030</v>
      </c>
      <c r="F149">
        <v>0</v>
      </c>
      <c r="G149">
        <v>0</v>
      </c>
      <c r="H149">
        <v>0</v>
      </c>
      <c r="I149">
        <v>0</v>
      </c>
    </row>
    <row r="150" spans="2:9">
      <c r="B150" t="s">
        <v>1858</v>
      </c>
      <c r="C150">
        <v>0</v>
      </c>
      <c r="D150">
        <v>0</v>
      </c>
      <c r="E150" t="s">
        <v>2030</v>
      </c>
      <c r="F150">
        <v>0</v>
      </c>
      <c r="G150">
        <v>0</v>
      </c>
      <c r="H150">
        <v>0</v>
      </c>
      <c r="I150">
        <v>0</v>
      </c>
    </row>
    <row r="151" spans="2:9">
      <c r="B151" t="s">
        <v>1861</v>
      </c>
      <c r="C151">
        <v>14651.831890698824</v>
      </c>
      <c r="D151">
        <v>14651.8309589</v>
      </c>
      <c r="E151" t="s">
        <v>2029</v>
      </c>
      <c r="F151">
        <v>6.4701706812877684E-7</v>
      </c>
      <c r="G151">
        <v>6.3596067061782422E-7</v>
      </c>
      <c r="H151">
        <v>1465.18309589</v>
      </c>
      <c r="I151">
        <v>1440.1456625169692</v>
      </c>
    </row>
    <row r="152" spans="2:9">
      <c r="B152" t="s">
        <v>1867</v>
      </c>
      <c r="C152">
        <v>893.28649626353763</v>
      </c>
      <c r="D152">
        <v>893.28649280000002</v>
      </c>
      <c r="E152" t="s">
        <v>2031</v>
      </c>
      <c r="F152">
        <v>3.8775418355019754E-8</v>
      </c>
      <c r="G152">
        <v>3.8772976391352282E-8</v>
      </c>
      <c r="H152">
        <v>89.328649279999993</v>
      </c>
      <c r="I152">
        <v>89.323023620103584</v>
      </c>
    </row>
    <row r="153" spans="2:9">
      <c r="B153" t="s">
        <v>1989</v>
      </c>
      <c r="C153">
        <v>266.76222061593518</v>
      </c>
      <c r="D153">
        <v>266.7622202</v>
      </c>
      <c r="E153" t="s">
        <v>2029</v>
      </c>
      <c r="F153">
        <v>1.5730558558214272E-8</v>
      </c>
      <c r="G153">
        <v>1.5591982094287359E-8</v>
      </c>
      <c r="H153">
        <v>26.676222020000001</v>
      </c>
      <c r="I153">
        <v>26.44122105008654</v>
      </c>
    </row>
    <row r="154" spans="2:9">
      <c r="B154" t="s">
        <v>1856</v>
      </c>
      <c r="C154">
        <v>0</v>
      </c>
      <c r="D154">
        <v>0</v>
      </c>
      <c r="E154" t="s">
        <v>2030</v>
      </c>
      <c r="F154">
        <v>0</v>
      </c>
      <c r="G154">
        <v>0</v>
      </c>
      <c r="H154">
        <v>0</v>
      </c>
      <c r="I154">
        <v>0</v>
      </c>
    </row>
    <row r="155" spans="2:9">
      <c r="B155" t="s">
        <v>1988</v>
      </c>
      <c r="C155">
        <v>194.48565422108132</v>
      </c>
      <c r="D155">
        <v>194.48565400000001</v>
      </c>
      <c r="E155" t="s">
        <v>2029</v>
      </c>
      <c r="F155">
        <v>1.1420853213393271E-8</v>
      </c>
      <c r="G155">
        <v>1.136748666959809E-8</v>
      </c>
      <c r="H155">
        <v>19.4485654</v>
      </c>
      <c r="I155">
        <v>19.357687538444488</v>
      </c>
    </row>
    <row r="156" spans="2:9">
      <c r="B156" t="s">
        <v>1991</v>
      </c>
      <c r="C156">
        <v>189.03318040885893</v>
      </c>
      <c r="D156">
        <v>189.0331802</v>
      </c>
      <c r="E156" t="s">
        <v>2029</v>
      </c>
      <c r="F156">
        <v>1.1097780547772217E-8</v>
      </c>
      <c r="G156">
        <v>1.1048796885711176E-8</v>
      </c>
      <c r="H156">
        <v>18.90331802</v>
      </c>
      <c r="I156">
        <v>18.819882080918475</v>
      </c>
    </row>
    <row r="157" spans="2:9">
      <c r="B157" t="s">
        <v>1862</v>
      </c>
      <c r="C157">
        <v>28906.407261324082</v>
      </c>
      <c r="D157">
        <v>28906.403634499999</v>
      </c>
      <c r="E157" t="s">
        <v>2029</v>
      </c>
      <c r="F157">
        <v>1.3466184919207113E-6</v>
      </c>
      <c r="G157">
        <v>1.2546784199188626E-6</v>
      </c>
      <c r="H157">
        <v>2890.6403634500002</v>
      </c>
      <c r="I157">
        <v>2693.282548492346</v>
      </c>
    </row>
    <row r="158" spans="2:9">
      <c r="B158" t="s">
        <v>1990</v>
      </c>
      <c r="C158">
        <v>189.03318040885893</v>
      </c>
      <c r="D158">
        <v>189.0331802</v>
      </c>
      <c r="E158" t="s">
        <v>2029</v>
      </c>
      <c r="F158">
        <v>1.1097780547772214E-8</v>
      </c>
      <c r="G158">
        <v>1.1048796885711176E-8</v>
      </c>
      <c r="H158">
        <v>18.90331802</v>
      </c>
      <c r="I158">
        <v>18.819882080918482</v>
      </c>
    </row>
    <row r="159" spans="2:9">
      <c r="B159" t="s">
        <v>1987</v>
      </c>
      <c r="C159">
        <v>-84.795708157973337</v>
      </c>
      <c r="D159">
        <v>-84.795708200000007</v>
      </c>
      <c r="E159" t="s">
        <v>2031</v>
      </c>
      <c r="F159">
        <v>4.96062410101669E-9</v>
      </c>
      <c r="G159">
        <v>4.2026670143968659E-4</v>
      </c>
      <c r="H159">
        <v>-8.4795708199999993</v>
      </c>
      <c r="I159">
        <v>8.472052969172811</v>
      </c>
    </row>
    <row r="160" spans="2:9">
      <c r="B160" t="s">
        <v>1863</v>
      </c>
      <c r="C160">
        <v>29976.929686930569</v>
      </c>
      <c r="D160">
        <v>29976.9257865</v>
      </c>
      <c r="E160" t="s">
        <v>2029</v>
      </c>
      <c r="F160">
        <v>1.4045614442917423E-6</v>
      </c>
      <c r="G160">
        <v>1.3011442857170565E-6</v>
      </c>
      <c r="H160">
        <v>2997.6925786500001</v>
      </c>
      <c r="I160">
        <v>2776.9739692760031</v>
      </c>
    </row>
    <row r="161" spans="2:9">
      <c r="B161" t="s">
        <v>1860</v>
      </c>
      <c r="C161">
        <v>18162.223100280047</v>
      </c>
      <c r="D161">
        <v>18162.221668499998</v>
      </c>
      <c r="E161" t="s">
        <v>2029</v>
      </c>
      <c r="F161">
        <v>8.0968914640745013E-7</v>
      </c>
      <c r="G161">
        <v>7.8832869395960504E-7</v>
      </c>
      <c r="H161">
        <v>1816.2221668499999</v>
      </c>
      <c r="I161">
        <v>1768.3083132410507</v>
      </c>
    </row>
    <row r="162" spans="2:9">
      <c r="B162" t="s">
        <v>1864</v>
      </c>
      <c r="C162">
        <v>62787.172978404356</v>
      </c>
      <c r="D162">
        <v>62787.163178199997</v>
      </c>
      <c r="E162" t="s">
        <v>2029</v>
      </c>
      <c r="F162">
        <v>2.1535790469897936E-6</v>
      </c>
      <c r="G162">
        <v>1.5608611479739417E-6</v>
      </c>
      <c r="H162">
        <v>6278.7163178199999</v>
      </c>
      <c r="I162">
        <v>4550.6592262464983</v>
      </c>
    </row>
    <row r="163" spans="2:9">
      <c r="B163" t="s">
        <v>1844</v>
      </c>
      <c r="C163">
        <v>699.99999639472503</v>
      </c>
      <c r="D163">
        <v>700</v>
      </c>
      <c r="E163" t="s">
        <v>2029</v>
      </c>
      <c r="F163">
        <v>-5.4464986221081231E-8</v>
      </c>
      <c r="G163">
        <v>-5.1503928131881236E-8</v>
      </c>
      <c r="H163">
        <v>70</v>
      </c>
      <c r="I163">
        <v>66.194361173568566</v>
      </c>
    </row>
    <row r="164" spans="2:9">
      <c r="B164" t="s">
        <v>1843</v>
      </c>
      <c r="C164">
        <v>0.37064396874194594</v>
      </c>
      <c r="D164">
        <v>0.37064399999999997</v>
      </c>
      <c r="E164" t="s">
        <v>2029</v>
      </c>
      <c r="F164">
        <v>-2.4390008971774728E-4</v>
      </c>
      <c r="G164">
        <v>-8.4334439607908073E-7</v>
      </c>
      <c r="H164">
        <v>3.7064399999999997E-2</v>
      </c>
      <c r="I164">
        <v>1.2815925598964222E-4</v>
      </c>
    </row>
    <row r="165" spans="2:9">
      <c r="B165" t="s">
        <v>1850</v>
      </c>
      <c r="C165">
        <v>1771.3037174150807</v>
      </c>
      <c r="D165">
        <v>1771.3037405</v>
      </c>
      <c r="E165" t="s">
        <v>2029</v>
      </c>
      <c r="F165">
        <v>-2.2942215584420045E-7</v>
      </c>
      <c r="G165">
        <v>-1.3032727713899548E-7</v>
      </c>
      <c r="H165">
        <v>177.13037405</v>
      </c>
      <c r="I165">
        <v>100.62201387482884</v>
      </c>
    </row>
    <row r="166" spans="2:9">
      <c r="B166" t="s">
        <v>1849</v>
      </c>
      <c r="C166">
        <v>0.37064396874194594</v>
      </c>
      <c r="D166">
        <v>0.37064399999999997</v>
      </c>
      <c r="E166" t="s">
        <v>2029</v>
      </c>
      <c r="F166">
        <v>-2.4390008971774733E-4</v>
      </c>
      <c r="G166">
        <v>-8.4334439607908073E-7</v>
      </c>
      <c r="H166">
        <v>3.7064399999999997E-2</v>
      </c>
      <c r="I166">
        <v>1.2815925598964219E-4</v>
      </c>
    </row>
    <row r="167" spans="2:9">
      <c r="B167" t="s">
        <v>1847</v>
      </c>
      <c r="C167">
        <v>700</v>
      </c>
      <c r="D167">
        <v>700</v>
      </c>
      <c r="E167" t="s">
        <v>2030</v>
      </c>
      <c r="F167">
        <v>0</v>
      </c>
      <c r="G167">
        <v>0</v>
      </c>
      <c r="H167">
        <v>0</v>
      </c>
      <c r="I167">
        <v>0</v>
      </c>
    </row>
    <row r="168" spans="2:9">
      <c r="B168" t="s">
        <v>1846</v>
      </c>
      <c r="C168">
        <v>0.36297600000000002</v>
      </c>
      <c r="D168">
        <v>0.36297600000000002</v>
      </c>
      <c r="E168" t="s">
        <v>2030</v>
      </c>
      <c r="F168">
        <v>0</v>
      </c>
      <c r="G168">
        <v>0</v>
      </c>
      <c r="H168">
        <v>0</v>
      </c>
      <c r="I168">
        <v>0</v>
      </c>
    </row>
    <row r="169" spans="2:9">
      <c r="B169" t="s">
        <v>1845</v>
      </c>
      <c r="C169">
        <v>0.45308671124467131</v>
      </c>
      <c r="D169">
        <v>0.45308670000000001</v>
      </c>
      <c r="E169" t="s">
        <v>2029</v>
      </c>
      <c r="F169">
        <v>5.2319138733430714E-5</v>
      </c>
      <c r="G169">
        <v>2.4817924042350968E-7</v>
      </c>
      <c r="H169">
        <v>4.5308670000000002E-2</v>
      </c>
      <c r="I169">
        <v>2.1492462562298215E-4</v>
      </c>
    </row>
    <row r="170" spans="2:9">
      <c r="B170" t="s">
        <v>1851</v>
      </c>
      <c r="C170">
        <v>0.45308671124467131</v>
      </c>
      <c r="D170">
        <v>0.45308670000000001</v>
      </c>
      <c r="E170" t="s">
        <v>2029</v>
      </c>
      <c r="F170">
        <v>5.2319138733430714E-5</v>
      </c>
      <c r="G170">
        <v>2.4817924042350968E-7</v>
      </c>
      <c r="H170">
        <v>4.5308670000000002E-2</v>
      </c>
      <c r="I170">
        <v>2.1492462562298215E-4</v>
      </c>
    </row>
    <row r="171" spans="2:9">
      <c r="B171" t="s">
        <v>1848</v>
      </c>
      <c r="C171">
        <v>0.4538432</v>
      </c>
      <c r="D171">
        <v>0.4538432</v>
      </c>
      <c r="E171" t="s">
        <v>2030</v>
      </c>
      <c r="F171">
        <v>0</v>
      </c>
      <c r="G171">
        <v>0</v>
      </c>
      <c r="H171">
        <v>0</v>
      </c>
      <c r="I171">
        <v>0</v>
      </c>
    </row>
    <row r="172" spans="2:9">
      <c r="B172" t="s">
        <v>1898</v>
      </c>
      <c r="C172">
        <v>0</v>
      </c>
      <c r="D172">
        <v>0</v>
      </c>
      <c r="E172" t="s">
        <v>2030</v>
      </c>
      <c r="F172">
        <v>0</v>
      </c>
      <c r="G172">
        <v>0</v>
      </c>
      <c r="H172">
        <v>0</v>
      </c>
      <c r="I172">
        <v>0</v>
      </c>
    </row>
    <row r="173" spans="2:9">
      <c r="B173" t="s">
        <v>1899</v>
      </c>
      <c r="C173">
        <v>0</v>
      </c>
      <c r="D173">
        <v>0</v>
      </c>
      <c r="E173" t="s">
        <v>2030</v>
      </c>
      <c r="F173">
        <v>0</v>
      </c>
      <c r="G173">
        <v>0</v>
      </c>
      <c r="H173">
        <v>0</v>
      </c>
      <c r="I173">
        <v>0</v>
      </c>
    </row>
    <row r="174" spans="2:9">
      <c r="B174" t="s">
        <v>1852</v>
      </c>
      <c r="C174">
        <v>0</v>
      </c>
      <c r="D174">
        <v>0</v>
      </c>
      <c r="E174" t="s">
        <v>2030</v>
      </c>
      <c r="F174">
        <v>0</v>
      </c>
      <c r="G174">
        <v>0</v>
      </c>
      <c r="H174">
        <v>0</v>
      </c>
      <c r="I174">
        <v>0</v>
      </c>
    </row>
    <row r="175" spans="2:9">
      <c r="B175" t="s">
        <v>1833</v>
      </c>
      <c r="C175">
        <v>163612.84664094695</v>
      </c>
      <c r="D175">
        <v>163612.82689900001</v>
      </c>
      <c r="E175" t="s">
        <v>2029</v>
      </c>
      <c r="F175">
        <v>4.6033583031144891E-6</v>
      </c>
      <c r="G175">
        <v>1.206625869250936E-6</v>
      </c>
      <c r="H175">
        <v>16361.282689899999</v>
      </c>
      <c r="I175">
        <v>4288.5966391979728</v>
      </c>
    </row>
    <row r="176" spans="2:9">
      <c r="B176" t="s">
        <v>1907</v>
      </c>
      <c r="C176">
        <v>12305.299431607991</v>
      </c>
      <c r="D176">
        <v>12305.298778099999</v>
      </c>
      <c r="E176" t="s">
        <v>2029</v>
      </c>
      <c r="F176">
        <v>3.9026762791583367E-6</v>
      </c>
      <c r="G176">
        <v>5.3107852457748558E-7</v>
      </c>
      <c r="H176">
        <v>1230.52987781</v>
      </c>
      <c r="I176">
        <v>167.45124248347494</v>
      </c>
    </row>
    <row r="177" spans="2:9">
      <c r="B177" t="s">
        <v>1906</v>
      </c>
      <c r="C177">
        <v>2.6626932568074467E-3</v>
      </c>
      <c r="D177">
        <v>2.6627E-3</v>
      </c>
      <c r="E177" t="s">
        <v>2029</v>
      </c>
      <c r="F177">
        <v>0</v>
      </c>
      <c r="G177">
        <v>-2.5324642480876508E-5</v>
      </c>
      <c r="H177">
        <v>2.6626999999999998E-4</v>
      </c>
      <c r="I177">
        <v>9.5308161077432303E-6</v>
      </c>
    </row>
    <row r="178" spans="2:9">
      <c r="B178" t="s">
        <v>1916</v>
      </c>
      <c r="C178">
        <v>9243.6334976801445</v>
      </c>
      <c r="D178">
        <v>9243.6314031999991</v>
      </c>
      <c r="E178" t="s">
        <v>2029</v>
      </c>
      <c r="F178">
        <v>3.6690998349272717E-6</v>
      </c>
      <c r="G178">
        <v>2.2658628995773863E-6</v>
      </c>
      <c r="H178">
        <v>924.36314031999996</v>
      </c>
      <c r="I178">
        <v>570.84305132554402</v>
      </c>
    </row>
    <row r="179" spans="2:9">
      <c r="B179" t="s">
        <v>1915</v>
      </c>
      <c r="C179">
        <v>2.6626932568074467E-3</v>
      </c>
      <c r="D179">
        <v>2.6627E-3</v>
      </c>
      <c r="E179" t="s">
        <v>2029</v>
      </c>
      <c r="F179">
        <v>0</v>
      </c>
      <c r="G179">
        <v>-2.5324642480876508E-5</v>
      </c>
      <c r="H179">
        <v>2.6626999999999998E-4</v>
      </c>
      <c r="I179">
        <v>9.5308161077432303E-6</v>
      </c>
    </row>
    <row r="180" spans="2:9">
      <c r="B180" t="s">
        <v>1910</v>
      </c>
      <c r="C180">
        <v>15162.240998900001</v>
      </c>
      <c r="D180">
        <v>15162.240998900001</v>
      </c>
      <c r="E180" t="s">
        <v>2030</v>
      </c>
      <c r="F180">
        <v>0</v>
      </c>
      <c r="G180">
        <v>0</v>
      </c>
      <c r="H180">
        <v>0</v>
      </c>
      <c r="I180">
        <v>0</v>
      </c>
    </row>
    <row r="181" spans="2:9">
      <c r="B181" t="s">
        <v>1909</v>
      </c>
      <c r="C181">
        <v>2.4786999999999999E-3</v>
      </c>
      <c r="D181">
        <v>2.4786999999999999E-3</v>
      </c>
      <c r="E181" t="s">
        <v>2030</v>
      </c>
      <c r="F181">
        <v>0</v>
      </c>
      <c r="G181">
        <v>0</v>
      </c>
      <c r="H181">
        <v>0</v>
      </c>
      <c r="I181">
        <v>0</v>
      </c>
    </row>
    <row r="182" spans="2:9">
      <c r="B182" t="s">
        <v>1913</v>
      </c>
      <c r="C182">
        <v>89291.287670000005</v>
      </c>
      <c r="D182">
        <v>89291.287670000005</v>
      </c>
      <c r="E182" t="s">
        <v>2030</v>
      </c>
      <c r="F182">
        <v>0</v>
      </c>
      <c r="G182">
        <v>0</v>
      </c>
      <c r="H182">
        <v>0</v>
      </c>
      <c r="I182">
        <v>0</v>
      </c>
    </row>
    <row r="183" spans="2:9">
      <c r="B183" t="s">
        <v>1914</v>
      </c>
      <c r="C183">
        <v>89291.287670000005</v>
      </c>
      <c r="D183">
        <v>89291.287670000005</v>
      </c>
      <c r="E183" t="s">
        <v>2029</v>
      </c>
      <c r="F183">
        <v>0</v>
      </c>
      <c r="G183">
        <v>0</v>
      </c>
      <c r="H183">
        <v>8929.1287670000002</v>
      </c>
      <c r="I183">
        <v>0</v>
      </c>
    </row>
    <row r="184" spans="2:9">
      <c r="B184" t="s">
        <v>1908</v>
      </c>
      <c r="C184">
        <v>6.8918280884205805</v>
      </c>
      <c r="D184">
        <v>6.8918283000000002</v>
      </c>
      <c r="E184" t="s">
        <v>2029</v>
      </c>
      <c r="F184">
        <v>-1.0713474606129112E-6</v>
      </c>
      <c r="G184">
        <v>-3.0700042216973283E-7</v>
      </c>
      <c r="H184">
        <v>0.68918283000000002</v>
      </c>
      <c r="I184">
        <v>0.19748907571133645</v>
      </c>
    </row>
    <row r="185" spans="2:9">
      <c r="B185" t="s">
        <v>1912</v>
      </c>
      <c r="C185">
        <v>8805.222670379515</v>
      </c>
      <c r="D185">
        <v>8805.2223959999992</v>
      </c>
      <c r="E185" t="s">
        <v>2029</v>
      </c>
      <c r="F185">
        <v>3.1928666466528775E-7</v>
      </c>
      <c r="G185">
        <v>3.116099780547584E-7</v>
      </c>
      <c r="H185">
        <v>880.52223960000003</v>
      </c>
      <c r="I185">
        <v>859.35163012873795</v>
      </c>
    </row>
    <row r="186" spans="2:9">
      <c r="B186" t="s">
        <v>1917</v>
      </c>
      <c r="C186">
        <v>0.91462150340873694</v>
      </c>
      <c r="D186">
        <v>0.91462149999999998</v>
      </c>
      <c r="E186" t="s">
        <v>2029</v>
      </c>
      <c r="F186">
        <v>3.8322259227487404E-8</v>
      </c>
      <c r="G186">
        <v>3.7269372733583717E-8</v>
      </c>
      <c r="H186">
        <v>9.1462150000000006E-2</v>
      </c>
      <c r="I186">
        <v>8.8949269382321797E-2</v>
      </c>
    </row>
    <row r="187" spans="2:9">
      <c r="B187" t="s">
        <v>1911</v>
      </c>
      <c r="C187">
        <v>5.5245560999999999</v>
      </c>
      <c r="D187">
        <v>5.5245560999999999</v>
      </c>
      <c r="E187" t="s">
        <v>2030</v>
      </c>
      <c r="F187">
        <v>0</v>
      </c>
      <c r="G187">
        <v>0</v>
      </c>
      <c r="H187">
        <v>0</v>
      </c>
      <c r="I187">
        <v>0</v>
      </c>
    </row>
    <row r="188" spans="2:9">
      <c r="B188" t="s">
        <v>1919</v>
      </c>
      <c r="C188">
        <v>12131.013598367601</v>
      </c>
      <c r="D188">
        <v>12131.0120971</v>
      </c>
      <c r="E188" t="s">
        <v>2029</v>
      </c>
      <c r="F188">
        <v>3.9786744079676908E-6</v>
      </c>
      <c r="G188">
        <v>1.2375452182008103E-6</v>
      </c>
      <c r="H188">
        <v>1213.1012097099999</v>
      </c>
      <c r="I188">
        <v>377.32858920644304</v>
      </c>
    </row>
    <row r="189" spans="2:9">
      <c r="B189" t="s">
        <v>1918</v>
      </c>
      <c r="C189">
        <v>2.9174958577399923E-3</v>
      </c>
      <c r="D189">
        <v>2.9175E-3</v>
      </c>
      <c r="E189" t="s">
        <v>2029</v>
      </c>
      <c r="F189">
        <v>0</v>
      </c>
      <c r="G189">
        <v>-1.4197977746894299E-5</v>
      </c>
      <c r="H189">
        <v>2.9175000000000002E-4</v>
      </c>
      <c r="I189">
        <v>5.852300429001725E-6</v>
      </c>
    </row>
    <row r="190" spans="2:9">
      <c r="B190" t="s">
        <v>1928</v>
      </c>
      <c r="C190">
        <v>27270.307315366161</v>
      </c>
      <c r="D190">
        <v>27270.291529300001</v>
      </c>
      <c r="E190" t="s">
        <v>2029</v>
      </c>
      <c r="F190">
        <v>1.1561091203194268E-5</v>
      </c>
      <c r="G190">
        <v>5.7887412546566107E-6</v>
      </c>
      <c r="H190">
        <v>2727.0291529299998</v>
      </c>
      <c r="I190">
        <v>1365.4477663713571</v>
      </c>
    </row>
    <row r="191" spans="2:9">
      <c r="B191" t="s">
        <v>1927</v>
      </c>
      <c r="C191">
        <v>2.9174958577399923E-3</v>
      </c>
      <c r="D191">
        <v>2.9175E-3</v>
      </c>
      <c r="E191" t="s">
        <v>2029</v>
      </c>
      <c r="F191">
        <v>0</v>
      </c>
      <c r="G191">
        <v>-1.4197977746894299E-5</v>
      </c>
      <c r="H191">
        <v>2.9175000000000002E-4</v>
      </c>
      <c r="I191">
        <v>5.8523004290017216E-6</v>
      </c>
    </row>
    <row r="192" spans="2:9">
      <c r="B192" t="s">
        <v>1922</v>
      </c>
      <c r="C192">
        <v>11711.9118354</v>
      </c>
      <c r="D192">
        <v>11711.9118354</v>
      </c>
      <c r="E192" t="s">
        <v>2030</v>
      </c>
      <c r="F192">
        <v>0</v>
      </c>
      <c r="G192">
        <v>0</v>
      </c>
      <c r="H192">
        <v>0</v>
      </c>
      <c r="I192">
        <v>0</v>
      </c>
    </row>
    <row r="193" spans="2:9">
      <c r="B193" t="s">
        <v>1921</v>
      </c>
      <c r="C193">
        <v>2.4872000000000002E-3</v>
      </c>
      <c r="D193">
        <v>2.4872000000000002E-3</v>
      </c>
      <c r="E193" t="s">
        <v>2030</v>
      </c>
      <c r="F193">
        <v>0</v>
      </c>
      <c r="G193">
        <v>0</v>
      </c>
      <c r="H193">
        <v>0</v>
      </c>
      <c r="I193">
        <v>0</v>
      </c>
    </row>
    <row r="194" spans="2:9">
      <c r="B194" t="s">
        <v>1925</v>
      </c>
      <c r="C194">
        <v>89291.287670000005</v>
      </c>
      <c r="D194">
        <v>89291.287670000005</v>
      </c>
      <c r="E194" t="s">
        <v>2030</v>
      </c>
      <c r="F194">
        <v>0</v>
      </c>
      <c r="G194">
        <v>0</v>
      </c>
      <c r="H194">
        <v>0</v>
      </c>
      <c r="I194">
        <v>0</v>
      </c>
    </row>
    <row r="195" spans="2:9">
      <c r="B195" t="s">
        <v>1926</v>
      </c>
      <c r="C195">
        <v>89291.287670000005</v>
      </c>
      <c r="D195">
        <v>89291.287670000005</v>
      </c>
      <c r="E195" t="s">
        <v>2029</v>
      </c>
      <c r="F195">
        <v>0</v>
      </c>
      <c r="G195">
        <v>0</v>
      </c>
      <c r="H195">
        <v>8929.1287670000002</v>
      </c>
      <c r="I195">
        <v>0</v>
      </c>
    </row>
    <row r="196" spans="2:9">
      <c r="B196" t="s">
        <v>1920</v>
      </c>
      <c r="C196">
        <v>6.9960797378982047</v>
      </c>
      <c r="D196">
        <v>6.9960801999999997</v>
      </c>
      <c r="E196" t="s">
        <v>2029</v>
      </c>
      <c r="F196">
        <v>-1.0091902382726431E-6</v>
      </c>
      <c r="G196">
        <v>-6.6051529119297343E-7</v>
      </c>
      <c r="H196">
        <v>0.69960802</v>
      </c>
      <c r="I196">
        <v>0.45789364336518484</v>
      </c>
    </row>
    <row r="197" spans="2:9">
      <c r="B197" t="s">
        <v>1924</v>
      </c>
      <c r="C197">
        <v>58281.762093979029</v>
      </c>
      <c r="D197">
        <v>58281.747225200001</v>
      </c>
      <c r="E197" t="s">
        <v>2029</v>
      </c>
      <c r="F197">
        <v>3.9428022695131997E-6</v>
      </c>
      <c r="G197">
        <v>2.5511896495552804E-6</v>
      </c>
      <c r="H197">
        <v>5828.1747225199997</v>
      </c>
      <c r="I197">
        <v>3771.1196280021732</v>
      </c>
    </row>
    <row r="198" spans="2:9">
      <c r="B198" t="s">
        <v>1929</v>
      </c>
      <c r="C198">
        <v>0.77794274850799694</v>
      </c>
      <c r="D198">
        <v>0.77794269999999999</v>
      </c>
      <c r="E198" t="s">
        <v>2029</v>
      </c>
      <c r="F198">
        <v>7.3505036161082605E-7</v>
      </c>
      <c r="G198">
        <v>6.2354202889944823E-7</v>
      </c>
      <c r="H198">
        <v>7.7794269999999999E-2</v>
      </c>
      <c r="I198">
        <v>6.5992752994840559E-2</v>
      </c>
    </row>
    <row r="199" spans="2:9">
      <c r="B199" t="s">
        <v>1923</v>
      </c>
      <c r="C199">
        <v>7.2594719999999997</v>
      </c>
      <c r="D199">
        <v>7.2594719999999997</v>
      </c>
      <c r="E199" t="s">
        <v>2030</v>
      </c>
      <c r="F199">
        <v>0</v>
      </c>
      <c r="G199">
        <v>0</v>
      </c>
      <c r="H199">
        <v>0</v>
      </c>
      <c r="I199">
        <v>0</v>
      </c>
    </row>
    <row r="200" spans="2:9">
      <c r="B200" t="s">
        <v>1931</v>
      </c>
      <c r="C200">
        <v>13626.388276930449</v>
      </c>
      <c r="D200">
        <v>13626.386096300001</v>
      </c>
      <c r="E200" t="s">
        <v>2029</v>
      </c>
      <c r="F200">
        <v>5.6719990607887711E-6</v>
      </c>
      <c r="G200">
        <v>1.6002999130376205E-6</v>
      </c>
      <c r="H200">
        <v>1362.63860963</v>
      </c>
      <c r="I200">
        <v>384.45536135003272</v>
      </c>
    </row>
    <row r="201" spans="2:9">
      <c r="B201" t="s">
        <v>1930</v>
      </c>
      <c r="C201">
        <v>2.8702365691825626E-3</v>
      </c>
      <c r="D201">
        <v>2.8701999999999998E-3</v>
      </c>
      <c r="E201" t="s">
        <v>2029</v>
      </c>
      <c r="F201">
        <v>0</v>
      </c>
      <c r="G201">
        <v>1.2740987583708532E-4</v>
      </c>
      <c r="H201">
        <v>2.8702000000000003E-4</v>
      </c>
      <c r="I201">
        <v>7.8025710072580469E-6</v>
      </c>
    </row>
    <row r="202" spans="2:9">
      <c r="B202" t="s">
        <v>1940</v>
      </c>
      <c r="C202">
        <v>19181.381229375915</v>
      </c>
      <c r="D202">
        <v>19181.383998900001</v>
      </c>
      <c r="E202" t="s">
        <v>2029</v>
      </c>
      <c r="F202">
        <v>-2.2758020563550607E-6</v>
      </c>
      <c r="G202">
        <v>-1.4438604045426284E-6</v>
      </c>
      <c r="H202">
        <v>1918.1383998900001</v>
      </c>
      <c r="I202">
        <v>1216.9441882259362</v>
      </c>
    </row>
    <row r="203" spans="2:9">
      <c r="B203" t="s">
        <v>1939</v>
      </c>
      <c r="C203">
        <v>2.8702365691825626E-3</v>
      </c>
      <c r="D203">
        <v>2.8701999999999998E-3</v>
      </c>
      <c r="E203" t="s">
        <v>2029</v>
      </c>
      <c r="F203">
        <v>0</v>
      </c>
      <c r="G203">
        <v>1.2740987583708532E-4</v>
      </c>
      <c r="H203">
        <v>2.8702000000000003E-4</v>
      </c>
      <c r="I203">
        <v>7.8025710072580367E-6</v>
      </c>
    </row>
    <row r="204" spans="2:9">
      <c r="B204" t="s">
        <v>1934</v>
      </c>
      <c r="C204">
        <v>10768.248810999999</v>
      </c>
      <c r="D204">
        <v>10768.248810999999</v>
      </c>
      <c r="E204" t="s">
        <v>2030</v>
      </c>
      <c r="F204">
        <v>0</v>
      </c>
      <c r="G204">
        <v>0</v>
      </c>
      <c r="H204">
        <v>0</v>
      </c>
      <c r="I204">
        <v>0</v>
      </c>
    </row>
    <row r="205" spans="2:9">
      <c r="B205" t="s">
        <v>1933</v>
      </c>
      <c r="C205">
        <v>2.4009999999999999E-3</v>
      </c>
      <c r="D205">
        <v>2.4009999999999999E-3</v>
      </c>
      <c r="E205" t="s">
        <v>2030</v>
      </c>
      <c r="F205">
        <v>0</v>
      </c>
      <c r="G205">
        <v>0</v>
      </c>
      <c r="H205">
        <v>0</v>
      </c>
      <c r="I205">
        <v>0</v>
      </c>
    </row>
    <row r="206" spans="2:9">
      <c r="B206" t="s">
        <v>1937</v>
      </c>
      <c r="C206">
        <v>89291.287670000005</v>
      </c>
      <c r="D206">
        <v>89291.287670000005</v>
      </c>
      <c r="E206" t="s">
        <v>2030</v>
      </c>
      <c r="F206">
        <v>0</v>
      </c>
      <c r="G206">
        <v>0</v>
      </c>
      <c r="H206">
        <v>0</v>
      </c>
      <c r="I206">
        <v>0</v>
      </c>
    </row>
    <row r="207" spans="2:9">
      <c r="B207" t="s">
        <v>1938</v>
      </c>
      <c r="C207">
        <v>89291.287670000005</v>
      </c>
      <c r="D207">
        <v>89291.287670000005</v>
      </c>
      <c r="E207" t="s">
        <v>2029</v>
      </c>
      <c r="F207">
        <v>0</v>
      </c>
      <c r="G207">
        <v>0</v>
      </c>
      <c r="H207">
        <v>8929.1287670000002</v>
      </c>
      <c r="I207">
        <v>0</v>
      </c>
    </row>
    <row r="208" spans="2:9">
      <c r="B208" t="s">
        <v>1932</v>
      </c>
      <c r="C208">
        <v>6.1883209592409649</v>
      </c>
      <c r="D208">
        <v>6.1883223999999997</v>
      </c>
      <c r="E208" t="s">
        <v>2029</v>
      </c>
      <c r="F208">
        <v>-3.8964388077274238E-6</v>
      </c>
      <c r="G208">
        <v>-2.3281900030663666E-6</v>
      </c>
      <c r="H208">
        <v>0.61883224000000003</v>
      </c>
      <c r="I208">
        <v>0.36976303384666293</v>
      </c>
    </row>
    <row r="209" spans="2:9">
      <c r="B209" t="s">
        <v>1936</v>
      </c>
      <c r="C209">
        <v>43519.803403720172</v>
      </c>
      <c r="D209">
        <v>43519.808261300001</v>
      </c>
      <c r="E209" t="s">
        <v>2029</v>
      </c>
      <c r="F209">
        <v>-1.4960300179364973E-6</v>
      </c>
      <c r="G209">
        <v>-1.1161767531406109E-6</v>
      </c>
      <c r="H209">
        <v>4351.9808261300004</v>
      </c>
      <c r="I209">
        <v>3246.9801875634353</v>
      </c>
    </row>
    <row r="210" spans="2:9">
      <c r="B210" t="s">
        <v>1941</v>
      </c>
      <c r="C210">
        <v>1.0779220107867102</v>
      </c>
      <c r="D210">
        <v>1.0779221000000001</v>
      </c>
      <c r="E210" t="s">
        <v>2029</v>
      </c>
      <c r="F210">
        <v>-9.7529538253207749E-7</v>
      </c>
      <c r="G210">
        <v>-8.2764134687156988E-7</v>
      </c>
      <c r="H210">
        <v>0.10779221</v>
      </c>
      <c r="I210">
        <v>9.1473097755314023E-2</v>
      </c>
    </row>
    <row r="211" spans="2:9">
      <c r="B211" t="s">
        <v>1935</v>
      </c>
      <c r="C211">
        <v>7.9275899000000001</v>
      </c>
      <c r="D211">
        <v>7.9275899000000001</v>
      </c>
      <c r="E211" t="s">
        <v>2030</v>
      </c>
      <c r="F211">
        <v>0</v>
      </c>
      <c r="G211">
        <v>0</v>
      </c>
      <c r="H211">
        <v>0</v>
      </c>
      <c r="I211">
        <v>0</v>
      </c>
    </row>
    <row r="212" spans="2:9">
      <c r="B212" t="s">
        <v>1942</v>
      </c>
      <c r="C212">
        <v>110606.78816807871</v>
      </c>
      <c r="D212">
        <v>110606.777883</v>
      </c>
      <c r="E212" t="s">
        <v>2029</v>
      </c>
      <c r="F212">
        <v>2.3859795022806958E-6</v>
      </c>
      <c r="G212">
        <v>9.2987779816220598E-7</v>
      </c>
      <c r="H212">
        <v>11060.6777883</v>
      </c>
      <c r="I212">
        <v>4310.6316287020836</v>
      </c>
    </row>
    <row r="213" spans="2:9">
      <c r="B213" t="s">
        <v>1943</v>
      </c>
      <c r="C213">
        <v>54463.752358598693</v>
      </c>
      <c r="D213">
        <v>54463.764163</v>
      </c>
      <c r="E213" t="s">
        <v>2029</v>
      </c>
      <c r="F213">
        <v>-3.0480832005385958E-6</v>
      </c>
      <c r="G213">
        <v>-2.1673862408204376E-6</v>
      </c>
      <c r="H213">
        <v>5446.3764162999996</v>
      </c>
      <c r="I213">
        <v>3872.7293614989599</v>
      </c>
    </row>
    <row r="214" spans="2:9">
      <c r="B214" t="s">
        <v>1831</v>
      </c>
      <c r="C214">
        <v>0</v>
      </c>
      <c r="D214">
        <v>0</v>
      </c>
      <c r="E214" t="s">
        <v>2030</v>
      </c>
      <c r="F214">
        <v>0</v>
      </c>
      <c r="G214">
        <v>0</v>
      </c>
      <c r="H214">
        <v>0</v>
      </c>
      <c r="I214">
        <v>0</v>
      </c>
    </row>
    <row r="215" spans="2:9">
      <c r="B215" t="s">
        <v>1944</v>
      </c>
      <c r="C215">
        <v>56675.082796800001</v>
      </c>
      <c r="D215">
        <v>56675.082796800001</v>
      </c>
      <c r="E215" t="s">
        <v>2030</v>
      </c>
      <c r="F215">
        <v>0</v>
      </c>
      <c r="G215">
        <v>0</v>
      </c>
      <c r="H215">
        <v>0</v>
      </c>
      <c r="I215">
        <v>0</v>
      </c>
    </row>
    <row r="216" spans="2:9">
      <c r="B216" t="s">
        <v>1839</v>
      </c>
      <c r="C216">
        <v>142367.83650341776</v>
      </c>
      <c r="D216">
        <v>142367.82906700001</v>
      </c>
      <c r="E216" t="s">
        <v>2029</v>
      </c>
      <c r="F216">
        <v>1.6670774662029363E-6</v>
      </c>
      <c r="G216">
        <v>5.223383534352652E-7</v>
      </c>
      <c r="H216">
        <v>14236.7829067</v>
      </c>
      <c r="I216">
        <v>4460.7511603157609</v>
      </c>
    </row>
    <row r="217" spans="2:9">
      <c r="B217" t="s">
        <v>1993</v>
      </c>
      <c r="C217">
        <v>19033.679699327833</v>
      </c>
      <c r="D217">
        <v>19033.679198500002</v>
      </c>
      <c r="E217" t="s">
        <v>2029</v>
      </c>
      <c r="F217">
        <v>4.5017034400511893E-7</v>
      </c>
      <c r="G217">
        <v>2.6312717896066738E-7</v>
      </c>
      <c r="H217">
        <v>1903.3679198499999</v>
      </c>
      <c r="I217">
        <v>1112.5295967267652</v>
      </c>
    </row>
    <row r="218" spans="2:9">
      <c r="B218" t="s">
        <v>1945</v>
      </c>
      <c r="C218">
        <v>25980.466408727265</v>
      </c>
      <c r="D218">
        <v>25980.465189499999</v>
      </c>
      <c r="E218" t="s">
        <v>2029</v>
      </c>
      <c r="F218">
        <v>6.8539425775265797E-7</v>
      </c>
      <c r="G218">
        <v>4.6928615682074493E-7</v>
      </c>
      <c r="H218">
        <v>2598.0465189500001</v>
      </c>
      <c r="I218">
        <v>1778.8699749503146</v>
      </c>
    </row>
    <row r="219" spans="2:9">
      <c r="B219" t="s">
        <v>1853</v>
      </c>
      <c r="C219">
        <v>25980.466408727265</v>
      </c>
      <c r="D219">
        <v>25980.465189499999</v>
      </c>
      <c r="E219" t="s">
        <v>2029</v>
      </c>
      <c r="F219">
        <v>6.8539425775265744E-7</v>
      </c>
      <c r="G219">
        <v>4.6928615682074493E-7</v>
      </c>
      <c r="H219">
        <v>2598.0465189500001</v>
      </c>
      <c r="I219">
        <v>1778.869974950316</v>
      </c>
    </row>
    <row r="220" spans="2:9">
      <c r="B220" t="s">
        <v>1947</v>
      </c>
      <c r="C220">
        <v>46451.688544742072</v>
      </c>
      <c r="D220">
        <v>46451.675528200001</v>
      </c>
      <c r="E220" t="s">
        <v>2029</v>
      </c>
      <c r="F220">
        <v>1.0265673451893065E-5</v>
      </c>
      <c r="G220">
        <v>2.802168473480174E-6</v>
      </c>
      <c r="H220">
        <v>4645.1675528200003</v>
      </c>
      <c r="I220">
        <v>1267.9676722178331</v>
      </c>
    </row>
    <row r="221" spans="2:9">
      <c r="B221" t="s">
        <v>1946</v>
      </c>
      <c r="C221">
        <v>2.8979809927512628E-3</v>
      </c>
      <c r="D221">
        <v>2.898E-3</v>
      </c>
      <c r="E221" t="s">
        <v>2029</v>
      </c>
      <c r="F221">
        <v>0</v>
      </c>
      <c r="G221">
        <v>-6.5587469762507452E-5</v>
      </c>
      <c r="H221">
        <v>2.898E-4</v>
      </c>
      <c r="I221">
        <v>3.5610798147518048E-6</v>
      </c>
    </row>
    <row r="222" spans="2:9">
      <c r="B222" t="s">
        <v>1948</v>
      </c>
      <c r="C222">
        <v>0.90181373729094949</v>
      </c>
      <c r="D222">
        <v>0.9018138</v>
      </c>
      <c r="E222" t="s">
        <v>2029</v>
      </c>
      <c r="F222">
        <v>-1.3811527810032909E-6</v>
      </c>
      <c r="G222">
        <v>-6.9536583392125716E-7</v>
      </c>
      <c r="H222">
        <v>9.0181380000000005E-2</v>
      </c>
      <c r="I222">
        <v>4.540341327214862E-2</v>
      </c>
    </row>
    <row r="223" spans="2:9">
      <c r="B223" t="s">
        <v>1901</v>
      </c>
      <c r="C223">
        <v>55695.322042422238</v>
      </c>
      <c r="D223">
        <v>55695.306931400002</v>
      </c>
      <c r="E223" t="s">
        <v>2029</v>
      </c>
      <c r="F223">
        <v>1.2381928172436652E-5</v>
      </c>
      <c r="G223">
        <v>2.713158983853764E-6</v>
      </c>
      <c r="H223">
        <v>5569.53069314</v>
      </c>
      <c r="I223">
        <v>1220.4094568712362</v>
      </c>
    </row>
    <row r="224" spans="2:9">
      <c r="B224" t="s">
        <v>1900</v>
      </c>
      <c r="C224">
        <v>2.8589307903678918E-3</v>
      </c>
      <c r="D224">
        <v>2.8589000000000002E-3</v>
      </c>
      <c r="E224" t="s">
        <v>2029</v>
      </c>
      <c r="F224">
        <v>0</v>
      </c>
      <c r="G224">
        <v>1.0770005208862068E-4</v>
      </c>
      <c r="H224">
        <v>2.8589000000000002E-4</v>
      </c>
      <c r="I224">
        <v>4.0051246689518441E-6</v>
      </c>
    </row>
    <row r="225" spans="2:9">
      <c r="B225" t="s">
        <v>1902</v>
      </c>
      <c r="C225">
        <v>0.90393941484474194</v>
      </c>
      <c r="D225">
        <v>0.90393939999999995</v>
      </c>
      <c r="E225" t="s">
        <v>2029</v>
      </c>
      <c r="F225">
        <v>3.7449314210219487E-7</v>
      </c>
      <c r="G225">
        <v>1.642227564281915E-7</v>
      </c>
      <c r="H225">
        <v>9.0393940000000006E-2</v>
      </c>
      <c r="I225">
        <v>3.9639556302351719E-2</v>
      </c>
    </row>
    <row r="226" spans="2:9">
      <c r="B226" t="s">
        <v>1950</v>
      </c>
      <c r="C226">
        <v>0</v>
      </c>
      <c r="D226">
        <v>0</v>
      </c>
      <c r="E226" t="s">
        <v>2030</v>
      </c>
      <c r="F226">
        <v>0</v>
      </c>
      <c r="G226">
        <v>0</v>
      </c>
      <c r="H226">
        <v>0</v>
      </c>
      <c r="I226">
        <v>0</v>
      </c>
    </row>
    <row r="227" spans="2:9">
      <c r="B227" t="s">
        <v>1949</v>
      </c>
      <c r="C227">
        <v>0.3216</v>
      </c>
      <c r="D227">
        <v>0.3216</v>
      </c>
      <c r="E227" t="s">
        <v>2029</v>
      </c>
      <c r="F227">
        <v>0</v>
      </c>
      <c r="G227">
        <v>0</v>
      </c>
      <c r="H227">
        <v>3.2160000000000001E-2</v>
      </c>
      <c r="I227">
        <v>2.2740554082959368E-2</v>
      </c>
    </row>
    <row r="228" spans="2:9">
      <c r="B228" t="s">
        <v>1956</v>
      </c>
      <c r="C228">
        <v>0</v>
      </c>
      <c r="D228">
        <v>0</v>
      </c>
      <c r="E228" t="s">
        <v>2030</v>
      </c>
      <c r="F228">
        <v>0</v>
      </c>
      <c r="G228">
        <v>0</v>
      </c>
      <c r="H228">
        <v>0</v>
      </c>
      <c r="I228">
        <v>0</v>
      </c>
    </row>
    <row r="229" spans="2:9">
      <c r="B229" t="s">
        <v>1955</v>
      </c>
      <c r="C229">
        <v>0.3216</v>
      </c>
      <c r="D229">
        <v>0.3216</v>
      </c>
      <c r="E229" t="s">
        <v>2030</v>
      </c>
      <c r="F229">
        <v>0</v>
      </c>
      <c r="G229">
        <v>0</v>
      </c>
      <c r="H229">
        <v>0</v>
      </c>
      <c r="I229">
        <v>0</v>
      </c>
    </row>
    <row r="230" spans="2:9">
      <c r="B230" t="s">
        <v>1951</v>
      </c>
      <c r="C230">
        <v>0.53920000000000001</v>
      </c>
      <c r="D230">
        <v>0.53920000000000001</v>
      </c>
      <c r="E230" t="s">
        <v>2029</v>
      </c>
      <c r="F230">
        <v>0</v>
      </c>
      <c r="G230">
        <v>0</v>
      </c>
      <c r="H230">
        <v>5.3920000000000003E-2</v>
      </c>
      <c r="I230">
        <v>3.8127197641578639E-2</v>
      </c>
    </row>
    <row r="231" spans="2:9">
      <c r="B231" t="s">
        <v>1957</v>
      </c>
      <c r="C231">
        <v>0.53920000000000001</v>
      </c>
      <c r="D231">
        <v>0.53920000000000001</v>
      </c>
      <c r="E231" t="s">
        <v>2030</v>
      </c>
      <c r="F231">
        <v>0</v>
      </c>
      <c r="G231">
        <v>0</v>
      </c>
      <c r="H231">
        <v>0</v>
      </c>
      <c r="I231">
        <v>0</v>
      </c>
    </row>
    <row r="232" spans="2:9">
      <c r="B232" t="s">
        <v>1959</v>
      </c>
      <c r="C232">
        <v>0</v>
      </c>
      <c r="D232">
        <v>0</v>
      </c>
      <c r="E232" t="s">
        <v>2030</v>
      </c>
      <c r="F232">
        <v>0</v>
      </c>
      <c r="G232">
        <v>0</v>
      </c>
      <c r="H232">
        <v>0</v>
      </c>
      <c r="I232">
        <v>0</v>
      </c>
    </row>
    <row r="233" spans="2:9">
      <c r="B233" t="s">
        <v>1958</v>
      </c>
      <c r="C233">
        <v>0.30489260000000001</v>
      </c>
      <c r="D233">
        <v>0.30489260000000001</v>
      </c>
      <c r="E233" t="s">
        <v>2029</v>
      </c>
      <c r="F233">
        <v>0</v>
      </c>
      <c r="G233">
        <v>0</v>
      </c>
      <c r="H233">
        <v>3.0489260000000001E-2</v>
      </c>
      <c r="I233">
        <v>2.1559162499359765E-2</v>
      </c>
    </row>
    <row r="234" spans="2:9">
      <c r="B234" t="s">
        <v>1965</v>
      </c>
      <c r="C234">
        <v>0</v>
      </c>
      <c r="D234">
        <v>0</v>
      </c>
      <c r="E234" t="s">
        <v>2030</v>
      </c>
      <c r="F234">
        <v>0</v>
      </c>
      <c r="G234">
        <v>0</v>
      </c>
      <c r="H234">
        <v>0</v>
      </c>
      <c r="I234">
        <v>0</v>
      </c>
    </row>
    <row r="235" spans="2:9">
      <c r="B235" t="s">
        <v>1964</v>
      </c>
      <c r="C235">
        <v>0.30489260000000001</v>
      </c>
      <c r="D235">
        <v>0.30489260000000001</v>
      </c>
      <c r="E235" t="s">
        <v>2030</v>
      </c>
      <c r="F235">
        <v>0</v>
      </c>
      <c r="G235">
        <v>0</v>
      </c>
      <c r="H235">
        <v>0</v>
      </c>
      <c r="I235">
        <v>0</v>
      </c>
    </row>
    <row r="236" spans="2:9">
      <c r="B236" t="s">
        <v>1960</v>
      </c>
      <c r="C236">
        <v>0.51060000000000005</v>
      </c>
      <c r="D236">
        <v>0.51060000000000005</v>
      </c>
      <c r="E236" t="s">
        <v>2029</v>
      </c>
      <c r="F236">
        <v>0</v>
      </c>
      <c r="G236">
        <v>0</v>
      </c>
      <c r="H236">
        <v>5.1060000000000001E-2</v>
      </c>
      <c r="I236">
        <v>3.6104872247385109E-2</v>
      </c>
    </row>
    <row r="237" spans="2:9">
      <c r="B237" t="s">
        <v>1966</v>
      </c>
      <c r="C237">
        <v>0.51060000000000005</v>
      </c>
      <c r="D237">
        <v>0.51060000000000005</v>
      </c>
      <c r="E237" t="s">
        <v>2030</v>
      </c>
      <c r="F237">
        <v>0</v>
      </c>
      <c r="G237">
        <v>0</v>
      </c>
      <c r="H237">
        <v>0</v>
      </c>
      <c r="I237">
        <v>0</v>
      </c>
    </row>
    <row r="238" spans="2:9">
      <c r="B238" t="s">
        <v>1968</v>
      </c>
      <c r="C238">
        <v>1558.6002052087142</v>
      </c>
      <c r="D238">
        <v>1558.6002658</v>
      </c>
      <c r="E238" t="s">
        <v>2029</v>
      </c>
      <c r="F238">
        <v>-6.342618217044052E-7</v>
      </c>
      <c r="G238">
        <v>-3.887544940365152E-7</v>
      </c>
      <c r="H238">
        <v>155.86002658000001</v>
      </c>
      <c r="I238">
        <v>95.53040038071849</v>
      </c>
    </row>
    <row r="239" spans="2:9">
      <c r="B239" t="s">
        <v>1967</v>
      </c>
      <c r="C239">
        <v>0.37367426675211463</v>
      </c>
      <c r="D239">
        <v>0.37367430000000001</v>
      </c>
      <c r="E239" t="s">
        <v>2029</v>
      </c>
      <c r="F239">
        <v>0</v>
      </c>
      <c r="G239">
        <v>-8.8975574154486729E-7</v>
      </c>
      <c r="H239">
        <v>3.736743E-2</v>
      </c>
      <c r="I239">
        <v>7.1024955527355647E-5</v>
      </c>
    </row>
    <row r="240" spans="2:9">
      <c r="B240" t="s">
        <v>1974</v>
      </c>
      <c r="C240">
        <v>2662.5930512999998</v>
      </c>
      <c r="D240">
        <v>2662.5930512999998</v>
      </c>
      <c r="E240" t="s">
        <v>2030</v>
      </c>
      <c r="F240">
        <v>0</v>
      </c>
      <c r="G240">
        <v>0</v>
      </c>
      <c r="H240">
        <v>0</v>
      </c>
      <c r="I240">
        <v>0</v>
      </c>
    </row>
    <row r="241" spans="1:9">
      <c r="B241" t="s">
        <v>1973</v>
      </c>
      <c r="C241">
        <v>0.37265589999999998</v>
      </c>
      <c r="D241">
        <v>0.37265589999999998</v>
      </c>
      <c r="E241" t="s">
        <v>2030</v>
      </c>
      <c r="F241">
        <v>0</v>
      </c>
      <c r="G241">
        <v>0</v>
      </c>
      <c r="H241">
        <v>0</v>
      </c>
      <c r="I241">
        <v>0</v>
      </c>
    </row>
    <row r="242" spans="1:9">
      <c r="B242" t="s">
        <v>1969</v>
      </c>
      <c r="C242">
        <v>0.45278775510033453</v>
      </c>
      <c r="D242">
        <v>0.45278770000000002</v>
      </c>
      <c r="E242" t="s">
        <v>2029</v>
      </c>
      <c r="F242">
        <v>1.8583125879424652E-4</v>
      </c>
      <c r="G242">
        <v>1.2169132358780365E-6</v>
      </c>
      <c r="H242">
        <v>4.5278770000000003E-2</v>
      </c>
      <c r="I242">
        <v>2.9650735228718857E-4</v>
      </c>
    </row>
    <row r="243" spans="1:9">
      <c r="B243" t="s">
        <v>1975</v>
      </c>
      <c r="C243">
        <v>0.4571559</v>
      </c>
      <c r="D243">
        <v>0.4571559</v>
      </c>
      <c r="E243" t="s">
        <v>2030</v>
      </c>
      <c r="F243">
        <v>0</v>
      </c>
      <c r="G243">
        <v>0</v>
      </c>
      <c r="H243">
        <v>0</v>
      </c>
      <c r="I243">
        <v>0</v>
      </c>
    </row>
    <row r="244" spans="1:9">
      <c r="B244" t="s">
        <v>1977</v>
      </c>
      <c r="C244">
        <v>2662.892423619649</v>
      </c>
      <c r="D244">
        <v>2662.8927263999999</v>
      </c>
      <c r="E244" t="s">
        <v>2029</v>
      </c>
      <c r="F244">
        <v>-3.8681601934298197E-6</v>
      </c>
      <c r="G244">
        <v>-1.1370354799480481E-6</v>
      </c>
      <c r="H244">
        <v>266.28927263999998</v>
      </c>
      <c r="I244">
        <v>78.275028897593245</v>
      </c>
    </row>
    <row r="245" spans="1:9">
      <c r="B245" t="s">
        <v>1976</v>
      </c>
      <c r="C245">
        <v>0.37247654969142308</v>
      </c>
      <c r="D245">
        <v>0.37247659999999999</v>
      </c>
      <c r="E245" t="s">
        <v>2029</v>
      </c>
      <c r="F245">
        <v>-3.8157389034289074E-4</v>
      </c>
      <c r="G245">
        <v>-1.3506506694771901E-6</v>
      </c>
      <c r="H245">
        <v>3.7247660000000002E-2</v>
      </c>
      <c r="I245">
        <v>1.318449144155287E-4</v>
      </c>
    </row>
    <row r="246" spans="1:9">
      <c r="B246" t="s">
        <v>1983</v>
      </c>
      <c r="C246">
        <v>1370.4528453</v>
      </c>
      <c r="D246">
        <v>1370.4528453</v>
      </c>
      <c r="E246" t="s">
        <v>2030</v>
      </c>
      <c r="F246">
        <v>0</v>
      </c>
      <c r="G246">
        <v>0</v>
      </c>
      <c r="H246">
        <v>0</v>
      </c>
      <c r="I246">
        <v>0</v>
      </c>
    </row>
    <row r="247" spans="1:9">
      <c r="B247" t="s">
        <v>1982</v>
      </c>
      <c r="C247">
        <v>0.36751499999999998</v>
      </c>
      <c r="D247">
        <v>0.36751499999999998</v>
      </c>
      <c r="E247" t="s">
        <v>2030</v>
      </c>
      <c r="F247">
        <v>0</v>
      </c>
      <c r="G247">
        <v>0</v>
      </c>
      <c r="H247">
        <v>0</v>
      </c>
      <c r="I247">
        <v>0</v>
      </c>
    </row>
    <row r="248" spans="1:9">
      <c r="B248" t="s">
        <v>1978</v>
      </c>
      <c r="C248">
        <v>0.44257865250220579</v>
      </c>
      <c r="D248">
        <v>0.44257859999999999</v>
      </c>
      <c r="E248" t="s">
        <v>2029</v>
      </c>
      <c r="F248">
        <v>2.8236623089360191E-4</v>
      </c>
      <c r="G248">
        <v>1.1862798112042697E-6</v>
      </c>
      <c r="H248">
        <v>4.4257860000000003E-2</v>
      </c>
      <c r="I248">
        <v>1.859365606112025E-4</v>
      </c>
    </row>
    <row r="249" spans="1:9">
      <c r="B249" t="s">
        <v>1984</v>
      </c>
      <c r="C249">
        <v>0.4493876</v>
      </c>
      <c r="D249">
        <v>0.4493876</v>
      </c>
      <c r="E249" t="s">
        <v>2030</v>
      </c>
      <c r="F249">
        <v>0</v>
      </c>
      <c r="G249">
        <v>0</v>
      </c>
      <c r="H249">
        <v>0</v>
      </c>
      <c r="I249">
        <v>0</v>
      </c>
    </row>
    <row r="250" spans="1:9">
      <c r="B250" t="s">
        <v>1836</v>
      </c>
      <c r="C250">
        <v>1878.1868713712513</v>
      </c>
      <c r="D250">
        <v>1878.1868692</v>
      </c>
      <c r="E250" t="s">
        <v>2029</v>
      </c>
      <c r="F250">
        <v>3.1398507730639126E-8</v>
      </c>
      <c r="G250">
        <v>1.1560357965778817E-8</v>
      </c>
      <c r="H250">
        <v>187.81868692</v>
      </c>
      <c r="I250">
        <v>69.151415477589751</v>
      </c>
    </row>
    <row r="251" spans="1:9">
      <c r="B251" t="s">
        <v>1986</v>
      </c>
      <c r="C251">
        <v>3111.3005658598463</v>
      </c>
      <c r="D251">
        <v>3111.3005910000002</v>
      </c>
      <c r="E251" t="s">
        <v>2029</v>
      </c>
      <c r="F251">
        <v>-8.1543253232747682E-8</v>
      </c>
      <c r="G251">
        <v>-8.0802716198346715E-8</v>
      </c>
      <c r="H251">
        <v>311.13005909999998</v>
      </c>
      <c r="I251">
        <v>308.3045239129101</v>
      </c>
    </row>
    <row r="252" spans="1:9">
      <c r="B252" t="s">
        <v>1985</v>
      </c>
      <c r="C252">
        <v>792.75598746783885</v>
      </c>
      <c r="D252">
        <v>792.75598909999997</v>
      </c>
      <c r="E252" t="s">
        <v>2029</v>
      </c>
      <c r="F252">
        <v>-2.0600536946943592E-8</v>
      </c>
      <c r="G252">
        <v>-2.0588442572946804E-8</v>
      </c>
      <c r="H252">
        <v>79.275598909999999</v>
      </c>
      <c r="I252">
        <v>79.229056980316017</v>
      </c>
    </row>
    <row r="253" spans="1:9">
      <c r="B253" t="s">
        <v>1992</v>
      </c>
      <c r="C253">
        <v>2453.5346378999998</v>
      </c>
      <c r="D253">
        <v>2453.5346378999998</v>
      </c>
      <c r="E253" t="s">
        <v>2030</v>
      </c>
      <c r="F253">
        <v>0</v>
      </c>
      <c r="G253">
        <v>0</v>
      </c>
      <c r="H253">
        <v>0</v>
      </c>
      <c r="I253">
        <v>0</v>
      </c>
    </row>
    <row r="255" spans="1:9" ht="15.75" thickBot="1">
      <c r="A255" s="55" t="s">
        <v>29</v>
      </c>
    </row>
    <row r="256" spans="1:9" ht="30.75" thickBot="1">
      <c r="B256" s="56" t="s">
        <v>2032</v>
      </c>
      <c r="C256" s="56" t="s">
        <v>2033</v>
      </c>
      <c r="D256" s="56" t="s">
        <v>2034</v>
      </c>
      <c r="E256" s="56" t="s">
        <v>2035</v>
      </c>
      <c r="F256" s="56" t="s">
        <v>2026</v>
      </c>
      <c r="G256" s="56" t="s">
        <v>2025</v>
      </c>
      <c r="H256" s="56" t="s">
        <v>2036</v>
      </c>
      <c r="I256" s="56" t="s">
        <v>2037</v>
      </c>
    </row>
    <row r="257" spans="2:9">
      <c r="B257" t="s">
        <v>2038</v>
      </c>
      <c r="C257" t="b">
        <v>1</v>
      </c>
      <c r="D257">
        <v>-4.0917177102528512E-4</v>
      </c>
      <c r="E257">
        <v>-2.9103830456733704E-11</v>
      </c>
      <c r="F257">
        <v>-1.2829103223318145E-8</v>
      </c>
      <c r="G257">
        <v>-5.0298792370107836E-8</v>
      </c>
      <c r="H257">
        <v>8134.8229598540538</v>
      </c>
      <c r="I257" t="s">
        <v>2039</v>
      </c>
    </row>
    <row r="258" spans="2:9">
      <c r="B258" t="s">
        <v>2040</v>
      </c>
      <c r="C258" t="b">
        <v>1</v>
      </c>
      <c r="D258">
        <v>-5.5986116058193147E-4</v>
      </c>
      <c r="E258">
        <v>-1.4551915228366852E-11</v>
      </c>
      <c r="F258">
        <v>-3.9202145461596162E-8</v>
      </c>
      <c r="G258">
        <v>-8.8315060587572806E-8</v>
      </c>
      <c r="H258">
        <v>6339.3622430545211</v>
      </c>
      <c r="I258" t="s">
        <v>2041</v>
      </c>
    </row>
    <row r="259" spans="2:9">
      <c r="B259" t="s">
        <v>2042</v>
      </c>
      <c r="C259" t="b">
        <v>1</v>
      </c>
      <c r="D259">
        <v>0</v>
      </c>
      <c r="E259">
        <v>9.0949470177292824E-13</v>
      </c>
      <c r="F259">
        <v>0</v>
      </c>
      <c r="G259">
        <v>0</v>
      </c>
      <c r="H259">
        <v>428.61140683759515</v>
      </c>
      <c r="I259" t="s">
        <v>2043</v>
      </c>
    </row>
    <row r="260" spans="2:9">
      <c r="B260" t="s">
        <v>2044</v>
      </c>
      <c r="C260" t="b">
        <v>1</v>
      </c>
      <c r="D260">
        <v>0</v>
      </c>
      <c r="E260">
        <v>0</v>
      </c>
      <c r="F260">
        <v>0</v>
      </c>
      <c r="G260">
        <v>0</v>
      </c>
      <c r="H260">
        <v>28.063890289597065</v>
      </c>
      <c r="I260" t="s">
        <v>2045</v>
      </c>
    </row>
    <row r="261" spans="2:9">
      <c r="B261" t="s">
        <v>2046</v>
      </c>
      <c r="C261" t="b">
        <v>1</v>
      </c>
      <c r="D261">
        <v>1.9997241906821728E-7</v>
      </c>
      <c r="E261">
        <v>-2.9103830456733704E-11</v>
      </c>
      <c r="F261">
        <v>1.1004126660887842E-11</v>
      </c>
      <c r="G261">
        <v>2.5901920019047177E-11</v>
      </c>
      <c r="H261">
        <v>7720.3704945875061</v>
      </c>
      <c r="I261" t="s">
        <v>2047</v>
      </c>
    </row>
    <row r="262" spans="2:9">
      <c r="B262" t="s">
        <v>2048</v>
      </c>
      <c r="C262" t="b">
        <v>1</v>
      </c>
      <c r="D262">
        <v>2.8393293359840754E-4</v>
      </c>
      <c r="E262">
        <v>0</v>
      </c>
      <c r="F262">
        <v>2.4150474631851996E-7</v>
      </c>
      <c r="G262">
        <v>6.5220618235656684E-7</v>
      </c>
      <c r="H262">
        <v>435.3422909493043</v>
      </c>
      <c r="I262" t="s">
        <v>2049</v>
      </c>
    </row>
    <row r="263" spans="2:9">
      <c r="B263" t="s">
        <v>2050</v>
      </c>
      <c r="C263" t="b">
        <v>1</v>
      </c>
      <c r="D263">
        <v>-1.717658233246766E-5</v>
      </c>
      <c r="E263">
        <v>9.0949470177292824E-13</v>
      </c>
      <c r="F263">
        <v>-2.4980412854220004E-8</v>
      </c>
      <c r="G263">
        <v>-2.7497323007766111E-7</v>
      </c>
      <c r="H263">
        <v>62.466380191324269</v>
      </c>
      <c r="I263" t="s">
        <v>2051</v>
      </c>
    </row>
    <row r="264" spans="2:9">
      <c r="B264" t="s">
        <v>2052</v>
      </c>
      <c r="C264" t="b">
        <v>1</v>
      </c>
      <c r="D264">
        <v>1.1368683772161603E-13</v>
      </c>
      <c r="E264">
        <v>-4.5474735088646412E-13</v>
      </c>
      <c r="F264">
        <v>8.7199846185598811E-16</v>
      </c>
      <c r="G264">
        <v>2.4930013257932989E-15</v>
      </c>
      <c r="H264">
        <v>45.602397618236203</v>
      </c>
      <c r="I264" t="s">
        <v>2053</v>
      </c>
    </row>
    <row r="265" spans="2:9">
      <c r="B265" t="s">
        <v>2062</v>
      </c>
      <c r="C265" t="b">
        <v>1</v>
      </c>
      <c r="D265">
        <v>-1.86211508435008E-5</v>
      </c>
      <c r="E265">
        <v>2.2737367544323206E-13</v>
      </c>
      <c r="F265">
        <v>-1.1925197346756652E-7</v>
      </c>
      <c r="G265">
        <v>-4.1637192026644649E-7</v>
      </c>
      <c r="H265">
        <v>44.722398262554961</v>
      </c>
      <c r="I265" t="s">
        <v>2063</v>
      </c>
    </row>
    <row r="266" spans="2:9">
      <c r="B266" t="s">
        <v>2058</v>
      </c>
      <c r="C266" t="b">
        <v>1</v>
      </c>
      <c r="D266">
        <v>0</v>
      </c>
      <c r="E266">
        <v>-4.5474735088646412E-13</v>
      </c>
      <c r="F266">
        <v>0</v>
      </c>
      <c r="G266">
        <v>0</v>
      </c>
      <c r="H266">
        <v>52.559120643305441</v>
      </c>
      <c r="I266" t="s">
        <v>2059</v>
      </c>
    </row>
    <row r="267" spans="2:9">
      <c r="B267" t="s">
        <v>2056</v>
      </c>
      <c r="C267" t="b">
        <v>1</v>
      </c>
      <c r="D267">
        <v>0</v>
      </c>
      <c r="E267">
        <v>0</v>
      </c>
      <c r="F267">
        <v>0</v>
      </c>
      <c r="G267">
        <v>0</v>
      </c>
      <c r="H267">
        <v>46.878073176732194</v>
      </c>
      <c r="I267" t="s">
        <v>2057</v>
      </c>
    </row>
    <row r="268" spans="2:9">
      <c r="B268" t="s">
        <v>2060</v>
      </c>
      <c r="C268" t="b">
        <v>1</v>
      </c>
      <c r="D268">
        <v>0</v>
      </c>
      <c r="E268">
        <v>0</v>
      </c>
      <c r="F268">
        <v>0</v>
      </c>
      <c r="G268">
        <v>0</v>
      </c>
      <c r="H268">
        <v>56.807429859919878</v>
      </c>
      <c r="I268" t="s">
        <v>2061</v>
      </c>
    </row>
    <row r="269" spans="2:9">
      <c r="B269" t="s">
        <v>2064</v>
      </c>
      <c r="C269" t="b">
        <v>1</v>
      </c>
      <c r="D269">
        <v>-8.4150635075275204E-5</v>
      </c>
      <c r="E269">
        <v>2.2737367544323206E-13</v>
      </c>
      <c r="F269">
        <v>-6.2435317762105227E-7</v>
      </c>
      <c r="G269">
        <v>-2.1857891447229751E-6</v>
      </c>
      <c r="H269">
        <v>38.498971997566755</v>
      </c>
      <c r="I269" t="s">
        <v>2065</v>
      </c>
    </row>
    <row r="270" spans="2:9">
      <c r="B270" t="s">
        <v>2066</v>
      </c>
      <c r="C270" t="b">
        <v>1</v>
      </c>
      <c r="D270">
        <v>3.2050487698143115E-4</v>
      </c>
      <c r="E270">
        <v>-4.5474735088646412E-13</v>
      </c>
      <c r="F270">
        <v>9.744729946462904E-7</v>
      </c>
      <c r="G270">
        <v>7.1214436007340344E-6</v>
      </c>
      <c r="H270">
        <v>45.005604895669677</v>
      </c>
      <c r="I270" t="s">
        <v>2067</v>
      </c>
    </row>
    <row r="271" spans="2:9">
      <c r="B271" t="s">
        <v>2054</v>
      </c>
      <c r="C271" t="b">
        <v>1</v>
      </c>
      <c r="D271">
        <v>-4.6093762648524716E-5</v>
      </c>
      <c r="E271">
        <v>1.1368683772161603E-13</v>
      </c>
      <c r="F271">
        <v>-7.7000889104491328E-7</v>
      </c>
      <c r="G271">
        <v>-6.3817355707165961E-6</v>
      </c>
      <c r="H271">
        <v>7.2227628578081173</v>
      </c>
      <c r="I271" t="s">
        <v>2055</v>
      </c>
    </row>
    <row r="272" spans="2:9">
      <c r="B272" t="s">
        <v>2068</v>
      </c>
      <c r="C272" t="b">
        <v>1</v>
      </c>
      <c r="D272">
        <v>1.2457484262995422E-4</v>
      </c>
      <c r="E272">
        <v>0</v>
      </c>
      <c r="F272">
        <v>1.0079696277355831E-8</v>
      </c>
      <c r="G272">
        <v>3.7526602472585127E-8</v>
      </c>
      <c r="H272">
        <v>3319.6408526714281</v>
      </c>
      <c r="I272" t="s">
        <v>2069</v>
      </c>
    </row>
    <row r="273" spans="2:9">
      <c r="B273" t="s">
        <v>2070</v>
      </c>
      <c r="C273" t="b">
        <v>1</v>
      </c>
      <c r="D273">
        <v>4.397549491841346E-4</v>
      </c>
      <c r="E273">
        <v>-5.8207660913467407E-11</v>
      </c>
      <c r="F273">
        <v>2.4859031867279957E-8</v>
      </c>
      <c r="G273">
        <v>5.0826714506850021E-8</v>
      </c>
      <c r="H273">
        <v>8652.0435847740646</v>
      </c>
      <c r="I273" t="s">
        <v>2071</v>
      </c>
    </row>
    <row r="274" spans="2:9">
      <c r="B274" t="s">
        <v>2072</v>
      </c>
      <c r="C274" t="b">
        <v>1</v>
      </c>
      <c r="D274">
        <v>1.486224151449278E-3</v>
      </c>
      <c r="E274">
        <v>-8.7311491370201111E-11</v>
      </c>
      <c r="F274">
        <v>9.4096733180239277E-8</v>
      </c>
      <c r="G274">
        <v>1.9193112910075427E-7</v>
      </c>
      <c r="H274">
        <v>7743.5284125749313</v>
      </c>
      <c r="I274" t="s">
        <v>2073</v>
      </c>
    </row>
    <row r="275" spans="2:9">
      <c r="B275" t="s">
        <v>2102</v>
      </c>
      <c r="C275" t="b">
        <v>1</v>
      </c>
      <c r="D275">
        <v>2.8655631467700005E-7</v>
      </c>
      <c r="E275">
        <v>-2.9103830456733704E-11</v>
      </c>
      <c r="F275">
        <v>1.0609554173058135E-11</v>
      </c>
      <c r="G275">
        <v>3.489999273398309E-11</v>
      </c>
      <c r="H275">
        <v>8210.7843649483693</v>
      </c>
      <c r="I275" t="s">
        <v>2103</v>
      </c>
    </row>
    <row r="276" spans="2:9">
      <c r="B276" t="s">
        <v>2088</v>
      </c>
      <c r="C276" t="b">
        <v>1</v>
      </c>
      <c r="D276">
        <v>-1.1998883458517184E-3</v>
      </c>
      <c r="E276">
        <v>0</v>
      </c>
      <c r="F276">
        <v>-8.8326786340736606E-5</v>
      </c>
      <c r="G276">
        <v>-2.3794789368035687E-4</v>
      </c>
      <c r="H276">
        <v>5.0426516801345063</v>
      </c>
      <c r="I276" t="s">
        <v>2089</v>
      </c>
    </row>
    <row r="277" spans="2:9">
      <c r="B277" t="s">
        <v>2082</v>
      </c>
      <c r="C277" t="b">
        <v>1</v>
      </c>
      <c r="D277">
        <v>-1.2672609409491997E-4</v>
      </c>
      <c r="E277">
        <v>2.2737367544323206E-13</v>
      </c>
      <c r="F277">
        <v>-6.861480057800688E-7</v>
      </c>
      <c r="G277">
        <v>-2.6076581942247477E-6</v>
      </c>
      <c r="H277">
        <v>48.597662981898374</v>
      </c>
      <c r="I277" t="s">
        <v>2083</v>
      </c>
    </row>
    <row r="278" spans="2:9">
      <c r="B278" t="s">
        <v>2078</v>
      </c>
      <c r="C278" t="b">
        <v>1</v>
      </c>
      <c r="D278">
        <v>1.8275162688041746E-5</v>
      </c>
      <c r="E278">
        <v>-1.1368683772161603E-13</v>
      </c>
      <c r="F278">
        <v>1.3353868337517422E-7</v>
      </c>
      <c r="G278">
        <v>3.2867226298097585E-7</v>
      </c>
      <c r="H278">
        <v>55.602996499584592</v>
      </c>
      <c r="I278" t="s">
        <v>2079</v>
      </c>
    </row>
    <row r="279" spans="2:9">
      <c r="B279" t="s">
        <v>2074</v>
      </c>
      <c r="C279" t="b">
        <v>1</v>
      </c>
      <c r="D279">
        <v>6.981840942898998E-5</v>
      </c>
      <c r="E279">
        <v>0</v>
      </c>
      <c r="F279">
        <v>4.1905550999892778E-7</v>
      </c>
      <c r="G279">
        <v>1.0303451241592042E-6</v>
      </c>
      <c r="H279">
        <v>67.762158321430519</v>
      </c>
      <c r="I279" t="s">
        <v>2075</v>
      </c>
    </row>
    <row r="280" spans="2:9">
      <c r="B280" t="s">
        <v>2094</v>
      </c>
      <c r="C280" t="b">
        <v>1</v>
      </c>
      <c r="D280">
        <v>1.6635681062382446E-4</v>
      </c>
      <c r="E280">
        <v>0</v>
      </c>
      <c r="F280">
        <v>9.6212401083347886E-6</v>
      </c>
      <c r="G280">
        <v>2.9166294284367133E-5</v>
      </c>
      <c r="H280">
        <v>5.7037349003568885</v>
      </c>
      <c r="I280" t="s">
        <v>2095</v>
      </c>
    </row>
    <row r="281" spans="2:9">
      <c r="B281" t="s">
        <v>2076</v>
      </c>
      <c r="C281" t="b">
        <v>1</v>
      </c>
      <c r="D281">
        <v>1.4650861532317094E-4</v>
      </c>
      <c r="E281">
        <v>-7.1054273576010019E-15</v>
      </c>
      <c r="F281">
        <v>2.2763255875852823E-5</v>
      </c>
      <c r="G281">
        <v>6.7909042358108222E-5</v>
      </c>
      <c r="H281">
        <v>2.1574242580329668</v>
      </c>
      <c r="I281" t="s">
        <v>2077</v>
      </c>
    </row>
    <row r="282" spans="2:9">
      <c r="B282" t="s">
        <v>2092</v>
      </c>
      <c r="C282" t="b">
        <v>1</v>
      </c>
      <c r="D282">
        <v>0</v>
      </c>
      <c r="E282">
        <v>0</v>
      </c>
      <c r="F282">
        <v>0</v>
      </c>
      <c r="G282">
        <v>0</v>
      </c>
      <c r="H282">
        <v>0</v>
      </c>
      <c r="I282" t="s">
        <v>2093</v>
      </c>
    </row>
    <row r="283" spans="2:9">
      <c r="B283" t="s">
        <v>2090</v>
      </c>
      <c r="C283" t="b">
        <v>1</v>
      </c>
      <c r="D283">
        <v>0</v>
      </c>
      <c r="E283">
        <v>0</v>
      </c>
      <c r="F283">
        <v>0</v>
      </c>
      <c r="G283">
        <v>0</v>
      </c>
      <c r="H283">
        <v>0</v>
      </c>
      <c r="I283" t="s">
        <v>2091</v>
      </c>
    </row>
    <row r="284" spans="2:9">
      <c r="B284" t="s">
        <v>2086</v>
      </c>
      <c r="C284" t="b">
        <v>1</v>
      </c>
      <c r="D284">
        <v>0</v>
      </c>
      <c r="E284">
        <v>0</v>
      </c>
      <c r="F284">
        <v>0</v>
      </c>
      <c r="G284">
        <v>0</v>
      </c>
      <c r="H284">
        <v>0</v>
      </c>
      <c r="I284" t="s">
        <v>2087</v>
      </c>
    </row>
    <row r="285" spans="2:9">
      <c r="B285" t="s">
        <v>2098</v>
      </c>
      <c r="C285" t="b">
        <v>1</v>
      </c>
      <c r="D285">
        <v>0</v>
      </c>
      <c r="E285">
        <v>0</v>
      </c>
      <c r="F285">
        <v>0</v>
      </c>
      <c r="G285">
        <v>0</v>
      </c>
      <c r="H285">
        <v>0</v>
      </c>
      <c r="I285" t="s">
        <v>2099</v>
      </c>
    </row>
    <row r="286" spans="2:9">
      <c r="B286" t="s">
        <v>2084</v>
      </c>
      <c r="C286" t="b">
        <v>1</v>
      </c>
      <c r="D286">
        <v>-1.7633199354349927E-4</v>
      </c>
      <c r="E286">
        <v>0</v>
      </c>
      <c r="F286">
        <v>-1.1262317766206981E-6</v>
      </c>
      <c r="G286">
        <v>-2.7490991265619497E-6</v>
      </c>
      <c r="H286">
        <v>64.141737138457344</v>
      </c>
      <c r="I286" t="s">
        <v>2085</v>
      </c>
    </row>
    <row r="287" spans="2:9">
      <c r="B287" t="s">
        <v>2100</v>
      </c>
      <c r="C287" t="b">
        <v>1</v>
      </c>
      <c r="D287">
        <v>3.099103196291253E-10</v>
      </c>
      <c r="E287">
        <v>0</v>
      </c>
      <c r="F287">
        <v>1.3202662178187527E-11</v>
      </c>
      <c r="G287">
        <v>4.7162539373753101E-11</v>
      </c>
      <c r="H287">
        <v>6.5711118134066506</v>
      </c>
      <c r="I287" t="s">
        <v>2101</v>
      </c>
    </row>
    <row r="288" spans="2:9">
      <c r="B288" t="s">
        <v>2096</v>
      </c>
      <c r="C288" t="b">
        <v>1</v>
      </c>
      <c r="D288">
        <v>1.0015999237111828E-4</v>
      </c>
      <c r="E288">
        <v>-2.2737367544323206E-13</v>
      </c>
      <c r="F288">
        <v>7.7236605994291805E-7</v>
      </c>
      <c r="G288">
        <v>1.8771866192645511E-6</v>
      </c>
      <c r="H288">
        <v>53.356438482583691</v>
      </c>
      <c r="I288" t="s">
        <v>2097</v>
      </c>
    </row>
    <row r="289" spans="2:9">
      <c r="B289" t="s">
        <v>2080</v>
      </c>
      <c r="C289" t="b">
        <v>1</v>
      </c>
      <c r="D289">
        <v>1.1262277337209525E-4</v>
      </c>
      <c r="E289">
        <v>-1.1368683772161603E-13</v>
      </c>
      <c r="F289">
        <v>7.203623142789739E-7</v>
      </c>
      <c r="G289">
        <v>2.7120708529634686E-6</v>
      </c>
      <c r="H289">
        <v>41.52648639287311</v>
      </c>
      <c r="I289" t="s">
        <v>2081</v>
      </c>
    </row>
    <row r="290" spans="2:9">
      <c r="B290" t="s">
        <v>2104</v>
      </c>
      <c r="C290" t="b">
        <v>1</v>
      </c>
      <c r="D290">
        <v>-2.2737367544323206E-13</v>
      </c>
      <c r="E290">
        <v>0</v>
      </c>
      <c r="F290">
        <v>-1.1254810715345854E-15</v>
      </c>
      <c r="G290">
        <v>-2.2555526274673783E-15</v>
      </c>
      <c r="H290">
        <v>100.80619386768024</v>
      </c>
      <c r="I290" t="s">
        <v>2105</v>
      </c>
    </row>
    <row r="291" spans="2:9">
      <c r="B291" t="s">
        <v>2114</v>
      </c>
      <c r="C291" t="b">
        <v>1</v>
      </c>
      <c r="D291">
        <v>0</v>
      </c>
      <c r="E291">
        <v>0</v>
      </c>
      <c r="F291">
        <v>0</v>
      </c>
      <c r="G291">
        <v>0</v>
      </c>
      <c r="H291">
        <v>44.500848956267198</v>
      </c>
      <c r="I291" t="s">
        <v>2115</v>
      </c>
    </row>
    <row r="292" spans="2:9">
      <c r="B292" t="s">
        <v>2108</v>
      </c>
      <c r="C292" t="b">
        <v>1</v>
      </c>
      <c r="D292">
        <v>0</v>
      </c>
      <c r="E292">
        <v>0</v>
      </c>
      <c r="F292">
        <v>0</v>
      </c>
      <c r="G292">
        <v>0</v>
      </c>
      <c r="H292">
        <v>8.1460160532647077</v>
      </c>
      <c r="I292" t="s">
        <v>2109</v>
      </c>
    </row>
    <row r="293" spans="2:9">
      <c r="B293" t="s">
        <v>2120</v>
      </c>
      <c r="C293" t="b">
        <v>1</v>
      </c>
      <c r="D293">
        <v>0</v>
      </c>
      <c r="E293">
        <v>0</v>
      </c>
      <c r="F293">
        <v>0</v>
      </c>
      <c r="G293">
        <v>0</v>
      </c>
      <c r="H293">
        <v>37.881804775848309</v>
      </c>
      <c r="I293" t="s">
        <v>2121</v>
      </c>
    </row>
    <row r="294" spans="2:9">
      <c r="B294" t="s">
        <v>2118</v>
      </c>
      <c r="C294" t="b">
        <v>1</v>
      </c>
      <c r="D294">
        <v>0</v>
      </c>
      <c r="E294">
        <v>0</v>
      </c>
      <c r="F294">
        <v>0</v>
      </c>
      <c r="G294">
        <v>0</v>
      </c>
      <c r="H294">
        <v>8.7455202145738191</v>
      </c>
      <c r="I294" t="s">
        <v>2119</v>
      </c>
    </row>
    <row r="295" spans="2:9">
      <c r="B295" t="s">
        <v>2124</v>
      </c>
      <c r="C295" t="b">
        <v>1</v>
      </c>
      <c r="D295">
        <v>-2.6600318447833615E-3</v>
      </c>
      <c r="E295">
        <v>2.8421709430404007E-14</v>
      </c>
      <c r="F295">
        <v>-8.9587204352416954E-5</v>
      </c>
      <c r="G295">
        <v>-5.0206243291906502E-4</v>
      </c>
      <c r="H295">
        <v>5.2982092870752027</v>
      </c>
      <c r="I295" t="s">
        <v>2125</v>
      </c>
    </row>
    <row r="296" spans="2:9">
      <c r="B296" t="s">
        <v>2132</v>
      </c>
      <c r="C296" t="b">
        <v>1</v>
      </c>
      <c r="D296">
        <v>8.1361584307160228E-5</v>
      </c>
      <c r="E296">
        <v>0</v>
      </c>
      <c r="F296">
        <v>1.1213172257002485E-8</v>
      </c>
      <c r="G296">
        <v>2.106227635996273E-8</v>
      </c>
      <c r="H296">
        <v>3862.9055528784352</v>
      </c>
      <c r="I296" t="s">
        <v>2133</v>
      </c>
    </row>
    <row r="297" spans="2:9">
      <c r="B297" t="s">
        <v>2112</v>
      </c>
      <c r="C297" t="b">
        <v>1</v>
      </c>
      <c r="D297">
        <v>1.4717903480914174E-3</v>
      </c>
      <c r="E297">
        <v>0</v>
      </c>
      <c r="F297">
        <v>6.2777218925381457E-5</v>
      </c>
      <c r="G297">
        <v>2.2806074830566589E-4</v>
      </c>
      <c r="H297">
        <v>6.4535013544671971</v>
      </c>
      <c r="I297" t="s">
        <v>2113</v>
      </c>
    </row>
    <row r="298" spans="2:9">
      <c r="B298" t="s">
        <v>2116</v>
      </c>
      <c r="C298" t="b">
        <v>1</v>
      </c>
      <c r="D298">
        <v>0</v>
      </c>
      <c r="E298">
        <v>0</v>
      </c>
      <c r="F298">
        <v>0</v>
      </c>
      <c r="G298">
        <v>0</v>
      </c>
      <c r="H298">
        <v>0</v>
      </c>
      <c r="I298" t="s">
        <v>2117</v>
      </c>
    </row>
    <row r="299" spans="2:9">
      <c r="B299" t="s">
        <v>2110</v>
      </c>
      <c r="C299" t="b">
        <v>1</v>
      </c>
      <c r="D299">
        <v>0</v>
      </c>
      <c r="E299">
        <v>0</v>
      </c>
      <c r="F299">
        <v>0</v>
      </c>
      <c r="G299">
        <v>0</v>
      </c>
      <c r="H299">
        <v>0</v>
      </c>
      <c r="I299" t="s">
        <v>2111</v>
      </c>
    </row>
    <row r="300" spans="2:9">
      <c r="B300" t="s">
        <v>2126</v>
      </c>
      <c r="C300" t="b">
        <v>1</v>
      </c>
      <c r="D300">
        <v>-3.7135093807592057E-3</v>
      </c>
      <c r="E300">
        <v>7.2759576141834259E-12</v>
      </c>
      <c r="F300">
        <v>-3.9762976616493208E-7</v>
      </c>
      <c r="G300">
        <v>-1.0381435512931551E-6</v>
      </c>
      <c r="H300">
        <v>3577.0673295937759</v>
      </c>
      <c r="I300" t="s">
        <v>2127</v>
      </c>
    </row>
    <row r="301" spans="2:9">
      <c r="B301" t="s">
        <v>2106</v>
      </c>
      <c r="C301" t="b">
        <v>1</v>
      </c>
      <c r="D301">
        <v>0</v>
      </c>
      <c r="E301">
        <v>0</v>
      </c>
      <c r="F301">
        <v>0</v>
      </c>
      <c r="G301">
        <v>0</v>
      </c>
      <c r="H301">
        <v>0</v>
      </c>
      <c r="I301" t="s">
        <v>2107</v>
      </c>
    </row>
    <row r="302" spans="2:9">
      <c r="B302" t="s">
        <v>2122</v>
      </c>
      <c r="C302" t="b">
        <v>1</v>
      </c>
      <c r="D302">
        <v>0</v>
      </c>
      <c r="E302">
        <v>0</v>
      </c>
      <c r="F302">
        <v>0</v>
      </c>
      <c r="G302">
        <v>0</v>
      </c>
      <c r="H302">
        <v>0</v>
      </c>
      <c r="I302" t="s">
        <v>2123</v>
      </c>
    </row>
    <row r="303" spans="2:9">
      <c r="B303" t="s">
        <v>2134</v>
      </c>
      <c r="C303" t="b">
        <v>1</v>
      </c>
      <c r="D303">
        <v>1.1272481458490802E-3</v>
      </c>
      <c r="E303">
        <v>-2.2737367544323206E-13</v>
      </c>
      <c r="F303">
        <v>7.7241963401135816E-6</v>
      </c>
      <c r="G303">
        <v>3.6351939347930987E-5</v>
      </c>
      <c r="H303">
        <v>31.009298707834656</v>
      </c>
      <c r="I303" t="s">
        <v>2135</v>
      </c>
    </row>
    <row r="304" spans="2:9">
      <c r="B304" t="s">
        <v>2128</v>
      </c>
      <c r="C304" t="b">
        <v>1</v>
      </c>
      <c r="D304">
        <v>-1.1368683772161603E-13</v>
      </c>
      <c r="E304">
        <v>4.5474735088646412E-13</v>
      </c>
      <c r="F304">
        <v>-6.2345271293132923E-16</v>
      </c>
      <c r="G304">
        <v>-3.9901329575389136E-15</v>
      </c>
      <c r="H304">
        <v>28.491992354995929</v>
      </c>
      <c r="I304" t="s">
        <v>2129</v>
      </c>
    </row>
    <row r="305" spans="2:9">
      <c r="B305" t="s">
        <v>2130</v>
      </c>
      <c r="C305" t="b">
        <v>1</v>
      </c>
      <c r="D305">
        <v>-9.0949470177292824E-13</v>
      </c>
      <c r="E305">
        <v>2.7284841053187847E-12</v>
      </c>
      <c r="F305">
        <v>-7.1622362316103376E-16</v>
      </c>
      <c r="G305">
        <v>-2.1553620596625636E-15</v>
      </c>
      <c r="H305">
        <v>421.96841022399536</v>
      </c>
      <c r="I305" t="s">
        <v>2131</v>
      </c>
    </row>
    <row r="306" spans="2:9">
      <c r="B306" t="s">
        <v>2138</v>
      </c>
      <c r="C306" t="b">
        <v>1</v>
      </c>
      <c r="D306">
        <v>1.0000076144933701E-7</v>
      </c>
      <c r="E306">
        <v>-7.2759576141834259E-12</v>
      </c>
      <c r="F306">
        <v>3.3783393626597604E-11</v>
      </c>
      <c r="G306">
        <v>6.2627574921303804E-11</v>
      </c>
      <c r="H306">
        <v>1596.7528931943377</v>
      </c>
      <c r="I306" t="s">
        <v>2139</v>
      </c>
    </row>
    <row r="307" spans="2:9">
      <c r="B307" t="s">
        <v>2140</v>
      </c>
      <c r="C307" t="b">
        <v>1</v>
      </c>
      <c r="D307">
        <v>-3.0000228434801102E-7</v>
      </c>
      <c r="E307">
        <v>5.8207660913467407E-11</v>
      </c>
      <c r="F307">
        <v>-1.3367628635558899E-11</v>
      </c>
      <c r="G307">
        <v>-4.0627703716900569E-11</v>
      </c>
      <c r="H307">
        <v>7384.1801751452213</v>
      </c>
      <c r="I307" t="s">
        <v>2141</v>
      </c>
    </row>
    <row r="308" spans="2:9">
      <c r="B308" t="s">
        <v>2136</v>
      </c>
      <c r="C308" t="b">
        <v>1</v>
      </c>
      <c r="D308">
        <v>9.928294166456908E-4</v>
      </c>
      <c r="E308">
        <v>0</v>
      </c>
      <c r="F308">
        <v>3.7014921247108835E-8</v>
      </c>
      <c r="G308">
        <v>1.1609568823790366E-7</v>
      </c>
      <c r="H308">
        <v>8551.8198971453749</v>
      </c>
      <c r="I308" t="s">
        <v>2137</v>
      </c>
    </row>
    <row r="309" spans="2:9">
      <c r="B309" t="s">
        <v>2144</v>
      </c>
      <c r="C309" t="b">
        <v>1</v>
      </c>
      <c r="D309">
        <v>0</v>
      </c>
      <c r="E309">
        <v>0</v>
      </c>
      <c r="F309">
        <v>0</v>
      </c>
      <c r="G309">
        <v>0</v>
      </c>
      <c r="H309">
        <v>75.260647834615611</v>
      </c>
      <c r="I309" t="s">
        <v>2145</v>
      </c>
    </row>
    <row r="310" spans="2:9">
      <c r="B310" t="s">
        <v>2142</v>
      </c>
      <c r="C310" t="b">
        <v>1</v>
      </c>
      <c r="D310">
        <v>0</v>
      </c>
      <c r="E310">
        <v>0</v>
      </c>
      <c r="F310">
        <v>0</v>
      </c>
      <c r="G310">
        <v>0</v>
      </c>
      <c r="H310">
        <v>33.290453727450831</v>
      </c>
      <c r="I310" t="s">
        <v>2143</v>
      </c>
    </row>
    <row r="311" spans="2:9">
      <c r="B311" t="s">
        <v>2146</v>
      </c>
      <c r="C311" t="b">
        <v>1</v>
      </c>
      <c r="D311">
        <v>0</v>
      </c>
      <c r="E311">
        <v>0</v>
      </c>
      <c r="F311">
        <v>0</v>
      </c>
      <c r="G311">
        <v>0</v>
      </c>
      <c r="H311">
        <v>33.290453725763598</v>
      </c>
      <c r="I311" t="s">
        <v>2147</v>
      </c>
    </row>
    <row r="312" spans="2:9">
      <c r="B312" t="s">
        <v>2166</v>
      </c>
      <c r="C312" t="b">
        <v>1</v>
      </c>
      <c r="D312">
        <v>0</v>
      </c>
      <c r="E312">
        <v>0</v>
      </c>
      <c r="F312">
        <v>0</v>
      </c>
      <c r="G312">
        <v>0</v>
      </c>
      <c r="H312">
        <v>125.45078841939011</v>
      </c>
      <c r="I312" t="s">
        <v>2167</v>
      </c>
    </row>
    <row r="313" spans="2:9">
      <c r="B313" t="s">
        <v>2154</v>
      </c>
      <c r="C313" t="b">
        <v>1</v>
      </c>
      <c r="D313">
        <v>9.9999851954635233E-8</v>
      </c>
      <c r="E313">
        <v>0</v>
      </c>
      <c r="F313">
        <v>9.2086233790337368E-10</v>
      </c>
      <c r="G313">
        <v>5.3337853268181651E-9</v>
      </c>
      <c r="H313">
        <v>18.748383338909047</v>
      </c>
      <c r="I313" t="s">
        <v>2155</v>
      </c>
    </row>
    <row r="314" spans="2:9">
      <c r="B314" t="s">
        <v>2148</v>
      </c>
      <c r="C314" t="b">
        <v>1</v>
      </c>
      <c r="D314">
        <v>0</v>
      </c>
      <c r="E314">
        <v>9.0949470177292824E-13</v>
      </c>
      <c r="F314">
        <v>0</v>
      </c>
      <c r="G314">
        <v>0</v>
      </c>
      <c r="H314">
        <v>102.30729488009737</v>
      </c>
      <c r="I314" t="s">
        <v>2149</v>
      </c>
    </row>
    <row r="315" spans="2:9">
      <c r="B315" t="s">
        <v>2156</v>
      </c>
      <c r="C315" t="b">
        <v>1</v>
      </c>
      <c r="D315">
        <v>-9.9999851954635233E-8</v>
      </c>
      <c r="E315">
        <v>-9.0949470177292824E-13</v>
      </c>
      <c r="F315">
        <v>-1.607167174264396E-10</v>
      </c>
      <c r="G315">
        <v>-8.3058956888462746E-10</v>
      </c>
      <c r="H315">
        <v>120.39622901708468</v>
      </c>
      <c r="I315" t="s">
        <v>2157</v>
      </c>
    </row>
    <row r="316" spans="2:9">
      <c r="B316" t="s">
        <v>2152</v>
      </c>
      <c r="C316" t="b">
        <v>1</v>
      </c>
      <c r="D316">
        <v>0</v>
      </c>
      <c r="E316">
        <v>-1.1368683772161603E-12</v>
      </c>
      <c r="F316">
        <v>0</v>
      </c>
      <c r="G316">
        <v>0</v>
      </c>
      <c r="H316">
        <v>120.72057530624248</v>
      </c>
      <c r="I316" t="s">
        <v>2153</v>
      </c>
    </row>
    <row r="317" spans="2:9">
      <c r="B317" t="s">
        <v>2150</v>
      </c>
      <c r="C317" t="b">
        <v>1</v>
      </c>
      <c r="D317">
        <v>-2.5119173187704291E-5</v>
      </c>
      <c r="E317">
        <v>-7.9438411376031581E-5</v>
      </c>
      <c r="F317">
        <v>-2.8959145916093676E-8</v>
      </c>
      <c r="G317">
        <v>-4.2381634849779235E-7</v>
      </c>
      <c r="H317">
        <v>59.26900478648038</v>
      </c>
      <c r="I317" t="s">
        <v>2151</v>
      </c>
    </row>
    <row r="318" spans="2:9">
      <c r="B318" t="s">
        <v>2164</v>
      </c>
      <c r="C318" t="b">
        <v>1</v>
      </c>
      <c r="D318">
        <v>2.2212526528164744E-4</v>
      </c>
      <c r="E318">
        <v>-5.222312145633623E-3</v>
      </c>
      <c r="F318">
        <v>1.4599386438318905E-8</v>
      </c>
      <c r="G318">
        <v>3.2650560737260579E-8</v>
      </c>
      <c r="H318">
        <v>6803.1072136583471</v>
      </c>
      <c r="I318" t="s">
        <v>2165</v>
      </c>
    </row>
    <row r="319" spans="2:9">
      <c r="B319" t="s">
        <v>2162</v>
      </c>
      <c r="C319" t="b">
        <v>1</v>
      </c>
      <c r="D319">
        <v>-3.2806893614178989E-5</v>
      </c>
      <c r="E319">
        <v>7.9579586781619582E-5</v>
      </c>
      <c r="F319">
        <v>-4.0415595963410387E-8</v>
      </c>
      <c r="G319">
        <v>-1.8118291377699671E-7</v>
      </c>
      <c r="H319">
        <v>181.07057078548988</v>
      </c>
      <c r="I319" t="s">
        <v>2163</v>
      </c>
    </row>
    <row r="320" spans="2:9">
      <c r="B320" t="s">
        <v>2160</v>
      </c>
      <c r="C320" t="b">
        <v>1</v>
      </c>
      <c r="D320">
        <v>-9.3482434749603271E-5</v>
      </c>
      <c r="E320">
        <v>-2.2320028656395152E-3</v>
      </c>
      <c r="F320">
        <v>-6.1456495970354501E-9</v>
      </c>
      <c r="G320">
        <v>-3.1408639695552461E-8</v>
      </c>
      <c r="H320">
        <v>2976.3286680269889</v>
      </c>
      <c r="I320" t="s">
        <v>2161</v>
      </c>
    </row>
    <row r="321" spans="2:9">
      <c r="B321" t="s">
        <v>2158</v>
      </c>
      <c r="C321" t="b">
        <v>1</v>
      </c>
      <c r="D321">
        <v>-3.728831943590194E-4</v>
      </c>
      <c r="E321">
        <v>4.9701747775543481E-3</v>
      </c>
      <c r="F321">
        <v>-2.4557056522888732E-8</v>
      </c>
      <c r="G321">
        <v>-6.0425875947056935E-8</v>
      </c>
      <c r="H321">
        <v>6170.9191387763549</v>
      </c>
      <c r="I321" t="s">
        <v>2159</v>
      </c>
    </row>
    <row r="322" spans="2:9">
      <c r="B322" t="s">
        <v>2170</v>
      </c>
      <c r="C322" t="b">
        <v>1</v>
      </c>
      <c r="D322">
        <v>4.5474735088646412E-13</v>
      </c>
      <c r="E322">
        <v>-4.5474735088646412E-13</v>
      </c>
      <c r="F322">
        <v>1.8546359855573985E-15</v>
      </c>
      <c r="G322">
        <v>3.190467477185723E-15</v>
      </c>
      <c r="H322">
        <v>142.5331410328595</v>
      </c>
      <c r="I322" t="s">
        <v>2171</v>
      </c>
    </row>
    <row r="323" spans="2:9">
      <c r="B323" t="s">
        <v>2180</v>
      </c>
      <c r="C323" t="b">
        <v>1</v>
      </c>
      <c r="D323">
        <v>9.9993485491722822E-8</v>
      </c>
      <c r="E323">
        <v>0</v>
      </c>
      <c r="F323">
        <v>1.5002822434980234E-11</v>
      </c>
      <c r="G323">
        <v>4.7165505181218102E-11</v>
      </c>
      <c r="H323">
        <v>2120.0554326203101</v>
      </c>
      <c r="I323" t="s">
        <v>2181</v>
      </c>
    </row>
    <row r="324" spans="2:9">
      <c r="B324" t="s">
        <v>2174</v>
      </c>
      <c r="C324" t="b">
        <v>1</v>
      </c>
      <c r="D324">
        <v>0</v>
      </c>
      <c r="E324">
        <v>0</v>
      </c>
      <c r="F324">
        <v>0</v>
      </c>
      <c r="G324">
        <v>0</v>
      </c>
      <c r="H324">
        <v>0</v>
      </c>
      <c r="I324" t="s">
        <v>2175</v>
      </c>
    </row>
    <row r="325" spans="2:9">
      <c r="B325" t="s">
        <v>2172</v>
      </c>
      <c r="C325" t="b">
        <v>1</v>
      </c>
      <c r="D325">
        <v>0</v>
      </c>
      <c r="E325">
        <v>0</v>
      </c>
      <c r="F325">
        <v>0</v>
      </c>
      <c r="G325">
        <v>0</v>
      </c>
      <c r="H325">
        <v>0</v>
      </c>
      <c r="I325" t="s">
        <v>2173</v>
      </c>
    </row>
    <row r="326" spans="2:9">
      <c r="B326" t="s">
        <v>2168</v>
      </c>
      <c r="C326" t="b">
        <v>1</v>
      </c>
      <c r="D326">
        <v>0</v>
      </c>
      <c r="E326">
        <v>4.5474735088646412E-13</v>
      </c>
      <c r="F326">
        <v>0</v>
      </c>
      <c r="G326">
        <v>0</v>
      </c>
      <c r="H326">
        <v>149.58420132128384</v>
      </c>
      <c r="I326" t="s">
        <v>2169</v>
      </c>
    </row>
    <row r="327" spans="2:9">
      <c r="B327" t="s">
        <v>2182</v>
      </c>
      <c r="C327" t="b">
        <v>1</v>
      </c>
      <c r="D327">
        <v>0</v>
      </c>
      <c r="E327">
        <v>0</v>
      </c>
      <c r="F327">
        <v>0</v>
      </c>
      <c r="G327">
        <v>0</v>
      </c>
      <c r="H327">
        <v>1900.5158125789258</v>
      </c>
      <c r="I327" t="s">
        <v>2183</v>
      </c>
    </row>
    <row r="328" spans="2:9">
      <c r="B328" t="s">
        <v>2176</v>
      </c>
      <c r="C328" t="b">
        <v>1</v>
      </c>
      <c r="D328">
        <v>-4.5474735088646412E-13</v>
      </c>
      <c r="E328">
        <v>4.5474735088646412E-13</v>
      </c>
      <c r="F328">
        <v>-1.5363262826122992E-15</v>
      </c>
      <c r="G328">
        <v>-4.1080142679873771E-15</v>
      </c>
      <c r="H328">
        <v>110.69760746212224</v>
      </c>
      <c r="I328" t="s">
        <v>2177</v>
      </c>
    </row>
    <row r="329" spans="2:9">
      <c r="B329" t="s">
        <v>2184</v>
      </c>
      <c r="C329" t="b">
        <v>1</v>
      </c>
      <c r="D329">
        <v>0</v>
      </c>
      <c r="E329">
        <v>0</v>
      </c>
      <c r="F329">
        <v>0</v>
      </c>
      <c r="G329">
        <v>0</v>
      </c>
      <c r="H329">
        <v>1695.7152388177892</v>
      </c>
      <c r="I329" t="s">
        <v>2185</v>
      </c>
    </row>
    <row r="330" spans="2:9">
      <c r="B330" t="s">
        <v>2188</v>
      </c>
      <c r="C330" t="b">
        <v>1</v>
      </c>
      <c r="D330">
        <v>5.0000380724668503E-7</v>
      </c>
      <c r="E330">
        <v>0</v>
      </c>
      <c r="F330">
        <v>3.7686927819949359E-11</v>
      </c>
      <c r="G330">
        <v>7.5306344029822762E-11</v>
      </c>
      <c r="H330">
        <v>6639.5974162372549</v>
      </c>
      <c r="I330" t="s">
        <v>2189</v>
      </c>
    </row>
    <row r="331" spans="2:9">
      <c r="B331" t="s">
        <v>2186</v>
      </c>
      <c r="C331" t="b">
        <v>1</v>
      </c>
      <c r="D331">
        <v>-3.0000228434801102E-7</v>
      </c>
      <c r="E331">
        <v>0</v>
      </c>
      <c r="F331">
        <v>-1.6462072689239513E-11</v>
      </c>
      <c r="G331">
        <v>-4.6444952125587329E-11</v>
      </c>
      <c r="H331">
        <v>6459.3087217918473</v>
      </c>
      <c r="I331" t="s">
        <v>2187</v>
      </c>
    </row>
    <row r="332" spans="2:9">
      <c r="B332" t="s">
        <v>2178</v>
      </c>
      <c r="C332" t="b">
        <v>1</v>
      </c>
      <c r="D332">
        <v>-1.0000076144933701E-7</v>
      </c>
      <c r="E332">
        <v>0</v>
      </c>
      <c r="F332">
        <v>-6.0013732364247151E-11</v>
      </c>
      <c r="G332">
        <v>-1.3188018752584908E-10</v>
      </c>
      <c r="H332">
        <v>758.26978506332819</v>
      </c>
      <c r="I332" t="s">
        <v>2179</v>
      </c>
    </row>
    <row r="333" spans="2:9">
      <c r="B333" t="s">
        <v>2192</v>
      </c>
      <c r="C333" t="b">
        <v>1</v>
      </c>
      <c r="D333">
        <v>-4.9999999930605554E-5</v>
      </c>
      <c r="E333">
        <v>1.1368683772161603E-13</v>
      </c>
      <c r="F333">
        <v>-1.1952712170887323E-6</v>
      </c>
      <c r="G333">
        <v>-7.0895862875972344E-3</v>
      </c>
      <c r="H333">
        <v>7.0525976978483597E-3</v>
      </c>
      <c r="I333" t="s">
        <v>2193</v>
      </c>
    </row>
    <row r="334" spans="2:9">
      <c r="B334" t="s">
        <v>2190</v>
      </c>
      <c r="C334" t="b">
        <v>1</v>
      </c>
      <c r="D334">
        <v>-4.9999999987448973E-5</v>
      </c>
      <c r="E334">
        <v>-5.6843418860808015E-14</v>
      </c>
      <c r="F334">
        <v>-1.1448348204787832E-6</v>
      </c>
      <c r="G334">
        <v>-4.3960930604709038E-4</v>
      </c>
      <c r="H334">
        <v>0.11373735564663646</v>
      </c>
      <c r="I334" t="s">
        <v>2191</v>
      </c>
    </row>
    <row r="335" spans="2:9">
      <c r="B335" t="s">
        <v>2198</v>
      </c>
      <c r="C335" t="b">
        <v>1</v>
      </c>
      <c r="D335">
        <v>-4.9999999930605554E-5</v>
      </c>
      <c r="E335">
        <v>1.1368683772161603E-13</v>
      </c>
      <c r="F335">
        <v>-1.1952712170887323E-6</v>
      </c>
      <c r="G335">
        <v>-7.0895862875972309E-3</v>
      </c>
      <c r="H335">
        <v>7.0525976978483632E-3</v>
      </c>
      <c r="I335" t="s">
        <v>2199</v>
      </c>
    </row>
    <row r="336" spans="2:9">
      <c r="B336" t="s">
        <v>2194</v>
      </c>
      <c r="C336" t="b">
        <v>1</v>
      </c>
      <c r="D336">
        <v>-4.9999999987448973E-5</v>
      </c>
      <c r="E336">
        <v>-1.1368683772161603E-13</v>
      </c>
      <c r="F336">
        <v>-1.1448348204787832E-6</v>
      </c>
      <c r="G336">
        <v>-4.3960930604709038E-4</v>
      </c>
      <c r="H336">
        <v>0.11373735564663646</v>
      </c>
      <c r="I336" t="s">
        <v>2195</v>
      </c>
    </row>
    <row r="337" spans="2:9">
      <c r="B337" t="s">
        <v>2200</v>
      </c>
      <c r="C337" t="b">
        <v>1</v>
      </c>
      <c r="D337">
        <v>0</v>
      </c>
      <c r="E337">
        <v>0</v>
      </c>
      <c r="F337">
        <v>0</v>
      </c>
      <c r="G337">
        <v>0</v>
      </c>
      <c r="H337">
        <v>396.12586278830321</v>
      </c>
      <c r="I337" t="s">
        <v>2201</v>
      </c>
    </row>
    <row r="338" spans="2:9">
      <c r="B338" t="s">
        <v>2218</v>
      </c>
      <c r="C338" t="b">
        <v>1</v>
      </c>
      <c r="D338">
        <v>0</v>
      </c>
      <c r="E338">
        <v>0</v>
      </c>
      <c r="F338">
        <v>0</v>
      </c>
      <c r="G338">
        <v>0</v>
      </c>
      <c r="H338">
        <v>0</v>
      </c>
      <c r="I338" t="s">
        <v>2219</v>
      </c>
    </row>
    <row r="339" spans="2:9">
      <c r="B339" t="s">
        <v>2196</v>
      </c>
      <c r="C339" t="b">
        <v>1</v>
      </c>
      <c r="D339">
        <v>0</v>
      </c>
      <c r="E339">
        <v>3.637978807091713E-12</v>
      </c>
      <c r="F339">
        <v>0</v>
      </c>
      <c r="G339">
        <v>0</v>
      </c>
      <c r="H339">
        <v>1690.5019252851869</v>
      </c>
      <c r="I339" t="s">
        <v>2197</v>
      </c>
    </row>
    <row r="340" spans="2:9">
      <c r="B340" t="s">
        <v>2214</v>
      </c>
      <c r="C340" t="b">
        <v>1</v>
      </c>
      <c r="D340">
        <v>7.2759576141834259E-12</v>
      </c>
      <c r="E340">
        <v>0</v>
      </c>
      <c r="F340">
        <v>8.9618205384412563E-16</v>
      </c>
      <c r="G340">
        <v>4.217647663384763E-15</v>
      </c>
      <c r="H340">
        <v>1725.1221995969897</v>
      </c>
      <c r="I340" t="s">
        <v>2215</v>
      </c>
    </row>
    <row r="341" spans="2:9">
      <c r="B341" t="s">
        <v>2216</v>
      </c>
      <c r="C341" t="b">
        <v>1</v>
      </c>
      <c r="D341">
        <v>0</v>
      </c>
      <c r="E341">
        <v>0</v>
      </c>
      <c r="F341">
        <v>0</v>
      </c>
      <c r="G341">
        <v>0</v>
      </c>
      <c r="H341">
        <v>101.23032064664967</v>
      </c>
      <c r="I341" t="s">
        <v>2217</v>
      </c>
    </row>
    <row r="342" spans="2:9">
      <c r="B342" t="s">
        <v>2202</v>
      </c>
      <c r="C342" t="b">
        <v>1</v>
      </c>
      <c r="D342">
        <v>0</v>
      </c>
      <c r="E342">
        <v>0</v>
      </c>
      <c r="F342">
        <v>0</v>
      </c>
      <c r="G342">
        <v>0</v>
      </c>
      <c r="H342">
        <v>0</v>
      </c>
      <c r="I342" t="s">
        <v>2203</v>
      </c>
    </row>
    <row r="343" spans="2:9">
      <c r="B343" t="s">
        <v>2208</v>
      </c>
      <c r="C343" t="b">
        <v>1</v>
      </c>
      <c r="D343">
        <v>0</v>
      </c>
      <c r="E343">
        <v>0</v>
      </c>
      <c r="F343">
        <v>0</v>
      </c>
      <c r="G343">
        <v>0</v>
      </c>
      <c r="H343">
        <v>20.842517193931887</v>
      </c>
      <c r="I343" t="s">
        <v>2209</v>
      </c>
    </row>
    <row r="344" spans="2:9">
      <c r="B344" t="s">
        <v>2210</v>
      </c>
      <c r="C344" t="b">
        <v>1</v>
      </c>
      <c r="D344">
        <v>0</v>
      </c>
      <c r="E344">
        <v>0</v>
      </c>
      <c r="F344">
        <v>0</v>
      </c>
      <c r="G344">
        <v>0</v>
      </c>
      <c r="H344">
        <v>0</v>
      </c>
      <c r="I344" t="s">
        <v>2211</v>
      </c>
    </row>
    <row r="345" spans="2:9">
      <c r="B345" t="s">
        <v>2206</v>
      </c>
      <c r="C345" t="b">
        <v>1</v>
      </c>
      <c r="D345">
        <v>0</v>
      </c>
      <c r="E345">
        <v>-7.2759576141834259E-12</v>
      </c>
      <c r="F345">
        <v>0</v>
      </c>
      <c r="G345">
        <v>0</v>
      </c>
      <c r="H345">
        <v>2225.5657208303064</v>
      </c>
      <c r="I345" t="s">
        <v>2207</v>
      </c>
    </row>
    <row r="346" spans="2:9">
      <c r="B346" t="s">
        <v>2204</v>
      </c>
      <c r="C346" t="b">
        <v>1</v>
      </c>
      <c r="D346">
        <v>0</v>
      </c>
      <c r="E346">
        <v>2.1827872842550278E-11</v>
      </c>
      <c r="F346">
        <v>0</v>
      </c>
      <c r="G346">
        <v>0</v>
      </c>
      <c r="H346">
        <v>1850.1359543171181</v>
      </c>
      <c r="I346" t="s">
        <v>2205</v>
      </c>
    </row>
    <row r="347" spans="2:9">
      <c r="B347" t="s">
        <v>2212</v>
      </c>
      <c r="C347" t="b">
        <v>1</v>
      </c>
      <c r="D347">
        <v>-4.5474735088646412E-13</v>
      </c>
      <c r="E347">
        <v>9.0949470177292824E-13</v>
      </c>
      <c r="F347">
        <v>-1.3150983268724658E-15</v>
      </c>
      <c r="G347">
        <v>-5.9515115421669418E-15</v>
      </c>
      <c r="H347">
        <v>76.408715275866015</v>
      </c>
      <c r="I347" t="s">
        <v>2213</v>
      </c>
    </row>
    <row r="348" spans="2:9">
      <c r="B348" t="s">
        <v>2226</v>
      </c>
      <c r="C348" t="b">
        <v>1</v>
      </c>
      <c r="D348">
        <v>0</v>
      </c>
      <c r="E348">
        <v>0</v>
      </c>
      <c r="F348">
        <v>0</v>
      </c>
      <c r="G348">
        <v>0</v>
      </c>
      <c r="H348">
        <v>7.0525976978483588E-3</v>
      </c>
      <c r="I348" t="s">
        <v>2227</v>
      </c>
    </row>
    <row r="349" spans="2:9">
      <c r="B349" t="s">
        <v>2220</v>
      </c>
      <c r="C349" t="b">
        <v>1</v>
      </c>
      <c r="D349">
        <v>0</v>
      </c>
      <c r="E349">
        <v>0</v>
      </c>
      <c r="F349">
        <v>0</v>
      </c>
      <c r="G349">
        <v>0</v>
      </c>
      <c r="H349">
        <v>7.0525976978483632E-3</v>
      </c>
      <c r="I349" t="s">
        <v>2221</v>
      </c>
    </row>
    <row r="350" spans="2:9">
      <c r="B350" t="s">
        <v>2230</v>
      </c>
      <c r="C350" t="b">
        <v>1</v>
      </c>
      <c r="D350">
        <v>0</v>
      </c>
      <c r="E350">
        <v>0</v>
      </c>
      <c r="F350">
        <v>0</v>
      </c>
      <c r="G350">
        <v>0</v>
      </c>
      <c r="H350">
        <v>0</v>
      </c>
      <c r="I350" t="s">
        <v>2231</v>
      </c>
    </row>
    <row r="351" spans="2:9">
      <c r="B351" t="s">
        <v>2224</v>
      </c>
      <c r="C351" t="b">
        <v>1</v>
      </c>
      <c r="D351">
        <v>0</v>
      </c>
      <c r="E351">
        <v>0</v>
      </c>
      <c r="F351">
        <v>0</v>
      </c>
      <c r="G351">
        <v>0</v>
      </c>
      <c r="H351">
        <v>7.0525976978483623E-3</v>
      </c>
      <c r="I351" t="s">
        <v>2225</v>
      </c>
    </row>
    <row r="352" spans="2:9">
      <c r="B352" t="s">
        <v>2222</v>
      </c>
      <c r="C352" t="b">
        <v>1</v>
      </c>
      <c r="D352">
        <v>0</v>
      </c>
      <c r="E352">
        <v>0</v>
      </c>
      <c r="F352">
        <v>0</v>
      </c>
      <c r="G352">
        <v>0</v>
      </c>
      <c r="H352">
        <v>0</v>
      </c>
      <c r="I352" t="s">
        <v>2223</v>
      </c>
    </row>
    <row r="353" spans="2:9">
      <c r="B353" t="s">
        <v>2242</v>
      </c>
      <c r="C353" t="b">
        <v>1</v>
      </c>
      <c r="D353">
        <v>0</v>
      </c>
      <c r="E353">
        <v>0</v>
      </c>
      <c r="F353">
        <v>0</v>
      </c>
      <c r="G353">
        <v>0</v>
      </c>
      <c r="H353">
        <v>29507.943853593832</v>
      </c>
      <c r="I353" t="s">
        <v>2243</v>
      </c>
    </row>
    <row r="354" spans="2:9">
      <c r="B354" t="s">
        <v>2244</v>
      </c>
      <c r="C354" t="b">
        <v>1</v>
      </c>
      <c r="D354">
        <v>0</v>
      </c>
      <c r="E354">
        <v>0</v>
      </c>
      <c r="F354">
        <v>0</v>
      </c>
      <c r="G354">
        <v>0</v>
      </c>
      <c r="H354">
        <v>0.11373735564663649</v>
      </c>
      <c r="I354" t="s">
        <v>2245</v>
      </c>
    </row>
    <row r="355" spans="2:9">
      <c r="B355" t="s">
        <v>2228</v>
      </c>
      <c r="C355" t="b">
        <v>1</v>
      </c>
      <c r="D355">
        <v>0</v>
      </c>
      <c r="E355">
        <v>0</v>
      </c>
      <c r="F355">
        <v>0</v>
      </c>
      <c r="G355">
        <v>0</v>
      </c>
      <c r="H355">
        <v>0.11373735564663648</v>
      </c>
      <c r="I355" t="s">
        <v>2229</v>
      </c>
    </row>
    <row r="356" spans="2:9">
      <c r="B356" t="s">
        <v>2240</v>
      </c>
      <c r="C356" t="b">
        <v>1</v>
      </c>
      <c r="D356">
        <v>0</v>
      </c>
      <c r="E356">
        <v>0</v>
      </c>
      <c r="F356">
        <v>0</v>
      </c>
      <c r="G356">
        <v>0</v>
      </c>
      <c r="H356">
        <v>29507.943853593835</v>
      </c>
      <c r="I356" t="s">
        <v>2241</v>
      </c>
    </row>
    <row r="357" spans="2:9">
      <c r="B357" t="s">
        <v>2232</v>
      </c>
      <c r="C357" t="b">
        <v>1</v>
      </c>
      <c r="D357">
        <v>0</v>
      </c>
      <c r="E357">
        <v>0</v>
      </c>
      <c r="F357">
        <v>0</v>
      </c>
      <c r="G357">
        <v>0</v>
      </c>
      <c r="H357">
        <v>0</v>
      </c>
      <c r="I357" t="s">
        <v>2233</v>
      </c>
    </row>
    <row r="358" spans="2:9">
      <c r="B358" t="s">
        <v>2238</v>
      </c>
      <c r="C358" t="b">
        <v>1</v>
      </c>
      <c r="D358">
        <v>0</v>
      </c>
      <c r="E358">
        <v>0</v>
      </c>
      <c r="F358">
        <v>0</v>
      </c>
      <c r="G358">
        <v>0</v>
      </c>
      <c r="H358">
        <v>7.0525976978483675E-3</v>
      </c>
      <c r="I358" t="s">
        <v>2239</v>
      </c>
    </row>
    <row r="359" spans="2:9">
      <c r="B359" t="s">
        <v>2234</v>
      </c>
      <c r="C359" t="b">
        <v>1</v>
      </c>
      <c r="D359">
        <v>0</v>
      </c>
      <c r="E359">
        <v>0</v>
      </c>
      <c r="F359">
        <v>0</v>
      </c>
      <c r="G359">
        <v>0</v>
      </c>
      <c r="H359">
        <v>0.11373735564663649</v>
      </c>
      <c r="I359" t="s">
        <v>2235</v>
      </c>
    </row>
    <row r="360" spans="2:9">
      <c r="B360" t="s">
        <v>2236</v>
      </c>
      <c r="C360" t="b">
        <v>1</v>
      </c>
      <c r="D360">
        <v>0</v>
      </c>
      <c r="E360">
        <v>0</v>
      </c>
      <c r="F360">
        <v>0</v>
      </c>
      <c r="G360">
        <v>0</v>
      </c>
      <c r="H360">
        <v>0</v>
      </c>
      <c r="I360" t="s">
        <v>2237</v>
      </c>
    </row>
    <row r="361" spans="2:9">
      <c r="B361" t="s">
        <v>2254</v>
      </c>
      <c r="C361" t="b">
        <v>1</v>
      </c>
      <c r="D361">
        <v>0</v>
      </c>
      <c r="E361">
        <v>0</v>
      </c>
      <c r="F361">
        <v>0</v>
      </c>
      <c r="G361">
        <v>0</v>
      </c>
      <c r="H361">
        <v>3.0489260000000008E-2</v>
      </c>
      <c r="I361" t="s">
        <v>2255</v>
      </c>
    </row>
    <row r="362" spans="2:9">
      <c r="B362" t="s">
        <v>2256</v>
      </c>
      <c r="C362" t="b">
        <v>1</v>
      </c>
      <c r="D362">
        <v>0</v>
      </c>
      <c r="E362">
        <v>0</v>
      </c>
      <c r="F362">
        <v>0</v>
      </c>
      <c r="G362">
        <v>0</v>
      </c>
      <c r="H362">
        <v>5.3919999999999996E-2</v>
      </c>
      <c r="I362" t="s">
        <v>2257</v>
      </c>
    </row>
    <row r="363" spans="2:9">
      <c r="B363" t="s">
        <v>2246</v>
      </c>
      <c r="C363" t="b">
        <v>1</v>
      </c>
      <c r="D363">
        <v>0</v>
      </c>
      <c r="E363">
        <v>0</v>
      </c>
      <c r="F363">
        <v>0</v>
      </c>
      <c r="G363">
        <v>0</v>
      </c>
      <c r="H363">
        <v>3.2160000000000001E-2</v>
      </c>
      <c r="I363" t="s">
        <v>2247</v>
      </c>
    </row>
    <row r="364" spans="2:9">
      <c r="B364" t="s">
        <v>2248</v>
      </c>
      <c r="C364" t="b">
        <v>1</v>
      </c>
      <c r="D364">
        <v>0</v>
      </c>
      <c r="E364">
        <v>0</v>
      </c>
      <c r="F364">
        <v>0</v>
      </c>
      <c r="G364">
        <v>0</v>
      </c>
      <c r="H364">
        <v>1.0044445537373232E-4</v>
      </c>
      <c r="I364" t="s">
        <v>2249</v>
      </c>
    </row>
    <row r="365" spans="2:9">
      <c r="B365" t="s">
        <v>2266</v>
      </c>
      <c r="C365" t="b">
        <v>1</v>
      </c>
      <c r="D365">
        <v>0</v>
      </c>
      <c r="E365">
        <v>0</v>
      </c>
      <c r="F365">
        <v>0</v>
      </c>
      <c r="G365">
        <v>0</v>
      </c>
      <c r="H365">
        <v>4.193247189478792E-4</v>
      </c>
      <c r="I365" t="s">
        <v>2267</v>
      </c>
    </row>
    <row r="366" spans="2:9">
      <c r="B366" t="s">
        <v>2252</v>
      </c>
      <c r="C366" t="b">
        <v>1</v>
      </c>
      <c r="D366">
        <v>0</v>
      </c>
      <c r="E366">
        <v>0</v>
      </c>
      <c r="F366">
        <v>0</v>
      </c>
      <c r="G366">
        <v>0</v>
      </c>
      <c r="H366">
        <v>5.1059999999999987E-2</v>
      </c>
      <c r="I366" t="s">
        <v>2253</v>
      </c>
    </row>
    <row r="367" spans="2:9">
      <c r="B367" t="s">
        <v>2250</v>
      </c>
      <c r="C367" t="b">
        <v>1</v>
      </c>
      <c r="D367">
        <v>0</v>
      </c>
      <c r="E367">
        <v>0</v>
      </c>
      <c r="F367">
        <v>0</v>
      </c>
      <c r="G367">
        <v>0</v>
      </c>
      <c r="H367">
        <v>1.8645686609636069E-4</v>
      </c>
      <c r="I367" t="s">
        <v>2251</v>
      </c>
    </row>
    <row r="368" spans="2:9">
      <c r="B368" t="s">
        <v>2260</v>
      </c>
      <c r="C368" t="b">
        <v>1</v>
      </c>
      <c r="D368">
        <v>0</v>
      </c>
      <c r="E368">
        <v>0</v>
      </c>
      <c r="F368">
        <v>0</v>
      </c>
      <c r="G368">
        <v>0</v>
      </c>
      <c r="H368">
        <v>1.347860940005443E-5</v>
      </c>
      <c r="I368" t="s">
        <v>2261</v>
      </c>
    </row>
    <row r="369" spans="2:9">
      <c r="B369" t="s">
        <v>2262</v>
      </c>
      <c r="C369" t="b">
        <v>1</v>
      </c>
      <c r="D369">
        <v>0</v>
      </c>
      <c r="E369">
        <v>0</v>
      </c>
      <c r="F369">
        <v>0</v>
      </c>
      <c r="G369">
        <v>0</v>
      </c>
      <c r="H369">
        <v>0</v>
      </c>
      <c r="I369" t="s">
        <v>2263</v>
      </c>
    </row>
    <row r="370" spans="2:9">
      <c r="B370" t="s">
        <v>2264</v>
      </c>
      <c r="C370" t="b">
        <v>1</v>
      </c>
      <c r="D370">
        <v>0</v>
      </c>
      <c r="E370">
        <v>0</v>
      </c>
      <c r="F370">
        <v>0</v>
      </c>
      <c r="G370">
        <v>0</v>
      </c>
      <c r="H370">
        <v>0</v>
      </c>
      <c r="I370" t="s">
        <v>2265</v>
      </c>
    </row>
    <row r="371" spans="2:9">
      <c r="B371" t="s">
        <v>2258</v>
      </c>
      <c r="C371" t="b">
        <v>1</v>
      </c>
      <c r="D371">
        <v>0</v>
      </c>
      <c r="E371">
        <v>0</v>
      </c>
      <c r="F371">
        <v>0</v>
      </c>
      <c r="G371">
        <v>0</v>
      </c>
      <c r="H371">
        <v>2.629540057573696E-4</v>
      </c>
      <c r="I371" t="s">
        <v>2259</v>
      </c>
    </row>
    <row r="372" spans="2:9">
      <c r="B372" t="s">
        <v>2268</v>
      </c>
      <c r="C372" t="b">
        <v>1</v>
      </c>
      <c r="D372">
        <v>0</v>
      </c>
      <c r="E372">
        <v>0</v>
      </c>
      <c r="F372">
        <v>0</v>
      </c>
      <c r="G372">
        <v>0</v>
      </c>
      <c r="H372">
        <v>1.1034501739843423E-5</v>
      </c>
      <c r="I372" t="s">
        <v>2269</v>
      </c>
    </row>
    <row r="373" spans="2:9">
      <c r="B373" t="s">
        <v>2270</v>
      </c>
      <c r="C373" t="b">
        <v>1</v>
      </c>
      <c r="D373">
        <v>0</v>
      </c>
      <c r="E373">
        <v>0</v>
      </c>
      <c r="F373">
        <v>0</v>
      </c>
      <c r="G373">
        <v>0</v>
      </c>
      <c r="H373">
        <v>8.2764026377761187E-6</v>
      </c>
      <c r="I373" t="s">
        <v>2271</v>
      </c>
    </row>
    <row r="374" spans="2:9">
      <c r="B374" t="s">
        <v>2272</v>
      </c>
      <c r="C374" t="b">
        <v>1</v>
      </c>
      <c r="D374">
        <v>0</v>
      </c>
      <c r="E374">
        <v>0</v>
      </c>
      <c r="F374">
        <v>0</v>
      </c>
      <c r="G374">
        <v>0</v>
      </c>
      <c r="H374">
        <v>1.3382467711926145E-3</v>
      </c>
      <c r="I374" t="s">
        <v>2273</v>
      </c>
    </row>
    <row r="375" spans="2:9">
      <c r="B375" t="s">
        <v>2274</v>
      </c>
      <c r="C375" t="b">
        <v>1</v>
      </c>
      <c r="D375">
        <v>0</v>
      </c>
      <c r="E375">
        <v>0</v>
      </c>
      <c r="F375">
        <v>0</v>
      </c>
      <c r="G375">
        <v>0</v>
      </c>
      <c r="H375">
        <v>1.3382467711926145E-3</v>
      </c>
      <c r="I375" t="s">
        <v>2275</v>
      </c>
    </row>
    <row r="376" spans="2:9">
      <c r="B376" t="s">
        <v>2292</v>
      </c>
      <c r="C376" t="b">
        <v>1</v>
      </c>
      <c r="D376">
        <v>0</v>
      </c>
      <c r="E376">
        <v>0</v>
      </c>
      <c r="F376">
        <v>0</v>
      </c>
      <c r="G376">
        <v>0</v>
      </c>
      <c r="H376">
        <v>1761.5208307936514</v>
      </c>
      <c r="I376" t="s">
        <v>2293</v>
      </c>
    </row>
    <row r="377" spans="2:9">
      <c r="B377" t="s">
        <v>2278</v>
      </c>
      <c r="C377" t="b">
        <v>1</v>
      </c>
      <c r="D377">
        <v>0</v>
      </c>
      <c r="E377">
        <v>0</v>
      </c>
      <c r="F377">
        <v>0</v>
      </c>
      <c r="G377">
        <v>0</v>
      </c>
      <c r="H377">
        <v>1523.0906115797864</v>
      </c>
      <c r="I377" t="s">
        <v>2279</v>
      </c>
    </row>
    <row r="378" spans="2:9">
      <c r="B378" t="s">
        <v>2280</v>
      </c>
      <c r="C378" t="b">
        <v>1</v>
      </c>
      <c r="D378">
        <v>0</v>
      </c>
      <c r="E378">
        <v>0</v>
      </c>
      <c r="F378">
        <v>0</v>
      </c>
      <c r="G378">
        <v>0</v>
      </c>
      <c r="H378">
        <v>0.28909652578435635</v>
      </c>
      <c r="I378" t="s">
        <v>2281</v>
      </c>
    </row>
    <row r="379" spans="2:9">
      <c r="B379" t="s">
        <v>2282</v>
      </c>
      <c r="C379" t="b">
        <v>1</v>
      </c>
      <c r="D379">
        <v>0</v>
      </c>
      <c r="E379">
        <v>0</v>
      </c>
      <c r="F379">
        <v>0</v>
      </c>
      <c r="G379">
        <v>0</v>
      </c>
      <c r="H379">
        <v>0.22798224227804159</v>
      </c>
      <c r="I379" t="s">
        <v>2283</v>
      </c>
    </row>
    <row r="380" spans="2:9">
      <c r="B380" t="s">
        <v>2284</v>
      </c>
      <c r="C380" t="b">
        <v>1</v>
      </c>
      <c r="D380">
        <v>0</v>
      </c>
      <c r="E380">
        <v>0</v>
      </c>
      <c r="F380">
        <v>0</v>
      </c>
      <c r="G380">
        <v>0</v>
      </c>
      <c r="H380">
        <v>1523.0906115797864</v>
      </c>
      <c r="I380" t="s">
        <v>2285</v>
      </c>
    </row>
    <row r="381" spans="2:9">
      <c r="B381" t="s">
        <v>2294</v>
      </c>
      <c r="C381" t="b">
        <v>1</v>
      </c>
      <c r="D381">
        <v>0</v>
      </c>
      <c r="E381">
        <v>0</v>
      </c>
      <c r="F381">
        <v>0</v>
      </c>
      <c r="G381">
        <v>0</v>
      </c>
      <c r="H381">
        <v>0</v>
      </c>
      <c r="I381" t="s">
        <v>2295</v>
      </c>
    </row>
    <row r="382" spans="2:9">
      <c r="B382" t="s">
        <v>2276</v>
      </c>
      <c r="C382" t="b">
        <v>1</v>
      </c>
      <c r="D382">
        <v>0</v>
      </c>
      <c r="E382">
        <v>0</v>
      </c>
      <c r="F382">
        <v>0</v>
      </c>
      <c r="G382">
        <v>0</v>
      </c>
      <c r="H382">
        <v>2515.7020442730236</v>
      </c>
      <c r="I382" t="s">
        <v>2277</v>
      </c>
    </row>
    <row r="383" spans="2:9">
      <c r="B383" t="s">
        <v>2288</v>
      </c>
      <c r="C383" t="b">
        <v>1</v>
      </c>
      <c r="D383">
        <v>0</v>
      </c>
      <c r="E383">
        <v>0</v>
      </c>
      <c r="F383">
        <v>0</v>
      </c>
      <c r="G383">
        <v>0</v>
      </c>
      <c r="H383">
        <v>0</v>
      </c>
      <c r="I383" t="s">
        <v>2289</v>
      </c>
    </row>
    <row r="384" spans="2:9">
      <c r="B384" t="s">
        <v>2290</v>
      </c>
      <c r="C384" t="b">
        <v>1</v>
      </c>
      <c r="D384">
        <v>0</v>
      </c>
      <c r="E384">
        <v>0</v>
      </c>
      <c r="F384">
        <v>0</v>
      </c>
      <c r="G384">
        <v>0</v>
      </c>
      <c r="H384">
        <v>0</v>
      </c>
      <c r="I384" t="s">
        <v>2291</v>
      </c>
    </row>
    <row r="385" spans="2:9">
      <c r="B385" t="s">
        <v>2298</v>
      </c>
      <c r="C385" t="b">
        <v>1</v>
      </c>
      <c r="D385">
        <v>0</v>
      </c>
      <c r="E385">
        <v>0</v>
      </c>
      <c r="F385">
        <v>0</v>
      </c>
      <c r="G385">
        <v>0</v>
      </c>
      <c r="H385">
        <v>0</v>
      </c>
      <c r="I385" t="s">
        <v>2299</v>
      </c>
    </row>
    <row r="386" spans="2:9">
      <c r="B386" t="s">
        <v>2286</v>
      </c>
      <c r="C386" t="b">
        <v>1</v>
      </c>
      <c r="D386">
        <v>0</v>
      </c>
      <c r="E386">
        <v>0</v>
      </c>
      <c r="F386">
        <v>0</v>
      </c>
      <c r="G386">
        <v>0</v>
      </c>
      <c r="H386">
        <v>1761.5208307936509</v>
      </c>
      <c r="I386" t="s">
        <v>2287</v>
      </c>
    </row>
    <row r="387" spans="2:9">
      <c r="B387" t="s">
        <v>2296</v>
      </c>
      <c r="C387" t="b">
        <v>1</v>
      </c>
      <c r="D387">
        <v>0</v>
      </c>
      <c r="E387">
        <v>0</v>
      </c>
      <c r="F387">
        <v>0</v>
      </c>
      <c r="G387">
        <v>0</v>
      </c>
      <c r="H387">
        <v>0</v>
      </c>
      <c r="I387" t="s">
        <v>2297</v>
      </c>
    </row>
    <row r="388" spans="2:9">
      <c r="B388" t="s">
        <v>2300</v>
      </c>
      <c r="C388" t="b">
        <v>1</v>
      </c>
      <c r="D388">
        <v>0</v>
      </c>
      <c r="E388">
        <v>0</v>
      </c>
      <c r="F388">
        <v>0</v>
      </c>
      <c r="G388">
        <v>0</v>
      </c>
      <c r="H388">
        <v>0.22798224227804159</v>
      </c>
      <c r="I388" t="s">
        <v>2301</v>
      </c>
    </row>
    <row r="389" spans="2:9">
      <c r="B389" t="s">
        <v>2302</v>
      </c>
      <c r="C389" t="b">
        <v>1</v>
      </c>
      <c r="D389">
        <v>0</v>
      </c>
      <c r="E389">
        <v>0</v>
      </c>
      <c r="F389">
        <v>0</v>
      </c>
      <c r="G389">
        <v>0</v>
      </c>
      <c r="H389">
        <v>1172.052298114887</v>
      </c>
      <c r="I389" t="s">
        <v>2303</v>
      </c>
    </row>
    <row r="390" spans="2:9">
      <c r="B390" t="s">
        <v>2304</v>
      </c>
      <c r="C390" t="b">
        <v>1</v>
      </c>
      <c r="D390">
        <v>0</v>
      </c>
      <c r="E390">
        <v>0</v>
      </c>
      <c r="F390">
        <v>0</v>
      </c>
      <c r="G390">
        <v>0</v>
      </c>
      <c r="H390">
        <v>1172.052298114887</v>
      </c>
      <c r="I390" t="s">
        <v>2305</v>
      </c>
    </row>
    <row r="391" spans="2:9">
      <c r="B391" t="s">
        <v>2306</v>
      </c>
      <c r="C391" t="b">
        <v>1</v>
      </c>
      <c r="D391">
        <v>0</v>
      </c>
      <c r="E391">
        <v>0</v>
      </c>
      <c r="F391">
        <v>0</v>
      </c>
      <c r="G391">
        <v>0</v>
      </c>
      <c r="H391">
        <v>0</v>
      </c>
      <c r="I391" t="s">
        <v>2307</v>
      </c>
    </row>
    <row r="392" spans="2:9">
      <c r="B392" t="s">
        <v>2308</v>
      </c>
      <c r="C392" t="b">
        <v>1</v>
      </c>
      <c r="D392">
        <v>0</v>
      </c>
      <c r="E392">
        <v>0</v>
      </c>
      <c r="F392">
        <v>0</v>
      </c>
      <c r="G392">
        <v>0</v>
      </c>
      <c r="H392">
        <v>1172.052298114887</v>
      </c>
      <c r="I392" t="s">
        <v>2309</v>
      </c>
    </row>
    <row r="393" spans="2:9">
      <c r="B393" t="s">
        <v>2310</v>
      </c>
      <c r="C393" t="b">
        <v>1</v>
      </c>
      <c r="D393">
        <v>0</v>
      </c>
      <c r="E393">
        <v>0</v>
      </c>
      <c r="F393">
        <v>0</v>
      </c>
      <c r="G393">
        <v>0</v>
      </c>
      <c r="H393">
        <v>0.11373735564663649</v>
      </c>
      <c r="I393" t="s">
        <v>2311</v>
      </c>
    </row>
    <row r="394" spans="2:9">
      <c r="B394" t="s">
        <v>2312</v>
      </c>
      <c r="C394" t="b">
        <v>1</v>
      </c>
      <c r="D394">
        <v>0</v>
      </c>
      <c r="E394">
        <v>0</v>
      </c>
      <c r="F394">
        <v>0</v>
      </c>
      <c r="G394">
        <v>0</v>
      </c>
      <c r="H394">
        <v>3.0394932044398138E-4</v>
      </c>
      <c r="I394" t="s">
        <v>2313</v>
      </c>
    </row>
    <row r="395" spans="2:9">
      <c r="B395" t="s">
        <v>2314</v>
      </c>
      <c r="C395" t="b">
        <v>1</v>
      </c>
      <c r="D395">
        <v>0</v>
      </c>
      <c r="E395">
        <v>0</v>
      </c>
      <c r="F395">
        <v>0</v>
      </c>
      <c r="G395">
        <v>0</v>
      </c>
      <c r="H395">
        <v>1.8124455796419731E-4</v>
      </c>
      <c r="I395" t="s">
        <v>2315</v>
      </c>
    </row>
    <row r="396" spans="2:9">
      <c r="B396" t="s">
        <v>2316</v>
      </c>
      <c r="C396" t="b">
        <v>1</v>
      </c>
      <c r="D396">
        <v>0</v>
      </c>
      <c r="E396">
        <v>0</v>
      </c>
      <c r="F396">
        <v>0</v>
      </c>
      <c r="G396">
        <v>0</v>
      </c>
      <c r="H396">
        <v>0.28909652578435641</v>
      </c>
      <c r="I396" t="s">
        <v>2317</v>
      </c>
    </row>
    <row r="397" spans="2:9">
      <c r="B397" t="s">
        <v>2318</v>
      </c>
      <c r="C397" t="b">
        <v>1</v>
      </c>
      <c r="D397">
        <v>0</v>
      </c>
      <c r="E397">
        <v>0</v>
      </c>
      <c r="F397">
        <v>0</v>
      </c>
      <c r="G397">
        <v>0</v>
      </c>
      <c r="H397">
        <v>0.22798224227804159</v>
      </c>
      <c r="I397" t="s">
        <v>2319</v>
      </c>
    </row>
    <row r="398" spans="2:9">
      <c r="B398" t="s">
        <v>2320</v>
      </c>
      <c r="C398" t="b">
        <v>1</v>
      </c>
      <c r="D398">
        <v>0</v>
      </c>
      <c r="E398">
        <v>0</v>
      </c>
      <c r="F398">
        <v>0</v>
      </c>
      <c r="G398">
        <v>0</v>
      </c>
      <c r="H398">
        <v>0.28909652578435641</v>
      </c>
      <c r="I398" t="s">
        <v>2321</v>
      </c>
    </row>
    <row r="399" spans="2:9">
      <c r="B399" t="s">
        <v>2322</v>
      </c>
      <c r="C399" t="b">
        <v>1</v>
      </c>
      <c r="D399">
        <v>0</v>
      </c>
      <c r="E399">
        <v>0</v>
      </c>
      <c r="F399">
        <v>0</v>
      </c>
      <c r="G399">
        <v>0</v>
      </c>
      <c r="H399">
        <v>0.22798224227804167</v>
      </c>
      <c r="I399" t="s">
        <v>2323</v>
      </c>
    </row>
    <row r="400" spans="2:9">
      <c r="B400" t="s">
        <v>2324</v>
      </c>
      <c r="C400" t="b">
        <v>1</v>
      </c>
      <c r="D400">
        <v>0</v>
      </c>
      <c r="E400">
        <v>0</v>
      </c>
      <c r="F400">
        <v>0</v>
      </c>
      <c r="G400">
        <v>0</v>
      </c>
      <c r="H400">
        <v>0</v>
      </c>
      <c r="I400" t="s">
        <v>2325</v>
      </c>
    </row>
    <row r="401" spans="2:9">
      <c r="B401" t="s">
        <v>2326</v>
      </c>
      <c r="C401" t="b">
        <v>1</v>
      </c>
      <c r="D401">
        <v>0</v>
      </c>
      <c r="E401">
        <v>0</v>
      </c>
      <c r="F401">
        <v>0</v>
      </c>
      <c r="G401">
        <v>0</v>
      </c>
      <c r="H401">
        <v>0</v>
      </c>
      <c r="I401" t="s">
        <v>2327</v>
      </c>
    </row>
    <row r="402" spans="2:9">
      <c r="B402" t="s">
        <v>2328</v>
      </c>
      <c r="C402" t="b">
        <v>1</v>
      </c>
      <c r="D402">
        <v>0</v>
      </c>
      <c r="E402">
        <v>0</v>
      </c>
      <c r="F402">
        <v>0</v>
      </c>
      <c r="G402">
        <v>0</v>
      </c>
      <c r="H402">
        <v>0.28909652578435641</v>
      </c>
      <c r="I402" t="s">
        <v>2329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I402"/>
  <sheetViews>
    <sheetView topLeftCell="A16" workbookViewId="0">
      <selection activeCell="C10" sqref="C10"/>
    </sheetView>
  </sheetViews>
  <sheetFormatPr defaultRowHeight="15"/>
  <cols>
    <col min="1" max="1" width="2.7109375" customWidth="1"/>
    <col min="2" max="2" width="13.28515625" customWidth="1"/>
    <col min="3" max="3" width="25.7109375" customWidth="1"/>
    <col min="4" max="10" width="15.28515625" customWidth="1"/>
  </cols>
  <sheetData>
    <row r="1" spans="1:9">
      <c r="A1" s="55" t="s">
        <v>1999</v>
      </c>
    </row>
    <row r="2" spans="1:9">
      <c r="A2" s="55" t="s">
        <v>2000</v>
      </c>
    </row>
    <row r="3" spans="1:9">
      <c r="A3" s="55" t="s">
        <v>2411</v>
      </c>
    </row>
    <row r="5" spans="1:9" ht="15.75" thickBot="1">
      <c r="A5" s="55" t="s">
        <v>1067</v>
      </c>
    </row>
    <row r="6" spans="1:9" ht="30.75" thickBot="1">
      <c r="B6" s="56" t="s">
        <v>2001</v>
      </c>
      <c r="C6" s="56" t="s">
        <v>2002</v>
      </c>
      <c r="D6" s="56" t="s">
        <v>2003</v>
      </c>
      <c r="E6" s="56" t="s">
        <v>2004</v>
      </c>
      <c r="F6" s="56" t="s">
        <v>2005</v>
      </c>
      <c r="G6" s="56" t="s">
        <v>46</v>
      </c>
      <c r="H6" s="56" t="s">
        <v>2006</v>
      </c>
    </row>
    <row r="7" spans="1:9">
      <c r="B7">
        <v>146</v>
      </c>
      <c r="C7">
        <v>91</v>
      </c>
      <c r="D7">
        <v>55</v>
      </c>
      <c r="E7">
        <v>0</v>
      </c>
      <c r="F7">
        <v>0</v>
      </c>
      <c r="G7">
        <v>237</v>
      </c>
      <c r="H7">
        <v>68</v>
      </c>
    </row>
    <row r="8" spans="1:9" ht="15.75" thickBot="1">
      <c r="A8" s="55" t="s">
        <v>2007</v>
      </c>
    </row>
    <row r="9" spans="1:9" ht="15.75" thickBot="1">
      <c r="B9" s="56" t="s">
        <v>2008</v>
      </c>
      <c r="C9" s="56" t="s">
        <v>2009</v>
      </c>
      <c r="D9" s="56" t="s">
        <v>2010</v>
      </c>
      <c r="E9" s="56" t="s">
        <v>2011</v>
      </c>
      <c r="F9" s="56" t="s">
        <v>2012</v>
      </c>
      <c r="G9" s="56" t="s">
        <v>2007</v>
      </c>
    </row>
    <row r="10" spans="1:9">
      <c r="B10" t="b">
        <v>0</v>
      </c>
      <c r="C10" s="57" t="s">
        <v>2412</v>
      </c>
      <c r="D10">
        <v>0.46899999999999997</v>
      </c>
      <c r="E10">
        <v>100</v>
      </c>
      <c r="F10">
        <v>6.1215761694360472E-2</v>
      </c>
      <c r="G10">
        <v>0</v>
      </c>
    </row>
    <row r="11" spans="1:9" ht="15.75" thickBot="1">
      <c r="A11" s="55" t="s">
        <v>1069</v>
      </c>
    </row>
    <row r="12" spans="1:9" ht="30.75" thickBot="1">
      <c r="B12" s="56" t="s">
        <v>2014</v>
      </c>
      <c r="C12" s="56" t="s">
        <v>2015</v>
      </c>
      <c r="D12" s="56" t="s">
        <v>2016</v>
      </c>
      <c r="E12" s="56" t="s">
        <v>2017</v>
      </c>
      <c r="F12" s="56" t="s">
        <v>2018</v>
      </c>
      <c r="G12" s="56" t="s">
        <v>2019</v>
      </c>
    </row>
    <row r="13" spans="1:9">
      <c r="B13" t="s">
        <v>2020</v>
      </c>
      <c r="C13" s="57">
        <v>2758.9735149100429</v>
      </c>
      <c r="D13">
        <v>46.194259438116305</v>
      </c>
      <c r="E13">
        <v>32</v>
      </c>
      <c r="F13">
        <v>2.0678857603941312</v>
      </c>
      <c r="G13">
        <v>2.4598057814146737</v>
      </c>
    </row>
    <row r="15" spans="1:9" ht="15.75" thickBot="1">
      <c r="A15" s="55" t="s">
        <v>2021</v>
      </c>
    </row>
    <row r="16" spans="1:9" ht="30.75" thickBot="1">
      <c r="B16" s="56" t="s">
        <v>2014</v>
      </c>
      <c r="C16" s="56" t="s">
        <v>2022</v>
      </c>
      <c r="D16" s="56" t="s">
        <v>2023</v>
      </c>
      <c r="E16" s="56" t="s">
        <v>2024</v>
      </c>
      <c r="F16" s="56" t="s">
        <v>2025</v>
      </c>
      <c r="G16" s="56" t="s">
        <v>2026</v>
      </c>
      <c r="H16" s="56" t="s">
        <v>2027</v>
      </c>
      <c r="I16" s="56" t="s">
        <v>2028</v>
      </c>
    </row>
    <row r="17" spans="2:9">
      <c r="B17" t="s">
        <v>1763</v>
      </c>
      <c r="C17">
        <v>-724.07654786354669</v>
      </c>
      <c r="D17">
        <v>1176.4000000000001</v>
      </c>
      <c r="E17" t="s">
        <v>2029</v>
      </c>
      <c r="F17" s="57">
        <v>-5.8009420601378361</v>
      </c>
      <c r="G17">
        <v>-4.0387549895094077</v>
      </c>
      <c r="H17">
        <v>470.56</v>
      </c>
      <c r="I17">
        <v>327.61515770395226</v>
      </c>
    </row>
    <row r="18" spans="2:9">
      <c r="B18" t="s">
        <v>1762</v>
      </c>
      <c r="C18">
        <v>-0.3918007</v>
      </c>
      <c r="E18" t="s">
        <v>2413</v>
      </c>
      <c r="I18">
        <v>0</v>
      </c>
    </row>
    <row r="19" spans="2:9">
      <c r="B19" t="s">
        <v>1772</v>
      </c>
      <c r="C19">
        <v>2105.2852009476715</v>
      </c>
      <c r="E19" t="s">
        <v>2413</v>
      </c>
      <c r="I19">
        <v>325.4647186788103</v>
      </c>
    </row>
    <row r="20" spans="2:9">
      <c r="B20" t="s">
        <v>1771</v>
      </c>
      <c r="C20">
        <v>3.5199002841022577E-34</v>
      </c>
      <c r="E20" t="s">
        <v>2413</v>
      </c>
      <c r="I20">
        <v>0</v>
      </c>
    </row>
    <row r="21" spans="2:9">
      <c r="B21" t="s">
        <v>1769</v>
      </c>
      <c r="C21">
        <v>0.40776172813470779</v>
      </c>
      <c r="E21" t="s">
        <v>2413</v>
      </c>
      <c r="I21">
        <v>116.58764258291554</v>
      </c>
    </row>
    <row r="22" spans="2:9">
      <c r="B22" t="s">
        <v>1768</v>
      </c>
      <c r="C22">
        <v>-3.3195960467221399E-35</v>
      </c>
      <c r="E22" t="s">
        <v>2413</v>
      </c>
      <c r="I22">
        <v>0</v>
      </c>
    </row>
    <row r="23" spans="2:9">
      <c r="B23" t="s">
        <v>1766</v>
      </c>
      <c r="C23">
        <v>1287.6652647000001</v>
      </c>
      <c r="D23">
        <v>1287.6652647000001</v>
      </c>
      <c r="E23" t="s">
        <v>2030</v>
      </c>
      <c r="F23">
        <v>0</v>
      </c>
      <c r="G23">
        <v>0</v>
      </c>
      <c r="H23">
        <v>0</v>
      </c>
      <c r="I23">
        <v>0</v>
      </c>
    </row>
    <row r="24" spans="2:9">
      <c r="B24" t="s">
        <v>1765</v>
      </c>
      <c r="C24">
        <v>0.3918007</v>
      </c>
      <c r="D24">
        <v>0.3918007</v>
      </c>
      <c r="E24" t="s">
        <v>2030</v>
      </c>
      <c r="F24">
        <v>0</v>
      </c>
      <c r="G24">
        <v>0</v>
      </c>
      <c r="H24">
        <v>0</v>
      </c>
      <c r="I24">
        <v>0</v>
      </c>
    </row>
    <row r="25" spans="2:9">
      <c r="B25" t="s">
        <v>1808</v>
      </c>
      <c r="C25">
        <v>93.951150112259413</v>
      </c>
      <c r="D25">
        <v>115.6259</v>
      </c>
      <c r="E25" t="s">
        <v>2029</v>
      </c>
      <c r="F25">
        <v>-0.31419082395802633</v>
      </c>
      <c r="G25">
        <v>-0.3124263953511654</v>
      </c>
      <c r="H25">
        <v>69.375540000000001</v>
      </c>
      <c r="I25">
        <v>68.985941774786468</v>
      </c>
    </row>
    <row r="26" spans="2:9">
      <c r="B26" t="s">
        <v>1807</v>
      </c>
      <c r="C26">
        <v>-2.8754088366121833</v>
      </c>
      <c r="E26" t="s">
        <v>2413</v>
      </c>
      <c r="I26">
        <v>1416.1553997159908</v>
      </c>
    </row>
    <row r="27" spans="2:9">
      <c r="B27" t="s">
        <v>1774</v>
      </c>
      <c r="C27">
        <v>5086</v>
      </c>
      <c r="D27">
        <v>5086</v>
      </c>
      <c r="E27" t="s">
        <v>2030</v>
      </c>
      <c r="F27">
        <v>0</v>
      </c>
      <c r="G27">
        <v>0</v>
      </c>
      <c r="H27">
        <v>0</v>
      </c>
      <c r="I27">
        <v>0</v>
      </c>
    </row>
    <row r="28" spans="2:9">
      <c r="B28" t="s">
        <v>1775</v>
      </c>
      <c r="C28">
        <v>5086</v>
      </c>
      <c r="E28" t="s">
        <v>2413</v>
      </c>
      <c r="I28">
        <v>0</v>
      </c>
    </row>
    <row r="29" spans="2:9">
      <c r="B29" t="s">
        <v>1764</v>
      </c>
      <c r="E29" t="s">
        <v>2414</v>
      </c>
    </row>
    <row r="30" spans="2:9">
      <c r="B30" t="s">
        <v>1773</v>
      </c>
      <c r="C30">
        <v>0.43959999999999999</v>
      </c>
      <c r="E30" t="s">
        <v>2413</v>
      </c>
      <c r="I30">
        <v>0</v>
      </c>
    </row>
    <row r="31" spans="2:9">
      <c r="B31" t="s">
        <v>1761</v>
      </c>
      <c r="E31" t="s">
        <v>2414</v>
      </c>
    </row>
    <row r="32" spans="2:9">
      <c r="B32" t="s">
        <v>1770</v>
      </c>
      <c r="C32">
        <v>0</v>
      </c>
      <c r="E32" t="s">
        <v>2413</v>
      </c>
      <c r="I32">
        <v>0</v>
      </c>
    </row>
    <row r="33" spans="2:9">
      <c r="B33" t="s">
        <v>1767</v>
      </c>
      <c r="C33">
        <v>3.7107842999999998</v>
      </c>
      <c r="D33">
        <v>3.7107842999999998</v>
      </c>
      <c r="E33" t="s">
        <v>2030</v>
      </c>
      <c r="F33">
        <v>0</v>
      </c>
      <c r="G33">
        <v>0</v>
      </c>
      <c r="H33">
        <v>0</v>
      </c>
      <c r="I33">
        <v>0</v>
      </c>
    </row>
    <row r="34" spans="2:9">
      <c r="B34" t="s">
        <v>1809</v>
      </c>
      <c r="E34" t="s">
        <v>2414</v>
      </c>
    </row>
    <row r="35" spans="2:9">
      <c r="B35" t="s">
        <v>1777</v>
      </c>
      <c r="C35">
        <v>5229.1994203962604</v>
      </c>
      <c r="D35">
        <v>3986.5929999999998</v>
      </c>
      <c r="E35" t="s">
        <v>2031</v>
      </c>
      <c r="F35">
        <v>0.77924083390390286</v>
      </c>
      <c r="G35">
        <v>0.77924083321037574</v>
      </c>
      <c r="H35">
        <v>1594.6371999999999</v>
      </c>
      <c r="I35">
        <v>1594.6371985807671</v>
      </c>
    </row>
    <row r="36" spans="2:9">
      <c r="B36" t="s">
        <v>1776</v>
      </c>
      <c r="E36" t="s">
        <v>2414</v>
      </c>
    </row>
    <row r="37" spans="2:9">
      <c r="B37" t="s">
        <v>1783</v>
      </c>
      <c r="C37">
        <v>8.3917198671429531E-30</v>
      </c>
      <c r="E37" t="s">
        <v>2413</v>
      </c>
      <c r="I37">
        <v>3.0947490465007593E-13</v>
      </c>
    </row>
    <row r="38" spans="2:9">
      <c r="B38" t="s">
        <v>1782</v>
      </c>
      <c r="E38" t="s">
        <v>2414</v>
      </c>
    </row>
    <row r="39" spans="2:9">
      <c r="B39" t="s">
        <v>1786</v>
      </c>
      <c r="C39">
        <v>13007.602171334236</v>
      </c>
      <c r="E39" t="s">
        <v>2413</v>
      </c>
      <c r="I39">
        <v>855.45375594156428</v>
      </c>
    </row>
    <row r="40" spans="2:9">
      <c r="B40" t="s">
        <v>1785</v>
      </c>
      <c r="E40" t="s">
        <v>2414</v>
      </c>
    </row>
    <row r="41" spans="2:9">
      <c r="B41" t="s">
        <v>1780</v>
      </c>
      <c r="C41">
        <v>4700.4379387999998</v>
      </c>
      <c r="D41">
        <v>4700.4379387999998</v>
      </c>
      <c r="E41" t="s">
        <v>2030</v>
      </c>
      <c r="F41">
        <v>0</v>
      </c>
      <c r="G41">
        <v>0</v>
      </c>
      <c r="H41">
        <v>0</v>
      </c>
      <c r="I41">
        <v>0</v>
      </c>
    </row>
    <row r="42" spans="2:9">
      <c r="B42" t="s">
        <v>1779</v>
      </c>
      <c r="C42">
        <v>0.37452200000000002</v>
      </c>
      <c r="D42">
        <v>0.37452200000000002</v>
      </c>
      <c r="E42" t="s">
        <v>2030</v>
      </c>
      <c r="F42">
        <v>0</v>
      </c>
      <c r="G42">
        <v>0</v>
      </c>
      <c r="H42">
        <v>0</v>
      </c>
      <c r="I42">
        <v>0</v>
      </c>
    </row>
    <row r="43" spans="2:9">
      <c r="B43" t="s">
        <v>1811</v>
      </c>
      <c r="C43">
        <v>13536.363652930497</v>
      </c>
      <c r="E43" t="s">
        <v>2413</v>
      </c>
      <c r="I43">
        <v>1809.6046315761321</v>
      </c>
    </row>
    <row r="44" spans="2:9">
      <c r="B44" t="s">
        <v>1810</v>
      </c>
      <c r="C44">
        <v>-2.8754088366121837</v>
      </c>
      <c r="D44">
        <v>2360.259</v>
      </c>
      <c r="E44" t="s">
        <v>2031</v>
      </c>
      <c r="F44">
        <v>-1.6686971001279498</v>
      </c>
      <c r="G44">
        <v>-1.6686970997932939</v>
      </c>
      <c r="H44">
        <v>1416.1554000000001</v>
      </c>
      <c r="I44">
        <v>1416.1553997159913</v>
      </c>
    </row>
    <row r="45" spans="2:9">
      <c r="B45" t="s">
        <v>1788</v>
      </c>
      <c r="C45">
        <v>5086</v>
      </c>
      <c r="D45">
        <v>5086</v>
      </c>
      <c r="E45" t="s">
        <v>2030</v>
      </c>
      <c r="F45">
        <v>0</v>
      </c>
      <c r="G45">
        <v>0</v>
      </c>
      <c r="H45">
        <v>0</v>
      </c>
      <c r="I45">
        <v>0</v>
      </c>
    </row>
    <row r="46" spans="2:9">
      <c r="B46" t="s">
        <v>1789</v>
      </c>
      <c r="C46">
        <v>5086</v>
      </c>
      <c r="E46" t="s">
        <v>2413</v>
      </c>
      <c r="I46">
        <v>0</v>
      </c>
    </row>
    <row r="47" spans="2:9">
      <c r="B47" t="s">
        <v>1778</v>
      </c>
      <c r="E47" t="s">
        <v>2414</v>
      </c>
    </row>
    <row r="48" spans="2:9">
      <c r="B48" t="s">
        <v>1784</v>
      </c>
      <c r="C48">
        <v>0.5202</v>
      </c>
      <c r="E48" t="s">
        <v>2413</v>
      </c>
      <c r="I48">
        <v>0</v>
      </c>
    </row>
    <row r="49" spans="2:9">
      <c r="B49" t="s">
        <v>1787</v>
      </c>
      <c r="C49">
        <v>1.8898700000000001E-2</v>
      </c>
      <c r="E49" t="s">
        <v>2413</v>
      </c>
      <c r="I49">
        <v>0</v>
      </c>
    </row>
    <row r="50" spans="2:9">
      <c r="B50" t="s">
        <v>1790</v>
      </c>
      <c r="E50" t="s">
        <v>2414</v>
      </c>
    </row>
    <row r="51" spans="2:9">
      <c r="B51" t="s">
        <v>1781</v>
      </c>
      <c r="C51">
        <v>0.84302679999999997</v>
      </c>
      <c r="D51">
        <v>0.84302679999999997</v>
      </c>
      <c r="E51" t="s">
        <v>2030</v>
      </c>
      <c r="F51">
        <v>0</v>
      </c>
      <c r="G51">
        <v>0</v>
      </c>
      <c r="H51">
        <v>0</v>
      </c>
      <c r="I51">
        <v>0</v>
      </c>
    </row>
    <row r="52" spans="2:9">
      <c r="B52" t="s">
        <v>1812</v>
      </c>
      <c r="E52" t="s">
        <v>2414</v>
      </c>
    </row>
    <row r="53" spans="2:9">
      <c r="B53" t="s">
        <v>1791</v>
      </c>
      <c r="E53" t="s">
        <v>2414</v>
      </c>
    </row>
    <row r="54" spans="2:9">
      <c r="B54" t="s">
        <v>1814</v>
      </c>
      <c r="C54">
        <v>13630.314803042756</v>
      </c>
      <c r="E54" t="s">
        <v>2413</v>
      </c>
      <c r="I54">
        <v>1809.6601440071711</v>
      </c>
    </row>
    <row r="55" spans="2:9">
      <c r="B55" t="s">
        <v>1813</v>
      </c>
      <c r="C55">
        <v>-2.8754088366121833</v>
      </c>
      <c r="E55" t="s">
        <v>2413</v>
      </c>
      <c r="I55">
        <v>1416.1553997159911</v>
      </c>
    </row>
    <row r="56" spans="2:9">
      <c r="B56" t="s">
        <v>1815</v>
      </c>
      <c r="E56" t="s">
        <v>2414</v>
      </c>
    </row>
    <row r="57" spans="2:9">
      <c r="B57" t="s">
        <v>1829</v>
      </c>
      <c r="C57">
        <v>349.57970953751476</v>
      </c>
      <c r="E57" t="s">
        <v>2413</v>
      </c>
      <c r="I57">
        <v>1630.4104208788672</v>
      </c>
    </row>
    <row r="58" spans="2:9">
      <c r="B58" t="s">
        <v>1828</v>
      </c>
      <c r="C58">
        <v>0.37288929999999998</v>
      </c>
      <c r="D58">
        <v>0.37288929999999998</v>
      </c>
      <c r="E58" t="s">
        <v>2030</v>
      </c>
      <c r="F58">
        <v>0</v>
      </c>
      <c r="G58">
        <v>0</v>
      </c>
      <c r="H58">
        <v>0</v>
      </c>
      <c r="I58">
        <v>0</v>
      </c>
    </row>
    <row r="59" spans="2:9">
      <c r="B59" t="s">
        <v>1889</v>
      </c>
      <c r="C59">
        <v>13280.73509350524</v>
      </c>
      <c r="D59">
        <v>15705.18</v>
      </c>
      <c r="E59" t="s">
        <v>2031</v>
      </c>
      <c r="F59" s="57">
        <v>-3.0874461887339186</v>
      </c>
      <c r="G59">
        <v>-3.0874461884483466</v>
      </c>
      <c r="H59">
        <v>785.25900000000001</v>
      </c>
      <c r="I59">
        <v>785.25899992736788</v>
      </c>
    </row>
    <row r="60" spans="2:9">
      <c r="B60" t="s">
        <v>1888</v>
      </c>
      <c r="E60" t="s">
        <v>2414</v>
      </c>
    </row>
    <row r="61" spans="2:9">
      <c r="B61" t="s">
        <v>1871</v>
      </c>
      <c r="C61">
        <v>0</v>
      </c>
      <c r="D61">
        <v>0</v>
      </c>
      <c r="E61" t="s">
        <v>2030</v>
      </c>
      <c r="F61">
        <v>0</v>
      </c>
      <c r="G61">
        <v>0</v>
      </c>
      <c r="H61">
        <v>0</v>
      </c>
      <c r="I61">
        <v>0</v>
      </c>
    </row>
    <row r="62" spans="2:9">
      <c r="B62" t="s">
        <v>1870</v>
      </c>
      <c r="C62">
        <v>0</v>
      </c>
      <c r="D62">
        <v>0</v>
      </c>
      <c r="E62" t="s">
        <v>2030</v>
      </c>
      <c r="F62">
        <v>0</v>
      </c>
      <c r="G62">
        <v>0</v>
      </c>
      <c r="H62">
        <v>0</v>
      </c>
      <c r="I62">
        <v>0</v>
      </c>
    </row>
    <row r="63" spans="2:9">
      <c r="B63" t="s">
        <v>1883</v>
      </c>
      <c r="C63">
        <v>0</v>
      </c>
      <c r="D63">
        <v>0</v>
      </c>
      <c r="E63" t="s">
        <v>2030</v>
      </c>
      <c r="F63">
        <v>0</v>
      </c>
      <c r="G63">
        <v>0</v>
      </c>
      <c r="H63">
        <v>0</v>
      </c>
      <c r="I63">
        <v>0</v>
      </c>
    </row>
    <row r="64" spans="2:9">
      <c r="B64" t="s">
        <v>1882</v>
      </c>
      <c r="E64" t="s">
        <v>2414</v>
      </c>
    </row>
    <row r="65" spans="2:9">
      <c r="B65" t="s">
        <v>1877</v>
      </c>
      <c r="C65">
        <v>0</v>
      </c>
      <c r="D65">
        <v>0</v>
      </c>
      <c r="E65" t="s">
        <v>2030</v>
      </c>
      <c r="F65">
        <v>0</v>
      </c>
      <c r="G65">
        <v>0</v>
      </c>
      <c r="H65">
        <v>0</v>
      </c>
      <c r="I65">
        <v>0</v>
      </c>
    </row>
    <row r="66" spans="2:9">
      <c r="B66" t="s">
        <v>1876</v>
      </c>
      <c r="C66">
        <v>1.0731793225267156E-33</v>
      </c>
      <c r="E66" t="s">
        <v>2413</v>
      </c>
      <c r="I66">
        <v>0</v>
      </c>
    </row>
    <row r="67" spans="2:9">
      <c r="B67" t="s">
        <v>1830</v>
      </c>
      <c r="C67">
        <v>2.5970999999893238</v>
      </c>
      <c r="D67">
        <v>2.5971000000000002</v>
      </c>
      <c r="E67" t="s">
        <v>2031</v>
      </c>
      <c r="F67">
        <v>-2.0554365819578298E-10</v>
      </c>
      <c r="G67">
        <v>-2.055436581957829E-10</v>
      </c>
      <c r="H67">
        <v>5.1942000000000002E-2</v>
      </c>
      <c r="I67">
        <v>5.1941999999999981E-2</v>
      </c>
    </row>
    <row r="68" spans="2:9">
      <c r="B68" t="s">
        <v>1878</v>
      </c>
      <c r="C68">
        <v>0.43959999999999999</v>
      </c>
      <c r="D68">
        <v>0.43959999999999999</v>
      </c>
      <c r="E68" t="s">
        <v>2030</v>
      </c>
      <c r="F68">
        <v>0</v>
      </c>
      <c r="G68">
        <v>0</v>
      </c>
      <c r="H68">
        <v>0</v>
      </c>
      <c r="I68">
        <v>0</v>
      </c>
    </row>
    <row r="69" spans="2:9">
      <c r="B69" t="s">
        <v>1890</v>
      </c>
      <c r="C69">
        <v>1.8898700000000001E-2</v>
      </c>
      <c r="D69">
        <v>1.8898700000000001E-2</v>
      </c>
      <c r="E69" t="s">
        <v>2030</v>
      </c>
      <c r="F69">
        <v>0</v>
      </c>
      <c r="G69">
        <v>0</v>
      </c>
      <c r="H69">
        <v>0</v>
      </c>
      <c r="I69">
        <v>0</v>
      </c>
    </row>
    <row r="70" spans="2:9">
      <c r="B70" t="s">
        <v>1884</v>
      </c>
      <c r="C70">
        <v>0.5202</v>
      </c>
      <c r="D70">
        <v>0.5202</v>
      </c>
      <c r="E70" t="s">
        <v>2030</v>
      </c>
      <c r="F70">
        <v>0</v>
      </c>
      <c r="G70">
        <v>0</v>
      </c>
      <c r="H70">
        <v>0</v>
      </c>
      <c r="I70">
        <v>0</v>
      </c>
    </row>
    <row r="71" spans="2:9">
      <c r="B71" t="s">
        <v>1872</v>
      </c>
      <c r="C71">
        <v>0</v>
      </c>
      <c r="D71">
        <v>0</v>
      </c>
      <c r="E71" t="s">
        <v>2030</v>
      </c>
      <c r="F71">
        <v>0</v>
      </c>
      <c r="G71">
        <v>0</v>
      </c>
      <c r="H71">
        <v>0</v>
      </c>
      <c r="I71">
        <v>0</v>
      </c>
    </row>
    <row r="72" spans="2:9">
      <c r="B72" t="s">
        <v>1793</v>
      </c>
      <c r="C72">
        <v>0</v>
      </c>
      <c r="D72">
        <v>0</v>
      </c>
      <c r="E72" t="s">
        <v>2030</v>
      </c>
      <c r="F72">
        <v>0</v>
      </c>
      <c r="G72">
        <v>0</v>
      </c>
      <c r="H72">
        <v>0</v>
      </c>
      <c r="I72">
        <v>0</v>
      </c>
    </row>
    <row r="73" spans="2:9">
      <c r="B73" t="s">
        <v>1792</v>
      </c>
      <c r="C73">
        <v>0.30691830920299673</v>
      </c>
      <c r="E73" t="s">
        <v>2413</v>
      </c>
      <c r="I73">
        <v>3.8280000000000002E-2</v>
      </c>
    </row>
    <row r="74" spans="2:9">
      <c r="B74" t="s">
        <v>1796</v>
      </c>
      <c r="C74">
        <v>0</v>
      </c>
      <c r="D74">
        <v>0</v>
      </c>
      <c r="E74" t="s">
        <v>2030</v>
      </c>
      <c r="F74">
        <v>0</v>
      </c>
      <c r="G74">
        <v>0</v>
      </c>
      <c r="H74">
        <v>0</v>
      </c>
      <c r="I74">
        <v>0</v>
      </c>
    </row>
    <row r="75" spans="2:9">
      <c r="B75" t="s">
        <v>1795</v>
      </c>
      <c r="C75">
        <v>0.30691830920299673</v>
      </c>
      <c r="E75" t="s">
        <v>2413</v>
      </c>
      <c r="I75">
        <v>3.8280000000000002E-2</v>
      </c>
    </row>
    <row r="76" spans="2:9">
      <c r="B76" t="s">
        <v>1799</v>
      </c>
      <c r="C76">
        <v>576.35279184570743</v>
      </c>
      <c r="D76">
        <v>653.35029999999995</v>
      </c>
      <c r="E76" t="s">
        <v>2029</v>
      </c>
      <c r="F76">
        <v>-1.0547748473528193</v>
      </c>
      <c r="G76">
        <v>-0.58925134154137926</v>
      </c>
      <c r="H76">
        <v>130.67006000000001</v>
      </c>
      <c r="I76">
        <v>72.998999120555496</v>
      </c>
    </row>
    <row r="77" spans="2:9">
      <c r="B77" t="s">
        <v>1798</v>
      </c>
      <c r="C77">
        <v>0.30691830920299673</v>
      </c>
      <c r="E77" t="s">
        <v>2413</v>
      </c>
      <c r="I77">
        <v>3.8280000000000002E-2</v>
      </c>
    </row>
    <row r="78" spans="2:9">
      <c r="B78" t="s">
        <v>1802</v>
      </c>
      <c r="C78">
        <v>1256.2072486590932</v>
      </c>
      <c r="D78">
        <v>1266.3430000000001</v>
      </c>
      <c r="E78" t="s">
        <v>2029</v>
      </c>
      <c r="F78">
        <v>-0.19470956957650529</v>
      </c>
      <c r="G78">
        <v>-4.0019770871347005E-2</v>
      </c>
      <c r="H78">
        <v>253.26859999999999</v>
      </c>
      <c r="I78">
        <v>52.055743140679567</v>
      </c>
    </row>
    <row r="79" spans="2:9">
      <c r="B79" t="s">
        <v>1801</v>
      </c>
      <c r="C79">
        <v>0.30691830920299673</v>
      </c>
      <c r="E79" t="s">
        <v>2413</v>
      </c>
      <c r="I79">
        <v>3.8280000000000002E-2</v>
      </c>
    </row>
    <row r="80" spans="2:9">
      <c r="B80" t="s">
        <v>1805</v>
      </c>
      <c r="C80">
        <v>1832.5600405048006</v>
      </c>
      <c r="E80" t="s">
        <v>2413</v>
      </c>
      <c r="I80">
        <v>89.658542629815187</v>
      </c>
    </row>
    <row r="81" spans="2:9">
      <c r="B81" t="s">
        <v>1804</v>
      </c>
      <c r="C81">
        <v>0.30691830920299673</v>
      </c>
      <c r="D81">
        <v>0.38279999999999997</v>
      </c>
      <c r="E81" t="s">
        <v>2031</v>
      </c>
      <c r="F81">
        <v>-1.982280323850659</v>
      </c>
      <c r="G81">
        <v>-1.9822803238506594</v>
      </c>
      <c r="H81">
        <v>3.8280000000000002E-2</v>
      </c>
      <c r="I81">
        <v>3.8280000000000008E-2</v>
      </c>
    </row>
    <row r="82" spans="2:9">
      <c r="B82" t="s">
        <v>1794</v>
      </c>
      <c r="C82">
        <v>0.50159045914399059</v>
      </c>
      <c r="D82">
        <v>0.49380000000000002</v>
      </c>
      <c r="E82" t="s">
        <v>2029</v>
      </c>
      <c r="F82">
        <v>0.38941075211493897</v>
      </c>
      <c r="G82">
        <v>0.15776547476692121</v>
      </c>
      <c r="H82">
        <v>4.938E-2</v>
      </c>
      <c r="I82">
        <v>2.0005762813891506E-2</v>
      </c>
    </row>
    <row r="83" spans="2:9">
      <c r="B83" t="s">
        <v>1797</v>
      </c>
      <c r="C83">
        <v>0.50159045914399059</v>
      </c>
      <c r="D83">
        <v>0.49380000000000002</v>
      </c>
      <c r="E83" t="s">
        <v>2029</v>
      </c>
      <c r="F83">
        <v>0.38941075211493897</v>
      </c>
      <c r="G83">
        <v>0.15776547476692121</v>
      </c>
      <c r="H83">
        <v>4.938E-2</v>
      </c>
      <c r="I83">
        <v>2.0005762813891506E-2</v>
      </c>
    </row>
    <row r="84" spans="2:9">
      <c r="B84" t="s">
        <v>1803</v>
      </c>
      <c r="C84">
        <v>0.50159045914399059</v>
      </c>
      <c r="D84">
        <v>0.45879999999999999</v>
      </c>
      <c r="E84" t="s">
        <v>2029</v>
      </c>
      <c r="F84" s="57">
        <v>2.1389066511514354</v>
      </c>
      <c r="G84">
        <v>0.93266039982542726</v>
      </c>
      <c r="H84">
        <v>4.5879999999999997E-2</v>
      </c>
      <c r="I84">
        <v>2.0005762813891506E-2</v>
      </c>
    </row>
    <row r="85" spans="2:9">
      <c r="B85" t="s">
        <v>1800</v>
      </c>
      <c r="C85">
        <v>0.50159045914399059</v>
      </c>
      <c r="D85">
        <v>0.38890000000000002</v>
      </c>
      <c r="E85" t="s">
        <v>2029</v>
      </c>
      <c r="F85" s="57">
        <v>5.632899889512891</v>
      </c>
      <c r="G85">
        <v>2.8976718730776692</v>
      </c>
      <c r="H85">
        <v>3.8890000000000001E-2</v>
      </c>
      <c r="I85">
        <v>2.0005762813891506E-2</v>
      </c>
    </row>
    <row r="86" spans="2:9">
      <c r="B86" t="s">
        <v>1806</v>
      </c>
      <c r="C86">
        <v>0.50159045914399059</v>
      </c>
      <c r="D86">
        <v>0.42949999999999999</v>
      </c>
      <c r="E86" t="s">
        <v>2029</v>
      </c>
      <c r="F86" s="57">
        <v>3.6034846466305588</v>
      </c>
      <c r="G86">
        <v>1.6784740196505377</v>
      </c>
      <c r="H86">
        <v>4.2950000000000002E-2</v>
      </c>
      <c r="I86">
        <v>2.0005762813891503E-2</v>
      </c>
    </row>
    <row r="87" spans="2:9">
      <c r="B87" t="s">
        <v>1886</v>
      </c>
      <c r="C87">
        <v>0</v>
      </c>
      <c r="D87">
        <v>0</v>
      </c>
      <c r="E87" t="s">
        <v>2030</v>
      </c>
      <c r="F87">
        <v>0</v>
      </c>
      <c r="G87">
        <v>0</v>
      </c>
      <c r="H87">
        <v>0</v>
      </c>
      <c r="I87">
        <v>0</v>
      </c>
    </row>
    <row r="88" spans="2:9">
      <c r="B88" t="s">
        <v>1885</v>
      </c>
      <c r="E88" t="s">
        <v>2414</v>
      </c>
    </row>
    <row r="89" spans="2:9">
      <c r="B89" t="s">
        <v>1874</v>
      </c>
      <c r="C89">
        <v>0.40776172813470779</v>
      </c>
      <c r="D89">
        <v>474.16770000000002</v>
      </c>
      <c r="E89" t="s">
        <v>2029</v>
      </c>
      <c r="F89" s="57">
        <v>-4.0635519149032779</v>
      </c>
      <c r="G89">
        <v>-3.9965601897545135</v>
      </c>
      <c r="H89">
        <v>118.54192500000001</v>
      </c>
      <c r="I89">
        <v>116.58764258291552</v>
      </c>
    </row>
    <row r="90" spans="2:9">
      <c r="B90" t="s">
        <v>1873</v>
      </c>
      <c r="C90">
        <v>0.41959999999999997</v>
      </c>
      <c r="D90">
        <v>0.41959999999999997</v>
      </c>
      <c r="E90" t="s">
        <v>2030</v>
      </c>
      <c r="F90">
        <v>0</v>
      </c>
      <c r="G90">
        <v>0</v>
      </c>
      <c r="H90">
        <v>0</v>
      </c>
      <c r="I90">
        <v>0</v>
      </c>
    </row>
    <row r="91" spans="2:9">
      <c r="B91" t="s">
        <v>1880</v>
      </c>
      <c r="C91">
        <v>2105.2852009476715</v>
      </c>
      <c r="D91">
        <v>1740.9690000000001</v>
      </c>
      <c r="E91" t="s">
        <v>2029</v>
      </c>
      <c r="F91">
        <v>1.11937233143603</v>
      </c>
      <c r="G91">
        <v>0.83704236192068071</v>
      </c>
      <c r="H91">
        <v>435.24225000000001</v>
      </c>
      <c r="I91">
        <v>325.46471867881024</v>
      </c>
    </row>
    <row r="92" spans="2:9">
      <c r="B92" t="s">
        <v>1879</v>
      </c>
      <c r="C92">
        <v>-2.2578895490594498E-34</v>
      </c>
      <c r="E92" t="s">
        <v>2413</v>
      </c>
      <c r="I92">
        <v>0</v>
      </c>
    </row>
    <row r="93" spans="2:9">
      <c r="B93" t="s">
        <v>1892</v>
      </c>
      <c r="C93">
        <v>-273.13292217100536</v>
      </c>
      <c r="E93" t="s">
        <v>2413</v>
      </c>
      <c r="I93">
        <v>339.3662205198529</v>
      </c>
    </row>
    <row r="94" spans="2:9">
      <c r="B94" t="s">
        <v>1891</v>
      </c>
      <c r="E94" t="s">
        <v>2414</v>
      </c>
    </row>
    <row r="95" spans="2:9">
      <c r="B95" t="s">
        <v>1875</v>
      </c>
      <c r="C95">
        <v>3.8036782780499559E-49</v>
      </c>
      <c r="D95">
        <v>0.46039999999999998</v>
      </c>
      <c r="E95" t="s">
        <v>2029</v>
      </c>
      <c r="F95">
        <v>0</v>
      </c>
      <c r="G95">
        <v>-10</v>
      </c>
      <c r="H95">
        <v>4.6039999999999998E-2</v>
      </c>
      <c r="I95">
        <v>0</v>
      </c>
    </row>
    <row r="96" spans="2:9">
      <c r="B96" t="s">
        <v>1887</v>
      </c>
      <c r="C96">
        <v>0.5202</v>
      </c>
      <c r="D96">
        <v>0.5202</v>
      </c>
      <c r="E96" t="s">
        <v>2030</v>
      </c>
      <c r="F96">
        <v>0</v>
      </c>
      <c r="G96">
        <v>0</v>
      </c>
      <c r="H96">
        <v>0</v>
      </c>
      <c r="I96">
        <v>0</v>
      </c>
    </row>
    <row r="97" spans="2:9">
      <c r="B97" t="s">
        <v>1893</v>
      </c>
      <c r="C97">
        <v>1.8898700000000001E-2</v>
      </c>
      <c r="E97" t="s">
        <v>2413</v>
      </c>
      <c r="I97">
        <v>0</v>
      </c>
    </row>
    <row r="98" spans="2:9">
      <c r="B98" t="s">
        <v>1881</v>
      </c>
      <c r="C98">
        <v>0.43959999999999999</v>
      </c>
      <c r="D98">
        <v>0.42130000000000001</v>
      </c>
      <c r="E98" t="s">
        <v>2029</v>
      </c>
      <c r="F98">
        <v>0</v>
      </c>
      <c r="G98">
        <v>0.43436980773795353</v>
      </c>
      <c r="H98">
        <v>4.2130000000000001E-2</v>
      </c>
      <c r="I98">
        <v>0</v>
      </c>
    </row>
    <row r="99" spans="2:9">
      <c r="B99" t="s">
        <v>1995</v>
      </c>
      <c r="C99">
        <v>1689.0166771432596</v>
      </c>
      <c r="D99">
        <v>1806.9079999999999</v>
      </c>
      <c r="E99" t="s">
        <v>2029</v>
      </c>
      <c r="F99">
        <v>-1.6796910375768941</v>
      </c>
      <c r="G99">
        <v>-0.3837928493014206</v>
      </c>
      <c r="H99">
        <v>307.17435999999998</v>
      </c>
      <c r="I99">
        <v>70.186314160971648</v>
      </c>
    </row>
    <row r="100" spans="2:9">
      <c r="B100" t="s">
        <v>1994</v>
      </c>
      <c r="C100">
        <v>0.36049293980342656</v>
      </c>
      <c r="D100">
        <v>0.29810009999999998</v>
      </c>
      <c r="E100" t="s">
        <v>2031</v>
      </c>
      <c r="F100" s="57">
        <v>2.0930171017586932</v>
      </c>
      <c r="G100">
        <v>2.0930171017586909</v>
      </c>
      <c r="H100">
        <v>2.981E-2</v>
      </c>
      <c r="I100">
        <v>2.9809999999999968E-2</v>
      </c>
    </row>
    <row r="101" spans="2:9">
      <c r="B101" t="s">
        <v>1962</v>
      </c>
      <c r="C101">
        <v>0</v>
      </c>
      <c r="D101">
        <v>0</v>
      </c>
      <c r="E101" t="s">
        <v>2030</v>
      </c>
      <c r="F101">
        <v>0</v>
      </c>
      <c r="G101">
        <v>0</v>
      </c>
      <c r="H101">
        <v>0</v>
      </c>
      <c r="I101">
        <v>0</v>
      </c>
    </row>
    <row r="102" spans="2:9">
      <c r="B102" t="s">
        <v>1961</v>
      </c>
      <c r="C102">
        <v>0.30489257452865021</v>
      </c>
      <c r="D102">
        <v>0.34029999999999999</v>
      </c>
      <c r="E102" t="s">
        <v>2029</v>
      </c>
      <c r="F102" s="57">
        <v>-2.5934114262053845</v>
      </c>
      <c r="G102">
        <v>-1.0404767990405461</v>
      </c>
      <c r="H102">
        <v>3.4029999999999998E-2</v>
      </c>
      <c r="I102">
        <v>1.36528377694229E-2</v>
      </c>
    </row>
    <row r="103" spans="2:9">
      <c r="B103" t="s">
        <v>1971</v>
      </c>
      <c r="C103">
        <v>1689.0166771432596</v>
      </c>
      <c r="D103">
        <v>1759.0170000000001</v>
      </c>
      <c r="E103" t="s">
        <v>2029</v>
      </c>
      <c r="F103">
        <v>-0.9973500345978471</v>
      </c>
      <c r="G103">
        <v>-0.19897568601309842</v>
      </c>
      <c r="H103">
        <v>351.80340000000001</v>
      </c>
      <c r="I103">
        <v>70.186314160971676</v>
      </c>
    </row>
    <row r="104" spans="2:9">
      <c r="B104" t="s">
        <v>1970</v>
      </c>
      <c r="C104">
        <v>0.36070925753956201</v>
      </c>
      <c r="D104">
        <v>0.29810009999999998</v>
      </c>
      <c r="E104" t="s">
        <v>2029</v>
      </c>
      <c r="F104" s="57">
        <v>4.2368544714154686</v>
      </c>
      <c r="G104">
        <v>2.100273651109092</v>
      </c>
      <c r="H104">
        <v>2.981E-2</v>
      </c>
      <c r="I104">
        <v>1.4777273555644517E-2</v>
      </c>
    </row>
    <row r="105" spans="2:9">
      <c r="B105" t="s">
        <v>1953</v>
      </c>
      <c r="C105">
        <v>0</v>
      </c>
      <c r="D105">
        <v>0</v>
      </c>
      <c r="E105" t="s">
        <v>2030</v>
      </c>
      <c r="F105">
        <v>0</v>
      </c>
      <c r="G105">
        <v>0</v>
      </c>
      <c r="H105">
        <v>0</v>
      </c>
      <c r="I105">
        <v>0</v>
      </c>
    </row>
    <row r="106" spans="2:9">
      <c r="B106" t="s">
        <v>1952</v>
      </c>
      <c r="C106">
        <v>0.3216</v>
      </c>
      <c r="D106">
        <v>0.3216</v>
      </c>
      <c r="E106" t="s">
        <v>2029</v>
      </c>
      <c r="F106">
        <v>0</v>
      </c>
      <c r="G106">
        <v>0</v>
      </c>
      <c r="H106">
        <v>3.2160000000000001E-2</v>
      </c>
      <c r="I106">
        <v>1.438238923127865E-2</v>
      </c>
    </row>
    <row r="107" spans="2:9">
      <c r="B107" t="s">
        <v>1980</v>
      </c>
      <c r="C107">
        <v>0</v>
      </c>
      <c r="D107">
        <v>0</v>
      </c>
      <c r="E107" t="s">
        <v>2030</v>
      </c>
      <c r="F107">
        <v>0</v>
      </c>
      <c r="G107">
        <v>0</v>
      </c>
      <c r="H107">
        <v>0</v>
      </c>
      <c r="I107">
        <v>0</v>
      </c>
    </row>
    <row r="108" spans="2:9">
      <c r="B108" t="s">
        <v>1979</v>
      </c>
      <c r="C108">
        <v>0.33854772668182698</v>
      </c>
      <c r="D108">
        <v>0.32619999999999999</v>
      </c>
      <c r="E108" t="s">
        <v>2029</v>
      </c>
      <c r="F108">
        <v>0.84642416395319009</v>
      </c>
      <c r="G108">
        <v>0.37853239367955199</v>
      </c>
      <c r="H108">
        <v>3.2620000000000003E-2</v>
      </c>
      <c r="I108">
        <v>1.4588107485208628E-2</v>
      </c>
    </row>
    <row r="109" spans="2:9">
      <c r="B109" t="s">
        <v>1996</v>
      </c>
      <c r="C109">
        <v>0.46507518809914006</v>
      </c>
      <c r="D109">
        <v>0.44990000000000002</v>
      </c>
      <c r="E109" t="s">
        <v>2031</v>
      </c>
      <c r="F109">
        <v>0.16865067903022932</v>
      </c>
      <c r="G109">
        <v>0.16865067903022932</v>
      </c>
      <c r="H109">
        <v>8.9980000000000004E-2</v>
      </c>
      <c r="I109">
        <v>8.9980000000000004E-2</v>
      </c>
    </row>
    <row r="110" spans="2:9">
      <c r="B110" t="s">
        <v>1954</v>
      </c>
      <c r="C110">
        <v>0.53920000000000001</v>
      </c>
      <c r="E110" t="s">
        <v>2413</v>
      </c>
      <c r="I110">
        <v>5.3919999999999989E-2</v>
      </c>
    </row>
    <row r="111" spans="2:9">
      <c r="B111" t="s">
        <v>1981</v>
      </c>
      <c r="C111">
        <v>0.47438246687684626</v>
      </c>
      <c r="E111" t="s">
        <v>2413</v>
      </c>
      <c r="I111">
        <v>5.3139999999999972E-2</v>
      </c>
    </row>
    <row r="112" spans="2:9">
      <c r="B112" t="s">
        <v>1963</v>
      </c>
      <c r="C112">
        <v>0.51060000000000005</v>
      </c>
      <c r="E112" t="s">
        <v>2413</v>
      </c>
      <c r="I112">
        <v>5.1059999999999987E-2</v>
      </c>
    </row>
    <row r="113" spans="2:9">
      <c r="B113" t="s">
        <v>1972</v>
      </c>
      <c r="C113">
        <v>0.46510277578034059</v>
      </c>
      <c r="E113" t="s">
        <v>2413</v>
      </c>
      <c r="I113">
        <v>4.7930000000000007E-2</v>
      </c>
    </row>
    <row r="114" spans="2:9">
      <c r="B114" t="s">
        <v>1817</v>
      </c>
      <c r="C114">
        <v>-15162.263650328514</v>
      </c>
      <c r="E114" t="s">
        <v>2413</v>
      </c>
      <c r="I114">
        <v>11652.977056095233</v>
      </c>
    </row>
    <row r="115" spans="2:9">
      <c r="B115" t="s">
        <v>1816</v>
      </c>
      <c r="C115">
        <v>3.0994999999999998E-3</v>
      </c>
      <c r="D115">
        <v>5571.3270000000002</v>
      </c>
      <c r="E115" t="s">
        <v>2029</v>
      </c>
      <c r="F115">
        <v>0</v>
      </c>
      <c r="G115">
        <v>-4.9999972183467243</v>
      </c>
      <c r="H115">
        <v>1114.2654</v>
      </c>
      <c r="I115">
        <v>0</v>
      </c>
    </row>
    <row r="116" spans="2:9">
      <c r="B116" t="s">
        <v>1820</v>
      </c>
      <c r="C116">
        <v>63768.370598353635</v>
      </c>
      <c r="E116" t="s">
        <v>2413</v>
      </c>
      <c r="I116">
        <v>11023.454891891313</v>
      </c>
    </row>
    <row r="117" spans="2:9">
      <c r="B117" t="s">
        <v>1819</v>
      </c>
      <c r="C117">
        <v>3.0994999999999998E-3</v>
      </c>
      <c r="D117">
        <v>19640.27</v>
      </c>
      <c r="E117" t="s">
        <v>2029</v>
      </c>
      <c r="F117">
        <v>0</v>
      </c>
      <c r="G117">
        <v>-4.9999992109324358</v>
      </c>
      <c r="H117">
        <v>3928.0540000000001</v>
      </c>
      <c r="I117">
        <v>0</v>
      </c>
    </row>
    <row r="118" spans="2:9">
      <c r="B118" t="s">
        <v>1823</v>
      </c>
      <c r="C118">
        <v>9023.9402227999926</v>
      </c>
      <c r="D118">
        <v>16978.740000000002</v>
      </c>
      <c r="E118" t="s">
        <v>2031</v>
      </c>
      <c r="F118" s="57">
        <v>-2.3425765974228767</v>
      </c>
      <c r="G118">
        <v>-2.3425765920203765</v>
      </c>
      <c r="H118">
        <v>3395.748</v>
      </c>
      <c r="I118">
        <v>3395.7479921686531</v>
      </c>
    </row>
    <row r="119" spans="2:9">
      <c r="B119" t="s">
        <v>1822</v>
      </c>
      <c r="C119">
        <v>3.0994999999999998E-3</v>
      </c>
      <c r="E119" t="s">
        <v>2413</v>
      </c>
      <c r="I119">
        <v>0</v>
      </c>
    </row>
    <row r="120" spans="2:9">
      <c r="B120" t="s">
        <v>1904</v>
      </c>
      <c r="C120">
        <v>57630.047170825121</v>
      </c>
      <c r="E120" t="s">
        <v>2413</v>
      </c>
      <c r="I120">
        <v>1656.5666479988588</v>
      </c>
    </row>
    <row r="121" spans="2:9">
      <c r="B121" t="s">
        <v>1903</v>
      </c>
      <c r="C121">
        <v>3.0994999999999998E-3</v>
      </c>
      <c r="D121">
        <v>3.0994999999999998E-3</v>
      </c>
      <c r="E121" t="s">
        <v>2030</v>
      </c>
      <c r="F121">
        <v>0</v>
      </c>
      <c r="G121">
        <v>0</v>
      </c>
      <c r="H121">
        <v>0</v>
      </c>
      <c r="I121">
        <v>0</v>
      </c>
    </row>
    <row r="122" spans="2:9">
      <c r="B122" t="s">
        <v>1818</v>
      </c>
      <c r="C122">
        <v>2.8759999896832453</v>
      </c>
      <c r="E122" t="s">
        <v>2413</v>
      </c>
      <c r="I122">
        <v>5.7519999999999925E-2</v>
      </c>
    </row>
    <row r="123" spans="2:9">
      <c r="B123" t="s">
        <v>1824</v>
      </c>
      <c r="C123">
        <v>2.8759999896832453</v>
      </c>
      <c r="E123" t="s">
        <v>2413</v>
      </c>
      <c r="I123">
        <v>5.7519999999999925E-2</v>
      </c>
    </row>
    <row r="124" spans="2:9">
      <c r="B124" t="s">
        <v>1821</v>
      </c>
      <c r="C124">
        <v>2.8759999896832453</v>
      </c>
      <c r="E124" t="s">
        <v>2413</v>
      </c>
      <c r="I124">
        <v>5.7519999999999925E-2</v>
      </c>
    </row>
    <row r="125" spans="2:9">
      <c r="B125" t="s">
        <v>1905</v>
      </c>
      <c r="C125">
        <v>2.8759999896832453</v>
      </c>
      <c r="D125">
        <v>2.8759999999999999</v>
      </c>
      <c r="E125" t="s">
        <v>2031</v>
      </c>
      <c r="F125">
        <v>-1.7935943257574131E-7</v>
      </c>
      <c r="G125">
        <v>-1.7935943257574104E-7</v>
      </c>
      <c r="H125">
        <v>5.7520000000000002E-2</v>
      </c>
      <c r="I125">
        <v>5.7519999999999918E-2</v>
      </c>
    </row>
    <row r="126" spans="2:9">
      <c r="B126" t="s">
        <v>1896</v>
      </c>
      <c r="C126">
        <v>57979.626880362637</v>
      </c>
      <c r="E126" t="s">
        <v>2413</v>
      </c>
      <c r="I126">
        <v>293.21479999243718</v>
      </c>
    </row>
    <row r="127" spans="2:9">
      <c r="B127" t="s">
        <v>1895</v>
      </c>
      <c r="C127">
        <v>7.0139646618698004E-3</v>
      </c>
      <c r="D127">
        <v>2.6496</v>
      </c>
      <c r="E127" t="s">
        <v>2031</v>
      </c>
      <c r="F127" s="57">
        <v>-49.867641065408627</v>
      </c>
      <c r="G127">
        <v>-49.867641065408563</v>
      </c>
      <c r="H127">
        <v>5.2991999999999997E-2</v>
      </c>
      <c r="I127">
        <v>5.2991999999999928E-2</v>
      </c>
    </row>
    <row r="128" spans="2:9">
      <c r="B128" t="s">
        <v>1837</v>
      </c>
      <c r="C128">
        <v>253.77280000093185</v>
      </c>
      <c r="D128">
        <v>253.77279999999999</v>
      </c>
      <c r="E128" t="s">
        <v>2031</v>
      </c>
      <c r="F128">
        <v>3.6720349347710887E-11</v>
      </c>
      <c r="G128">
        <v>3.6720349347710086E-11</v>
      </c>
      <c r="H128">
        <v>25.377279999999999</v>
      </c>
      <c r="I128">
        <v>25.377279999999445</v>
      </c>
    </row>
    <row r="129" spans="2:9">
      <c r="B129" t="s">
        <v>1838</v>
      </c>
      <c r="C129">
        <v>463.41070000310737</v>
      </c>
      <c r="D129">
        <v>463.41070000000002</v>
      </c>
      <c r="E129" t="s">
        <v>2031</v>
      </c>
      <c r="F129">
        <v>6.7053814079525954E-11</v>
      </c>
      <c r="G129">
        <v>6.7053814079521042E-11</v>
      </c>
      <c r="H129">
        <v>46.341070000000002</v>
      </c>
      <c r="I129">
        <v>46.341069999996606</v>
      </c>
    </row>
    <row r="130" spans="2:9">
      <c r="B130" t="s">
        <v>1865</v>
      </c>
      <c r="C130">
        <v>599.99999996738654</v>
      </c>
      <c r="D130">
        <v>600</v>
      </c>
      <c r="E130" t="s">
        <v>2031</v>
      </c>
      <c r="F130">
        <v>-5.4355761373414975E-10</v>
      </c>
      <c r="G130">
        <v>-5.4355761373396187E-10</v>
      </c>
      <c r="H130">
        <v>60</v>
      </c>
      <c r="I130">
        <v>59.999999999979266</v>
      </c>
    </row>
    <row r="131" spans="2:9">
      <c r="B131" t="s">
        <v>1897</v>
      </c>
      <c r="E131" t="s">
        <v>2414</v>
      </c>
    </row>
    <row r="132" spans="2:9">
      <c r="B132" t="s">
        <v>1835</v>
      </c>
      <c r="C132">
        <v>157.65990000035964</v>
      </c>
      <c r="D132">
        <v>157.65989999999999</v>
      </c>
      <c r="E132" t="s">
        <v>2031</v>
      </c>
      <c r="F132">
        <v>2.2811654144924349E-11</v>
      </c>
      <c r="G132">
        <v>2.2811654144924126E-11</v>
      </c>
      <c r="H132">
        <v>15.76599</v>
      </c>
      <c r="I132">
        <v>15.765989999999846</v>
      </c>
    </row>
    <row r="133" spans="2:9">
      <c r="B133" t="s">
        <v>1855</v>
      </c>
      <c r="C133">
        <v>5133.4779976126429</v>
      </c>
      <c r="D133">
        <v>5133.4780000000001</v>
      </c>
      <c r="E133" t="s">
        <v>2031</v>
      </c>
      <c r="F133">
        <v>-4.6505647810336849E-9</v>
      </c>
      <c r="G133">
        <v>-4.6505647809159937E-9</v>
      </c>
      <c r="H133">
        <v>513.34780000000001</v>
      </c>
      <c r="I133">
        <v>513.34779998700878</v>
      </c>
    </row>
    <row r="134" spans="2:9">
      <c r="B134" t="s">
        <v>1866</v>
      </c>
      <c r="C134">
        <v>0</v>
      </c>
      <c r="D134">
        <v>0</v>
      </c>
      <c r="E134" t="s">
        <v>2030</v>
      </c>
      <c r="F134">
        <v>0</v>
      </c>
      <c r="G134">
        <v>0</v>
      </c>
      <c r="H134">
        <v>0</v>
      </c>
      <c r="I134">
        <v>0</v>
      </c>
    </row>
    <row r="135" spans="2:9">
      <c r="B135" t="s">
        <v>1869</v>
      </c>
      <c r="C135">
        <v>0</v>
      </c>
      <c r="D135">
        <v>0</v>
      </c>
      <c r="E135" t="s">
        <v>2030</v>
      </c>
      <c r="F135">
        <v>0</v>
      </c>
      <c r="G135">
        <v>0</v>
      </c>
      <c r="H135">
        <v>0</v>
      </c>
      <c r="I135">
        <v>0</v>
      </c>
    </row>
    <row r="136" spans="2:9">
      <c r="B136" t="s">
        <v>1859</v>
      </c>
      <c r="C136">
        <v>2399.9999994781847</v>
      </c>
      <c r="D136">
        <v>2400</v>
      </c>
      <c r="E136" t="s">
        <v>2031</v>
      </c>
      <c r="F136">
        <v>-2.1742304549478764E-9</v>
      </c>
      <c r="G136">
        <v>-2.1742304549358475E-9</v>
      </c>
      <c r="H136">
        <v>240</v>
      </c>
      <c r="I136">
        <v>239.99999999867219</v>
      </c>
    </row>
    <row r="137" spans="2:9">
      <c r="B137" t="s">
        <v>1854</v>
      </c>
      <c r="C137">
        <v>0</v>
      </c>
      <c r="D137">
        <v>0</v>
      </c>
      <c r="E137" t="s">
        <v>2030</v>
      </c>
      <c r="F137">
        <v>0</v>
      </c>
      <c r="G137">
        <v>0</v>
      </c>
      <c r="H137">
        <v>0</v>
      </c>
      <c r="I137">
        <v>0</v>
      </c>
    </row>
    <row r="138" spans="2:9">
      <c r="B138" t="s">
        <v>1834</v>
      </c>
      <c r="C138">
        <v>247.99740000088988</v>
      </c>
      <c r="D138">
        <v>247.9974</v>
      </c>
      <c r="E138" t="s">
        <v>2031</v>
      </c>
      <c r="F138">
        <v>3.5882784346366864E-11</v>
      </c>
      <c r="G138">
        <v>3.5882784346366108E-11</v>
      </c>
      <c r="H138">
        <v>24.79974</v>
      </c>
      <c r="I138">
        <v>24.799739999999478</v>
      </c>
    </row>
    <row r="139" spans="2:9">
      <c r="B139" t="s">
        <v>1868</v>
      </c>
      <c r="C139">
        <v>0</v>
      </c>
      <c r="D139">
        <v>0</v>
      </c>
      <c r="E139" t="s">
        <v>2030</v>
      </c>
      <c r="F139">
        <v>0</v>
      </c>
      <c r="G139">
        <v>0</v>
      </c>
      <c r="H139">
        <v>0</v>
      </c>
      <c r="I139">
        <v>0</v>
      </c>
    </row>
    <row r="140" spans="2:9">
      <c r="B140" t="s">
        <v>1832</v>
      </c>
      <c r="E140" t="s">
        <v>2414</v>
      </c>
    </row>
    <row r="141" spans="2:9">
      <c r="B141" t="s">
        <v>1760</v>
      </c>
      <c r="C141">
        <v>6745.2459998203158</v>
      </c>
      <c r="D141">
        <v>6745.2460000000001</v>
      </c>
      <c r="E141" t="s">
        <v>2031</v>
      </c>
      <c r="F141">
        <v>-5.3277321763050927E-10</v>
      </c>
      <c r="G141">
        <v>-5.3277321762844101E-10</v>
      </c>
      <c r="H141">
        <v>337.26229999999998</v>
      </c>
      <c r="I141">
        <v>337.26229999869071</v>
      </c>
    </row>
    <row r="142" spans="2:9">
      <c r="B142" t="s">
        <v>1894</v>
      </c>
      <c r="E142" t="s">
        <v>2414</v>
      </c>
    </row>
    <row r="143" spans="2:9">
      <c r="B143" t="s">
        <v>1841</v>
      </c>
      <c r="C143">
        <v>57979.626880362637</v>
      </c>
      <c r="E143" t="s">
        <v>2413</v>
      </c>
      <c r="I143">
        <v>293.21479999243729</v>
      </c>
    </row>
    <row r="144" spans="2:9">
      <c r="B144" t="s">
        <v>1840</v>
      </c>
      <c r="E144" t="s">
        <v>2414</v>
      </c>
    </row>
    <row r="145" spans="2:9">
      <c r="B145" t="s">
        <v>1826</v>
      </c>
      <c r="C145">
        <v>57979.626880362637</v>
      </c>
      <c r="D145">
        <v>58642.96</v>
      </c>
      <c r="E145" t="s">
        <v>2031</v>
      </c>
      <c r="F145" s="57">
        <v>-2.2622770735122204</v>
      </c>
      <c r="G145">
        <v>-2.2622770734538702</v>
      </c>
      <c r="H145">
        <v>293.21480000000003</v>
      </c>
      <c r="I145">
        <v>293.21479999243724</v>
      </c>
    </row>
    <row r="146" spans="2:9">
      <c r="B146" t="s">
        <v>1825</v>
      </c>
      <c r="C146">
        <v>1.0357359131528918E-2</v>
      </c>
      <c r="D146">
        <v>1.8898700000000001E-2</v>
      </c>
      <c r="E146" t="s">
        <v>2031</v>
      </c>
      <c r="F146" s="57">
        <v>-2.2597933350453845</v>
      </c>
      <c r="G146">
        <v>-2.259793335045396</v>
      </c>
      <c r="H146">
        <v>3.7797E-3</v>
      </c>
      <c r="I146">
        <v>3.7797000000000191E-3</v>
      </c>
    </row>
    <row r="147" spans="2:9">
      <c r="B147" t="s">
        <v>1842</v>
      </c>
      <c r="E147" t="s">
        <v>2414</v>
      </c>
    </row>
    <row r="148" spans="2:9">
      <c r="B148" t="s">
        <v>1827</v>
      </c>
      <c r="C148">
        <v>3.0900000000003338E-2</v>
      </c>
      <c r="D148">
        <v>3.09E-2</v>
      </c>
      <c r="E148" t="s">
        <v>2031</v>
      </c>
      <c r="F148">
        <v>1.0801320284075656E-11</v>
      </c>
      <c r="G148">
        <v>1.0801320284075654E-11</v>
      </c>
      <c r="H148">
        <v>3.0899999999999998E-4</v>
      </c>
      <c r="I148">
        <v>3.0899999999999992E-4</v>
      </c>
    </row>
    <row r="149" spans="2:9">
      <c r="B149" t="s">
        <v>1857</v>
      </c>
      <c r="C149">
        <v>0</v>
      </c>
      <c r="D149">
        <v>0</v>
      </c>
      <c r="E149" t="s">
        <v>2030</v>
      </c>
      <c r="F149">
        <v>0</v>
      </c>
      <c r="G149">
        <v>0</v>
      </c>
      <c r="H149">
        <v>0</v>
      </c>
      <c r="I149">
        <v>0</v>
      </c>
    </row>
    <row r="150" spans="2:9">
      <c r="B150" t="s">
        <v>1858</v>
      </c>
      <c r="C150">
        <v>0</v>
      </c>
      <c r="D150">
        <v>0</v>
      </c>
      <c r="E150" t="s">
        <v>2030</v>
      </c>
      <c r="F150">
        <v>0</v>
      </c>
      <c r="G150">
        <v>0</v>
      </c>
      <c r="H150">
        <v>0</v>
      </c>
      <c r="I150">
        <v>0</v>
      </c>
    </row>
    <row r="151" spans="2:9">
      <c r="B151" t="s">
        <v>1861</v>
      </c>
      <c r="C151">
        <v>14623.819980626156</v>
      </c>
      <c r="D151">
        <v>14623.82</v>
      </c>
      <c r="E151" t="s">
        <v>2031</v>
      </c>
      <c r="F151">
        <v>-1.3248141264994717E-8</v>
      </c>
      <c r="G151">
        <v>-1.3248141262273949E-8</v>
      </c>
      <c r="H151">
        <v>1462.3820000000001</v>
      </c>
      <c r="I151">
        <v>1462.381999699671</v>
      </c>
    </row>
    <row r="152" spans="2:9">
      <c r="B152" t="s">
        <v>1867</v>
      </c>
      <c r="C152">
        <v>893.18199992772759</v>
      </c>
      <c r="D152">
        <v>893.18200000000002</v>
      </c>
      <c r="E152" t="s">
        <v>2031</v>
      </c>
      <c r="F152">
        <v>-8.0915679046658508E-10</v>
      </c>
      <c r="G152">
        <v>-8.0915679046596469E-10</v>
      </c>
      <c r="H152">
        <v>89.318200000000004</v>
      </c>
      <c r="I152">
        <v>89.318199999931522</v>
      </c>
    </row>
    <row r="153" spans="2:9">
      <c r="B153" t="s">
        <v>1989</v>
      </c>
      <c r="C153">
        <v>266.75290000102967</v>
      </c>
      <c r="D153">
        <v>266.75290000000001</v>
      </c>
      <c r="E153" t="s">
        <v>2031</v>
      </c>
      <c r="F153">
        <v>3.8599831126285865E-11</v>
      </c>
      <c r="G153">
        <v>3.8599831126284902E-11</v>
      </c>
      <c r="H153">
        <v>26.67529</v>
      </c>
      <c r="I153">
        <v>26.675289999999336</v>
      </c>
    </row>
    <row r="154" spans="2:9">
      <c r="B154" t="s">
        <v>1856</v>
      </c>
      <c r="C154">
        <v>0</v>
      </c>
      <c r="D154">
        <v>0</v>
      </c>
      <c r="E154" t="s">
        <v>2030</v>
      </c>
      <c r="F154">
        <v>0</v>
      </c>
      <c r="G154">
        <v>0</v>
      </c>
      <c r="H154">
        <v>0</v>
      </c>
      <c r="I154">
        <v>0</v>
      </c>
    </row>
    <row r="155" spans="2:9">
      <c r="B155" t="s">
        <v>1988</v>
      </c>
      <c r="C155">
        <v>194.48070000054727</v>
      </c>
      <c r="D155">
        <v>194.48070000000001</v>
      </c>
      <c r="E155" t="s">
        <v>2031</v>
      </c>
      <c r="F155">
        <v>2.8139553954836456E-11</v>
      </c>
      <c r="G155">
        <v>2.8139553954836091E-11</v>
      </c>
      <c r="H155">
        <v>19.448070000000001</v>
      </c>
      <c r="I155">
        <v>19.448069999999749</v>
      </c>
    </row>
    <row r="156" spans="2:9">
      <c r="B156" t="s">
        <v>1991</v>
      </c>
      <c r="C156">
        <v>189.02850000051703</v>
      </c>
      <c r="D156">
        <v>189.02850000000001</v>
      </c>
      <c r="E156" t="s">
        <v>2031</v>
      </c>
      <c r="F156">
        <v>2.7351394961526193E-11</v>
      </c>
      <c r="G156">
        <v>2.735139496152587E-11</v>
      </c>
      <c r="H156">
        <v>18.902850000000001</v>
      </c>
      <c r="I156">
        <v>18.902849999999777</v>
      </c>
    </row>
    <row r="157" spans="2:9">
      <c r="B157" t="s">
        <v>1862</v>
      </c>
      <c r="C157">
        <v>28797.77992487021</v>
      </c>
      <c r="D157">
        <v>28797.78</v>
      </c>
      <c r="E157" t="s">
        <v>2031</v>
      </c>
      <c r="F157">
        <v>-2.6088743130923785E-8</v>
      </c>
      <c r="G157">
        <v>-2.6088743110146633E-8</v>
      </c>
      <c r="H157">
        <v>2879.7779999999998</v>
      </c>
      <c r="I157">
        <v>2879.7779977065361</v>
      </c>
    </row>
    <row r="158" spans="2:9">
      <c r="B158" t="s">
        <v>1990</v>
      </c>
      <c r="C158">
        <v>189.02850000051703</v>
      </c>
      <c r="D158">
        <v>189.02850000000001</v>
      </c>
      <c r="E158" t="s">
        <v>2031</v>
      </c>
      <c r="F158">
        <v>2.735139496152621E-11</v>
      </c>
      <c r="G158">
        <v>2.735139496152587E-11</v>
      </c>
      <c r="H158">
        <v>18.902850000000001</v>
      </c>
      <c r="I158">
        <v>18.902849999999766</v>
      </c>
    </row>
    <row r="159" spans="2:9">
      <c r="B159" t="s">
        <v>1987</v>
      </c>
      <c r="E159" t="s">
        <v>2414</v>
      </c>
    </row>
    <row r="160" spans="2:9">
      <c r="B160" t="s">
        <v>1863</v>
      </c>
      <c r="C160">
        <v>29860.139919224832</v>
      </c>
      <c r="D160">
        <v>29860.14</v>
      </c>
      <c r="E160" t="s">
        <v>2031</v>
      </c>
      <c r="F160">
        <v>-2.7051168433393846E-8</v>
      </c>
      <c r="G160">
        <v>-2.7051168410231396E-8</v>
      </c>
      <c r="H160">
        <v>2986.0140000000001</v>
      </c>
      <c r="I160">
        <v>2986.0139974432382</v>
      </c>
    </row>
    <row r="161" spans="2:9">
      <c r="B161" t="s">
        <v>1860</v>
      </c>
      <c r="C161">
        <v>18119.219970257804</v>
      </c>
      <c r="D161">
        <v>18119.22</v>
      </c>
      <c r="E161" t="s">
        <v>2031</v>
      </c>
      <c r="F161">
        <v>-1.641472288615493E-8</v>
      </c>
      <c r="G161">
        <v>-1.6414722880979704E-8</v>
      </c>
      <c r="H161">
        <v>1811.922</v>
      </c>
      <c r="I161">
        <v>1811.921999428738</v>
      </c>
    </row>
    <row r="162" spans="2:9">
      <c r="B162" t="s">
        <v>1864</v>
      </c>
      <c r="C162">
        <v>47999.999790748188</v>
      </c>
      <c r="D162">
        <v>48000</v>
      </c>
      <c r="E162" t="s">
        <v>2031</v>
      </c>
      <c r="F162">
        <v>-4.3594127515510588E-8</v>
      </c>
      <c r="G162">
        <v>-4.359412741905544E-8</v>
      </c>
      <c r="H162">
        <v>4800</v>
      </c>
      <c r="I162">
        <v>4799.9999893796539</v>
      </c>
    </row>
    <row r="163" spans="2:9">
      <c r="B163" t="s">
        <v>1844</v>
      </c>
      <c r="C163">
        <v>700</v>
      </c>
      <c r="D163">
        <v>700</v>
      </c>
      <c r="E163" t="s">
        <v>2030</v>
      </c>
      <c r="F163">
        <v>0</v>
      </c>
      <c r="G163">
        <v>0</v>
      </c>
      <c r="H163">
        <v>0</v>
      </c>
      <c r="I163">
        <v>0</v>
      </c>
    </row>
    <row r="164" spans="2:9">
      <c r="B164" t="s">
        <v>1843</v>
      </c>
      <c r="C164">
        <v>0.36152700729932896</v>
      </c>
      <c r="D164">
        <v>0.39639999999999997</v>
      </c>
      <c r="E164" t="s">
        <v>2029</v>
      </c>
      <c r="F164">
        <v>-1.9671640327334603</v>
      </c>
      <c r="G164">
        <v>-1.7594850000338553</v>
      </c>
      <c r="H164">
        <v>1.9820000000000001E-2</v>
      </c>
      <c r="I164">
        <v>1.7727546925618332E-2</v>
      </c>
    </row>
    <row r="165" spans="2:9">
      <c r="B165" t="s">
        <v>1850</v>
      </c>
      <c r="C165">
        <v>1689.0166771432591</v>
      </c>
      <c r="D165">
        <v>1761.547</v>
      </c>
      <c r="E165" t="s">
        <v>2029</v>
      </c>
      <c r="F165">
        <v>-1.033396948162761</v>
      </c>
      <c r="G165">
        <v>-0.82348439021769959</v>
      </c>
      <c r="H165">
        <v>88.077349999999996</v>
      </c>
      <c r="I165">
        <v>70.186314160971662</v>
      </c>
    </row>
    <row r="166" spans="2:9">
      <c r="B166" t="s">
        <v>1849</v>
      </c>
      <c r="C166">
        <v>0.36152700729932896</v>
      </c>
      <c r="D166">
        <v>0.39639999999999997</v>
      </c>
      <c r="E166" t="s">
        <v>2029</v>
      </c>
      <c r="F166">
        <v>-1.9671640327334603</v>
      </c>
      <c r="G166">
        <v>-0.87974250001692766</v>
      </c>
      <c r="H166">
        <v>3.9640000000000002E-2</v>
      </c>
      <c r="I166">
        <v>1.7727546925618332E-2</v>
      </c>
    </row>
    <row r="167" spans="2:9">
      <c r="B167" t="s">
        <v>1847</v>
      </c>
      <c r="C167">
        <v>700</v>
      </c>
      <c r="D167">
        <v>700</v>
      </c>
      <c r="E167" t="s">
        <v>2030</v>
      </c>
      <c r="F167">
        <v>0</v>
      </c>
      <c r="G167">
        <v>0</v>
      </c>
      <c r="H167">
        <v>0</v>
      </c>
      <c r="I167">
        <v>0</v>
      </c>
    </row>
    <row r="168" spans="2:9">
      <c r="B168" t="s">
        <v>1846</v>
      </c>
      <c r="C168">
        <v>0.36297600000000002</v>
      </c>
      <c r="D168">
        <v>0.36297600000000002</v>
      </c>
      <c r="E168" t="s">
        <v>2030</v>
      </c>
      <c r="F168">
        <v>0</v>
      </c>
      <c r="G168">
        <v>0</v>
      </c>
      <c r="H168">
        <v>0</v>
      </c>
      <c r="I168">
        <v>0</v>
      </c>
    </row>
    <row r="169" spans="2:9">
      <c r="B169" t="s">
        <v>1845</v>
      </c>
      <c r="C169">
        <v>0.46177965094751749</v>
      </c>
      <c r="D169">
        <v>0.4793</v>
      </c>
      <c r="E169" t="s">
        <v>2029</v>
      </c>
      <c r="F169">
        <v>-0.40442161678776795</v>
      </c>
      <c r="G169">
        <v>-0.36554035160614456</v>
      </c>
      <c r="H169">
        <v>4.793E-2</v>
      </c>
      <c r="I169">
        <v>4.3321989540625432E-2</v>
      </c>
    </row>
    <row r="170" spans="2:9">
      <c r="B170" t="s">
        <v>1851</v>
      </c>
      <c r="C170">
        <v>0.46177965094751749</v>
      </c>
      <c r="D170">
        <v>0.50629999999999997</v>
      </c>
      <c r="E170" t="s">
        <v>2029</v>
      </c>
      <c r="F170">
        <v>-1.0276616915465826</v>
      </c>
      <c r="G170">
        <v>-0.43966372755759903</v>
      </c>
      <c r="H170">
        <v>0.10126</v>
      </c>
      <c r="I170">
        <v>4.3321989540625418E-2</v>
      </c>
    </row>
    <row r="171" spans="2:9">
      <c r="B171" t="s">
        <v>1848</v>
      </c>
      <c r="C171">
        <v>0.4538432</v>
      </c>
      <c r="D171">
        <v>0.4538432</v>
      </c>
      <c r="E171" t="s">
        <v>2030</v>
      </c>
      <c r="F171">
        <v>0</v>
      </c>
      <c r="G171">
        <v>0</v>
      </c>
      <c r="H171">
        <v>0</v>
      </c>
      <c r="I171">
        <v>0</v>
      </c>
    </row>
    <row r="172" spans="2:9">
      <c r="B172" t="s">
        <v>1898</v>
      </c>
      <c r="C172">
        <v>0</v>
      </c>
      <c r="E172" t="s">
        <v>2413</v>
      </c>
      <c r="I172">
        <v>0</v>
      </c>
    </row>
    <row r="173" spans="2:9">
      <c r="B173" t="s">
        <v>1899</v>
      </c>
      <c r="C173">
        <v>0</v>
      </c>
      <c r="D173">
        <v>0</v>
      </c>
      <c r="E173" t="s">
        <v>2030</v>
      </c>
      <c r="F173">
        <v>0</v>
      </c>
      <c r="G173">
        <v>0</v>
      </c>
      <c r="H173">
        <v>0</v>
      </c>
      <c r="I173">
        <v>0</v>
      </c>
    </row>
    <row r="174" spans="2:9">
      <c r="B174" t="s">
        <v>1852</v>
      </c>
      <c r="C174">
        <v>0</v>
      </c>
      <c r="D174">
        <v>0</v>
      </c>
      <c r="E174" t="s">
        <v>2030</v>
      </c>
      <c r="F174">
        <v>0</v>
      </c>
      <c r="G174">
        <v>0</v>
      </c>
      <c r="H174">
        <v>0</v>
      </c>
      <c r="I174">
        <v>0</v>
      </c>
    </row>
    <row r="175" spans="2:9">
      <c r="B175" t="s">
        <v>1833</v>
      </c>
      <c r="C175">
        <v>148427.61958271312</v>
      </c>
      <c r="E175" t="s">
        <v>2413</v>
      </c>
      <c r="I175">
        <v>6782.6047123234221</v>
      </c>
    </row>
    <row r="176" spans="2:9">
      <c r="B176" t="s">
        <v>1907</v>
      </c>
      <c r="C176">
        <v>22158.262690370204</v>
      </c>
      <c r="D176">
        <v>22158.27</v>
      </c>
      <c r="E176" t="s">
        <v>2031</v>
      </c>
      <c r="F176">
        <v>-1.6494134720050769E-6</v>
      </c>
      <c r="G176">
        <v>-1.6494134687657019E-6</v>
      </c>
      <c r="H176">
        <v>4431.6540000000005</v>
      </c>
      <c r="I176">
        <v>4431.6539912964281</v>
      </c>
    </row>
    <row r="177" spans="2:9">
      <c r="B177" t="s">
        <v>1906</v>
      </c>
      <c r="C177">
        <v>10695.849372709266</v>
      </c>
      <c r="E177" t="s">
        <v>2413</v>
      </c>
      <c r="I177">
        <v>2178.6019994829844</v>
      </c>
    </row>
    <row r="178" spans="2:9">
      <c r="B178" t="s">
        <v>1916</v>
      </c>
      <c r="C178">
        <v>-22158.285341798713</v>
      </c>
      <c r="E178" t="s">
        <v>2413</v>
      </c>
      <c r="I178">
        <v>12467.214235150826</v>
      </c>
    </row>
    <row r="179" spans="2:9">
      <c r="B179" t="s">
        <v>1915</v>
      </c>
      <c r="C179">
        <v>10695.849372709266</v>
      </c>
      <c r="D179">
        <v>10893.01</v>
      </c>
      <c r="E179" t="s">
        <v>2031</v>
      </c>
      <c r="F179">
        <v>-9.0498690140522711E-2</v>
      </c>
      <c r="G179">
        <v>-9.0498690119045988E-2</v>
      </c>
      <c r="H179">
        <v>2178.6019999999999</v>
      </c>
      <c r="I179">
        <v>2178.6019994829844</v>
      </c>
    </row>
    <row r="180" spans="2:9">
      <c r="B180" t="s">
        <v>1910</v>
      </c>
      <c r="C180">
        <v>15162.240998900001</v>
      </c>
      <c r="D180">
        <v>15162.240998900001</v>
      </c>
      <c r="E180" t="s">
        <v>2030</v>
      </c>
      <c r="F180">
        <v>0</v>
      </c>
      <c r="G180">
        <v>0</v>
      </c>
      <c r="H180">
        <v>0</v>
      </c>
      <c r="I180">
        <v>0</v>
      </c>
    </row>
    <row r="181" spans="2:9">
      <c r="B181" t="s">
        <v>1909</v>
      </c>
      <c r="C181">
        <v>2.4786999999999999E-3</v>
      </c>
      <c r="D181">
        <v>2.4786999999999999E-3</v>
      </c>
      <c r="E181" t="s">
        <v>2030</v>
      </c>
      <c r="F181">
        <v>0</v>
      </c>
      <c r="G181">
        <v>0</v>
      </c>
      <c r="H181">
        <v>0</v>
      </c>
      <c r="I181">
        <v>0</v>
      </c>
    </row>
    <row r="182" spans="2:9">
      <c r="B182" t="s">
        <v>1913</v>
      </c>
      <c r="C182">
        <v>89291.287670000005</v>
      </c>
      <c r="D182">
        <v>89291.287670000005</v>
      </c>
      <c r="E182" t="s">
        <v>2030</v>
      </c>
      <c r="F182">
        <v>0</v>
      </c>
      <c r="G182">
        <v>0</v>
      </c>
      <c r="H182">
        <v>0</v>
      </c>
      <c r="I182">
        <v>0</v>
      </c>
    </row>
    <row r="183" spans="2:9">
      <c r="B183" t="s">
        <v>1914</v>
      </c>
      <c r="C183">
        <v>89291.287670000005</v>
      </c>
      <c r="E183" t="s">
        <v>2413</v>
      </c>
      <c r="I183">
        <v>0</v>
      </c>
    </row>
    <row r="184" spans="2:9">
      <c r="B184" t="s">
        <v>1908</v>
      </c>
      <c r="E184" t="s">
        <v>2414</v>
      </c>
    </row>
    <row r="185" spans="2:9">
      <c r="B185" t="s">
        <v>1912</v>
      </c>
      <c r="E185" t="s">
        <v>2414</v>
      </c>
    </row>
    <row r="186" spans="2:9">
      <c r="B186" t="s">
        <v>1917</v>
      </c>
      <c r="C186">
        <v>0.88009997641088644</v>
      </c>
      <c r="D186">
        <v>0.88009999999999999</v>
      </c>
      <c r="E186" t="s">
        <v>2031</v>
      </c>
      <c r="F186">
        <v>-1.3401382542541218E-7</v>
      </c>
      <c r="G186">
        <v>-1.3401382542541213E-7</v>
      </c>
      <c r="H186">
        <v>0.17602000000000001</v>
      </c>
      <c r="I186">
        <v>0.17601999999999995</v>
      </c>
    </row>
    <row r="187" spans="2:9">
      <c r="B187" t="s">
        <v>1911</v>
      </c>
      <c r="C187">
        <v>5.5245560999999999</v>
      </c>
      <c r="D187">
        <v>5.5245560999999999</v>
      </c>
      <c r="E187" t="s">
        <v>2030</v>
      </c>
      <c r="F187">
        <v>0</v>
      </c>
      <c r="G187">
        <v>0</v>
      </c>
      <c r="H187">
        <v>0</v>
      </c>
      <c r="I187">
        <v>0</v>
      </c>
    </row>
    <row r="188" spans="2:9">
      <c r="B188" t="s">
        <v>1919</v>
      </c>
      <c r="C188">
        <v>16350.321428858766</v>
      </c>
      <c r="D188">
        <v>15785.49</v>
      </c>
      <c r="E188" t="s">
        <v>2031</v>
      </c>
      <c r="F188">
        <v>0.17890842475739796</v>
      </c>
      <c r="G188">
        <v>0.17890842440075228</v>
      </c>
      <c r="H188">
        <v>3157.098</v>
      </c>
      <c r="I188">
        <v>3157.0979937064712</v>
      </c>
    </row>
    <row r="189" spans="2:9">
      <c r="B189" t="s">
        <v>1918</v>
      </c>
      <c r="E189" t="s">
        <v>2414</v>
      </c>
    </row>
    <row r="190" spans="2:9">
      <c r="B190" t="s">
        <v>1928</v>
      </c>
      <c r="C190">
        <v>59129.961004894867</v>
      </c>
      <c r="D190">
        <v>52808.45</v>
      </c>
      <c r="E190" t="s">
        <v>2031</v>
      </c>
      <c r="F190">
        <v>0.59853216160736455</v>
      </c>
      <c r="G190">
        <v>0.59853214825419698</v>
      </c>
      <c r="H190">
        <v>10561.69</v>
      </c>
      <c r="I190">
        <v>10561.689764370196</v>
      </c>
    </row>
    <row r="191" spans="2:9">
      <c r="B191" t="s">
        <v>1927</v>
      </c>
      <c r="E191" t="s">
        <v>2414</v>
      </c>
    </row>
    <row r="192" spans="2:9">
      <c r="B192" t="s">
        <v>1922</v>
      </c>
      <c r="C192">
        <v>11711.9118354</v>
      </c>
      <c r="D192">
        <v>11711.9118354</v>
      </c>
      <c r="E192" t="s">
        <v>2030</v>
      </c>
      <c r="F192">
        <v>0</v>
      </c>
      <c r="G192">
        <v>0</v>
      </c>
      <c r="H192">
        <v>0</v>
      </c>
      <c r="I192">
        <v>0</v>
      </c>
    </row>
    <row r="193" spans="2:9">
      <c r="B193" t="s">
        <v>1921</v>
      </c>
      <c r="C193">
        <v>2.4872000000000002E-3</v>
      </c>
      <c r="D193">
        <v>2.4872000000000002E-3</v>
      </c>
      <c r="E193" t="s">
        <v>2030</v>
      </c>
      <c r="F193">
        <v>0</v>
      </c>
      <c r="G193">
        <v>0</v>
      </c>
      <c r="H193">
        <v>0</v>
      </c>
      <c r="I193">
        <v>0</v>
      </c>
    </row>
    <row r="194" spans="2:9">
      <c r="B194" t="s">
        <v>1925</v>
      </c>
      <c r="C194">
        <v>89291.287670000005</v>
      </c>
      <c r="D194">
        <v>89291.287670000005</v>
      </c>
      <c r="E194" t="s">
        <v>2030</v>
      </c>
      <c r="F194">
        <v>0</v>
      </c>
      <c r="G194">
        <v>0</v>
      </c>
      <c r="H194">
        <v>0</v>
      </c>
      <c r="I194">
        <v>0</v>
      </c>
    </row>
    <row r="195" spans="2:9">
      <c r="B195" t="s">
        <v>1926</v>
      </c>
      <c r="C195">
        <v>89291.287670000005</v>
      </c>
      <c r="E195" t="s">
        <v>2413</v>
      </c>
      <c r="I195">
        <v>0</v>
      </c>
    </row>
    <row r="196" spans="2:9">
      <c r="B196" t="s">
        <v>1920</v>
      </c>
      <c r="E196" t="s">
        <v>2414</v>
      </c>
    </row>
    <row r="197" spans="2:9">
      <c r="B197" t="s">
        <v>1924</v>
      </c>
      <c r="E197" t="s">
        <v>2414</v>
      </c>
    </row>
    <row r="198" spans="2:9">
      <c r="B198" t="s">
        <v>1929</v>
      </c>
      <c r="C198">
        <v>0.71140005449046695</v>
      </c>
      <c r="D198">
        <v>0.71140000000000003</v>
      </c>
      <c r="E198" t="s">
        <v>2031</v>
      </c>
      <c r="F198">
        <v>3.8298050967397088E-7</v>
      </c>
      <c r="G198">
        <v>3.8298050967397088E-7</v>
      </c>
      <c r="H198">
        <v>0.14227999999999999</v>
      </c>
      <c r="I198">
        <v>0.14227999999999999</v>
      </c>
    </row>
    <row r="199" spans="2:9">
      <c r="B199" t="s">
        <v>1923</v>
      </c>
      <c r="C199">
        <v>7.2594719999999997</v>
      </c>
      <c r="D199">
        <v>7.2594719999999997</v>
      </c>
      <c r="E199" t="s">
        <v>2030</v>
      </c>
      <c r="F199">
        <v>0</v>
      </c>
      <c r="G199">
        <v>0</v>
      </c>
      <c r="H199">
        <v>0</v>
      </c>
      <c r="I199">
        <v>0</v>
      </c>
    </row>
    <row r="200" spans="2:9">
      <c r="B200" t="s">
        <v>1931</v>
      </c>
      <c r="C200">
        <v>16850.270391123235</v>
      </c>
      <c r="D200">
        <v>16850.28</v>
      </c>
      <c r="E200" t="s">
        <v>2031</v>
      </c>
      <c r="F200">
        <v>-2.8512513680706005E-6</v>
      </c>
      <c r="G200">
        <v>-2.8512513632132329E-6</v>
      </c>
      <c r="H200">
        <v>3370.056</v>
      </c>
      <c r="I200">
        <v>3370.0559942588011</v>
      </c>
    </row>
    <row r="201" spans="2:9">
      <c r="B201" t="s">
        <v>1930</v>
      </c>
      <c r="C201">
        <v>228.6599215084116</v>
      </c>
      <c r="E201" t="s">
        <v>2413</v>
      </c>
      <c r="I201">
        <v>4229.8819962159678</v>
      </c>
    </row>
    <row r="202" spans="2:9">
      <c r="B202" t="s">
        <v>1940</v>
      </c>
      <c r="C202">
        <v>2941.9186426767583</v>
      </c>
      <c r="E202" t="s">
        <v>2413</v>
      </c>
      <c r="I202">
        <v>4784.180366413073</v>
      </c>
    </row>
    <row r="203" spans="2:9">
      <c r="B203" t="s">
        <v>1939</v>
      </c>
      <c r="C203">
        <v>228.6599215084116</v>
      </c>
      <c r="D203">
        <v>21149.41</v>
      </c>
      <c r="E203" t="s">
        <v>2031</v>
      </c>
      <c r="F203" s="57">
        <v>-4.9459417773846148</v>
      </c>
      <c r="G203">
        <v>-4.9459417729599995</v>
      </c>
      <c r="H203">
        <v>4229.8819999999996</v>
      </c>
      <c r="I203">
        <v>4229.8819962159678</v>
      </c>
    </row>
    <row r="204" spans="2:9">
      <c r="B204" t="s">
        <v>1934</v>
      </c>
      <c r="C204">
        <v>10768.248810999999</v>
      </c>
      <c r="D204">
        <v>10768.248810999999</v>
      </c>
      <c r="E204" t="s">
        <v>2030</v>
      </c>
      <c r="F204">
        <v>0</v>
      </c>
      <c r="G204">
        <v>0</v>
      </c>
      <c r="H204">
        <v>0</v>
      </c>
      <c r="I204">
        <v>0</v>
      </c>
    </row>
    <row r="205" spans="2:9">
      <c r="B205" t="s">
        <v>1933</v>
      </c>
      <c r="C205">
        <v>2.4009999999999999E-3</v>
      </c>
      <c r="D205">
        <v>2.4009999999999999E-3</v>
      </c>
      <c r="E205" t="s">
        <v>2030</v>
      </c>
      <c r="F205">
        <v>0</v>
      </c>
      <c r="G205">
        <v>0</v>
      </c>
      <c r="H205">
        <v>0</v>
      </c>
      <c r="I205">
        <v>0</v>
      </c>
    </row>
    <row r="206" spans="2:9">
      <c r="B206" t="s">
        <v>1937</v>
      </c>
      <c r="C206">
        <v>89291.287670000005</v>
      </c>
      <c r="D206">
        <v>89291.287670000005</v>
      </c>
      <c r="E206" t="s">
        <v>2030</v>
      </c>
      <c r="F206">
        <v>0</v>
      </c>
      <c r="G206">
        <v>0</v>
      </c>
      <c r="H206">
        <v>0</v>
      </c>
      <c r="I206">
        <v>0</v>
      </c>
    </row>
    <row r="207" spans="2:9">
      <c r="B207" t="s">
        <v>1938</v>
      </c>
      <c r="C207">
        <v>89291.287670000005</v>
      </c>
      <c r="E207" t="s">
        <v>2413</v>
      </c>
      <c r="I207">
        <v>0</v>
      </c>
    </row>
    <row r="208" spans="2:9">
      <c r="B208" t="s">
        <v>1932</v>
      </c>
      <c r="E208" t="s">
        <v>2414</v>
      </c>
    </row>
    <row r="209" spans="2:9">
      <c r="B209" t="s">
        <v>1936</v>
      </c>
      <c r="E209" t="s">
        <v>2414</v>
      </c>
    </row>
    <row r="210" spans="2:9">
      <c r="B210" t="s">
        <v>1941</v>
      </c>
      <c r="C210">
        <v>0.98770001793564588</v>
      </c>
      <c r="D210">
        <v>0.98770000000000002</v>
      </c>
      <c r="E210" t="s">
        <v>2031</v>
      </c>
      <c r="F210">
        <v>9.0795007883932587E-8</v>
      </c>
      <c r="G210">
        <v>9.07950078839326E-8</v>
      </c>
      <c r="H210">
        <v>0.19753999999999999</v>
      </c>
      <c r="I210">
        <v>0.19754000000000002</v>
      </c>
    </row>
    <row r="211" spans="2:9">
      <c r="B211" t="s">
        <v>1935</v>
      </c>
      <c r="C211">
        <v>7.9275899000000001</v>
      </c>
      <c r="D211">
        <v>7.9275899000000001</v>
      </c>
      <c r="E211" t="s">
        <v>2030</v>
      </c>
      <c r="F211">
        <v>0</v>
      </c>
      <c r="G211">
        <v>0</v>
      </c>
      <c r="H211">
        <v>0</v>
      </c>
      <c r="I211">
        <v>0</v>
      </c>
    </row>
    <row r="212" spans="2:9">
      <c r="B212" t="s">
        <v>1942</v>
      </c>
      <c r="E212" t="s">
        <v>2414</v>
      </c>
    </row>
    <row r="213" spans="2:9">
      <c r="B213" t="s">
        <v>1943</v>
      </c>
      <c r="C213">
        <v>54321.490006111984</v>
      </c>
      <c r="D213">
        <v>54321.49</v>
      </c>
      <c r="E213" t="s">
        <v>2031</v>
      </c>
      <c r="F213">
        <v>5.6257535417258565E-9</v>
      </c>
      <c r="G213">
        <v>5.6257535414201942E-9</v>
      </c>
      <c r="H213">
        <v>1086.4297999999999</v>
      </c>
      <c r="I213">
        <v>1086.4297999409712</v>
      </c>
    </row>
    <row r="214" spans="2:9">
      <c r="B214" t="s">
        <v>1831</v>
      </c>
      <c r="C214">
        <v>0</v>
      </c>
      <c r="D214">
        <v>0</v>
      </c>
      <c r="E214" t="s">
        <v>2030</v>
      </c>
      <c r="F214">
        <v>0</v>
      </c>
      <c r="G214">
        <v>0</v>
      </c>
      <c r="H214">
        <v>0</v>
      </c>
      <c r="I214">
        <v>0</v>
      </c>
    </row>
    <row r="215" spans="2:9">
      <c r="B215" t="s">
        <v>1944</v>
      </c>
      <c r="C215">
        <v>56675.082796800001</v>
      </c>
      <c r="D215">
        <v>56675.082796800001</v>
      </c>
      <c r="E215" t="s">
        <v>2030</v>
      </c>
      <c r="F215">
        <v>0</v>
      </c>
      <c r="G215">
        <v>0</v>
      </c>
      <c r="H215">
        <v>0</v>
      </c>
      <c r="I215">
        <v>0</v>
      </c>
    </row>
    <row r="216" spans="2:9">
      <c r="B216" t="s">
        <v>1839</v>
      </c>
      <c r="E216" t="s">
        <v>2414</v>
      </c>
    </row>
    <row r="217" spans="2:9">
      <c r="B217" t="s">
        <v>1993</v>
      </c>
      <c r="E217" t="s">
        <v>2414</v>
      </c>
    </row>
    <row r="218" spans="2:9">
      <c r="B218" t="s">
        <v>1945</v>
      </c>
      <c r="C218">
        <v>26849.40981859613</v>
      </c>
      <c r="E218" t="s">
        <v>2413</v>
      </c>
      <c r="I218">
        <v>2684.940998479211</v>
      </c>
    </row>
    <row r="219" spans="2:9">
      <c r="B219" t="s">
        <v>1853</v>
      </c>
      <c r="C219">
        <v>26849.40981859613</v>
      </c>
      <c r="D219">
        <v>26849.41</v>
      </c>
      <c r="E219" t="s">
        <v>2031</v>
      </c>
      <c r="F219">
        <v>-6.7563447297110492E-8</v>
      </c>
      <c r="G219">
        <v>-6.7563447258841583E-8</v>
      </c>
      <c r="H219">
        <v>2684.9409999999998</v>
      </c>
      <c r="I219">
        <v>2684.940998479211</v>
      </c>
    </row>
    <row r="220" spans="2:9">
      <c r="B220" t="s">
        <v>1947</v>
      </c>
      <c r="C220">
        <v>62071.879647571623</v>
      </c>
      <c r="E220" t="s">
        <v>2413</v>
      </c>
      <c r="I220">
        <v>11594.726017980038</v>
      </c>
    </row>
    <row r="221" spans="2:9">
      <c r="B221" t="s">
        <v>1946</v>
      </c>
      <c r="E221" t="s">
        <v>2414</v>
      </c>
    </row>
    <row r="222" spans="2:9">
      <c r="B222" t="s">
        <v>1948</v>
      </c>
      <c r="E222" t="s">
        <v>2414</v>
      </c>
    </row>
    <row r="223" spans="2:9">
      <c r="B223" t="s">
        <v>1901</v>
      </c>
      <c r="C223">
        <v>39913.594305772909</v>
      </c>
      <c r="E223" t="s">
        <v>2413</v>
      </c>
      <c r="I223">
        <v>6611.226445553526</v>
      </c>
    </row>
    <row r="224" spans="2:9">
      <c r="B224" t="s">
        <v>1900</v>
      </c>
      <c r="E224" t="s">
        <v>2414</v>
      </c>
    </row>
    <row r="225" spans="2:9">
      <c r="B225" t="s">
        <v>1902</v>
      </c>
      <c r="E225" t="s">
        <v>2414</v>
      </c>
    </row>
    <row r="226" spans="2:9">
      <c r="B226" t="s">
        <v>1950</v>
      </c>
      <c r="C226">
        <v>0</v>
      </c>
      <c r="D226">
        <v>0</v>
      </c>
      <c r="E226" t="s">
        <v>2030</v>
      </c>
      <c r="F226">
        <v>0</v>
      </c>
      <c r="G226">
        <v>0</v>
      </c>
      <c r="H226">
        <v>0</v>
      </c>
      <c r="I226">
        <v>0</v>
      </c>
    </row>
    <row r="227" spans="2:9">
      <c r="B227" t="s">
        <v>1949</v>
      </c>
      <c r="C227">
        <v>0.3216</v>
      </c>
      <c r="D227">
        <v>0.3216</v>
      </c>
      <c r="E227" t="s">
        <v>2029</v>
      </c>
      <c r="F227">
        <v>0</v>
      </c>
      <c r="G227">
        <v>0</v>
      </c>
      <c r="H227">
        <v>1.6080000000000001E-2</v>
      </c>
      <c r="I227">
        <v>1.4382389231278632E-2</v>
      </c>
    </row>
    <row r="228" spans="2:9">
      <c r="B228" t="s">
        <v>1956</v>
      </c>
      <c r="C228">
        <v>0</v>
      </c>
      <c r="D228">
        <v>0</v>
      </c>
      <c r="E228" t="s">
        <v>2030</v>
      </c>
      <c r="F228">
        <v>0</v>
      </c>
      <c r="G228">
        <v>0</v>
      </c>
      <c r="H228">
        <v>0</v>
      </c>
      <c r="I228">
        <v>0</v>
      </c>
    </row>
    <row r="229" spans="2:9">
      <c r="B229" t="s">
        <v>1955</v>
      </c>
      <c r="C229">
        <v>0.3216</v>
      </c>
      <c r="D229">
        <v>0.3216</v>
      </c>
      <c r="E229" t="s">
        <v>2030</v>
      </c>
      <c r="F229">
        <v>0</v>
      </c>
      <c r="G229">
        <v>0</v>
      </c>
      <c r="H229">
        <v>0</v>
      </c>
      <c r="I229">
        <v>0</v>
      </c>
    </row>
    <row r="230" spans="2:9">
      <c r="B230" t="s">
        <v>1951</v>
      </c>
      <c r="C230">
        <v>0.53920000000000001</v>
      </c>
      <c r="D230">
        <v>0.53920000000000001</v>
      </c>
      <c r="E230" t="s">
        <v>2031</v>
      </c>
      <c r="F230">
        <v>0</v>
      </c>
      <c r="G230">
        <v>0</v>
      </c>
      <c r="H230">
        <v>5.3920000000000003E-2</v>
      </c>
      <c r="I230">
        <v>5.3919999999999933E-2</v>
      </c>
    </row>
    <row r="231" spans="2:9">
      <c r="B231" t="s">
        <v>1957</v>
      </c>
      <c r="C231">
        <v>0.53920000000000001</v>
      </c>
      <c r="D231">
        <v>0.53920000000000001</v>
      </c>
      <c r="E231" t="s">
        <v>2030</v>
      </c>
      <c r="F231">
        <v>0</v>
      </c>
      <c r="G231">
        <v>0</v>
      </c>
      <c r="H231">
        <v>0</v>
      </c>
      <c r="I231">
        <v>0</v>
      </c>
    </row>
    <row r="232" spans="2:9">
      <c r="B232" t="s">
        <v>1959</v>
      </c>
      <c r="C232">
        <v>0</v>
      </c>
      <c r="D232">
        <v>0</v>
      </c>
      <c r="E232" t="s">
        <v>2030</v>
      </c>
      <c r="F232">
        <v>0</v>
      </c>
      <c r="G232">
        <v>0</v>
      </c>
      <c r="H232">
        <v>0</v>
      </c>
      <c r="I232">
        <v>0</v>
      </c>
    </row>
    <row r="233" spans="2:9">
      <c r="B233" t="s">
        <v>1958</v>
      </c>
      <c r="C233">
        <v>0.30489257452865021</v>
      </c>
      <c r="D233">
        <v>0.29809999999999998</v>
      </c>
      <c r="E233" t="s">
        <v>2029</v>
      </c>
      <c r="F233">
        <v>0.49752107535204065</v>
      </c>
      <c r="G233">
        <v>0.45572455744047169</v>
      </c>
      <c r="H233">
        <v>1.4905E-2</v>
      </c>
      <c r="I233">
        <v>1.3652837769422886E-2</v>
      </c>
    </row>
    <row r="234" spans="2:9">
      <c r="B234" t="s">
        <v>1965</v>
      </c>
      <c r="C234">
        <v>0</v>
      </c>
      <c r="D234">
        <v>0</v>
      </c>
      <c r="E234" t="s">
        <v>2030</v>
      </c>
      <c r="F234">
        <v>0</v>
      </c>
      <c r="G234">
        <v>0</v>
      </c>
      <c r="H234">
        <v>0</v>
      </c>
      <c r="I234">
        <v>0</v>
      </c>
    </row>
    <row r="235" spans="2:9">
      <c r="B235" t="s">
        <v>1964</v>
      </c>
      <c r="C235">
        <v>0.30489260000000001</v>
      </c>
      <c r="D235">
        <v>0.30489260000000001</v>
      </c>
      <c r="E235" t="s">
        <v>2030</v>
      </c>
      <c r="F235">
        <v>0</v>
      </c>
      <c r="G235">
        <v>0</v>
      </c>
      <c r="H235">
        <v>0</v>
      </c>
      <c r="I235">
        <v>0</v>
      </c>
    </row>
    <row r="236" spans="2:9">
      <c r="B236" t="s">
        <v>1960</v>
      </c>
      <c r="C236">
        <v>0.51060000000000005</v>
      </c>
      <c r="D236">
        <v>0.51060000000000005</v>
      </c>
      <c r="E236" t="s">
        <v>2031</v>
      </c>
      <c r="F236">
        <v>0</v>
      </c>
      <c r="G236">
        <v>0</v>
      </c>
      <c r="H236">
        <v>5.1060000000000001E-2</v>
      </c>
      <c r="I236">
        <v>5.1059999999999939E-2</v>
      </c>
    </row>
    <row r="237" spans="2:9">
      <c r="B237" t="s">
        <v>1966</v>
      </c>
      <c r="C237">
        <v>0.51060000000000005</v>
      </c>
      <c r="D237">
        <v>0.51060000000000005</v>
      </c>
      <c r="E237" t="s">
        <v>2030</v>
      </c>
      <c r="F237">
        <v>0</v>
      </c>
      <c r="G237">
        <v>0</v>
      </c>
      <c r="H237">
        <v>0</v>
      </c>
      <c r="I237">
        <v>0</v>
      </c>
    </row>
    <row r="238" spans="2:9">
      <c r="B238" t="s">
        <v>1968</v>
      </c>
      <c r="C238">
        <v>1549.9291660024478</v>
      </c>
      <c r="D238">
        <v>1557.7449999999999</v>
      </c>
      <c r="E238" t="s">
        <v>2029</v>
      </c>
      <c r="F238">
        <v>-0.25592397901499175</v>
      </c>
      <c r="G238">
        <v>-0.25087013591929647</v>
      </c>
      <c r="H238">
        <v>31.154900000000001</v>
      </c>
      <c r="I238">
        <v>30.539670521042687</v>
      </c>
    </row>
    <row r="239" spans="2:9">
      <c r="B239" t="s">
        <v>1967</v>
      </c>
      <c r="C239">
        <v>0.36070925753956201</v>
      </c>
      <c r="D239">
        <v>0.34029999999999999</v>
      </c>
      <c r="E239" t="s">
        <v>2029</v>
      </c>
      <c r="F239">
        <v>1.3811247022470019</v>
      </c>
      <c r="G239">
        <v>1.1994861909821934</v>
      </c>
      <c r="H239">
        <v>1.7014999999999999E-2</v>
      </c>
      <c r="I239">
        <v>1.477727355564451E-2</v>
      </c>
    </row>
    <row r="240" spans="2:9">
      <c r="B240" t="s">
        <v>1974</v>
      </c>
      <c r="C240">
        <v>2662.5930512999998</v>
      </c>
      <c r="D240">
        <v>2662.5930512999998</v>
      </c>
      <c r="E240" t="s">
        <v>2030</v>
      </c>
      <c r="F240">
        <v>0</v>
      </c>
      <c r="G240">
        <v>0</v>
      </c>
      <c r="H240">
        <v>0</v>
      </c>
      <c r="I240">
        <v>0</v>
      </c>
    </row>
    <row r="241" spans="1:9">
      <c r="B241" t="s">
        <v>1973</v>
      </c>
      <c r="C241">
        <v>0.37265589999999998</v>
      </c>
      <c r="D241">
        <v>0.37265589999999998</v>
      </c>
      <c r="E241" t="s">
        <v>2030</v>
      </c>
      <c r="F241">
        <v>0</v>
      </c>
      <c r="G241">
        <v>0</v>
      </c>
      <c r="H241">
        <v>0</v>
      </c>
      <c r="I241">
        <v>0</v>
      </c>
    </row>
    <row r="242" spans="1:9">
      <c r="B242" t="s">
        <v>1969</v>
      </c>
      <c r="C242">
        <v>0.46510277578034059</v>
      </c>
      <c r="D242">
        <v>0.4793</v>
      </c>
      <c r="E242" t="s">
        <v>2031</v>
      </c>
      <c r="F242">
        <v>-0.29620747380887563</v>
      </c>
      <c r="G242">
        <v>-0.29620747380887563</v>
      </c>
      <c r="H242">
        <v>4.793E-2</v>
      </c>
      <c r="I242">
        <v>4.7930000000000007E-2</v>
      </c>
    </row>
    <row r="243" spans="1:9">
      <c r="B243" t="s">
        <v>1975</v>
      </c>
      <c r="C243">
        <v>0.4571559</v>
      </c>
      <c r="D243">
        <v>0.4571559</v>
      </c>
      <c r="E243" t="s">
        <v>2030</v>
      </c>
      <c r="F243">
        <v>0</v>
      </c>
      <c r="G243">
        <v>0</v>
      </c>
      <c r="H243">
        <v>0</v>
      </c>
      <c r="I243">
        <v>0</v>
      </c>
    </row>
    <row r="244" spans="1:9">
      <c r="B244" t="s">
        <v>1977</v>
      </c>
      <c r="C244">
        <v>2626.660093959093</v>
      </c>
      <c r="D244">
        <v>2659.57</v>
      </c>
      <c r="E244" t="s">
        <v>2029</v>
      </c>
      <c r="F244">
        <v>-0.63220509506451206</v>
      </c>
      <c r="G244">
        <v>-0.61870727299727246</v>
      </c>
      <c r="H244">
        <v>53.191400000000002</v>
      </c>
      <c r="I244">
        <v>52.055743140679517</v>
      </c>
    </row>
    <row r="245" spans="1:9">
      <c r="B245" t="s">
        <v>1976</v>
      </c>
      <c r="C245">
        <v>0.33854772668182698</v>
      </c>
      <c r="D245">
        <v>0.32619999999999999</v>
      </c>
      <c r="E245" t="s">
        <v>2029</v>
      </c>
      <c r="F245">
        <v>0.84642416395319053</v>
      </c>
      <c r="G245">
        <v>0.75706478735910399</v>
      </c>
      <c r="H245">
        <v>1.6310000000000002E-2</v>
      </c>
      <c r="I245">
        <v>1.4588107485208621E-2</v>
      </c>
    </row>
    <row r="246" spans="1:9">
      <c r="B246" t="s">
        <v>1983</v>
      </c>
      <c r="C246">
        <v>1370.4528453</v>
      </c>
      <c r="D246">
        <v>1370.4528453</v>
      </c>
      <c r="E246" t="s">
        <v>2030</v>
      </c>
      <c r="F246">
        <v>0</v>
      </c>
      <c r="G246">
        <v>0</v>
      </c>
      <c r="H246">
        <v>0</v>
      </c>
      <c r="I246">
        <v>0</v>
      </c>
    </row>
    <row r="247" spans="1:9">
      <c r="B247" t="s">
        <v>1982</v>
      </c>
      <c r="C247">
        <v>0.36751499999999998</v>
      </c>
      <c r="D247">
        <v>0.36751499999999998</v>
      </c>
      <c r="E247" t="s">
        <v>2030</v>
      </c>
      <c r="F247">
        <v>0</v>
      </c>
      <c r="G247">
        <v>0</v>
      </c>
      <c r="H247">
        <v>0</v>
      </c>
      <c r="I247">
        <v>0</v>
      </c>
    </row>
    <row r="248" spans="1:9">
      <c r="B248" t="s">
        <v>1978</v>
      </c>
      <c r="C248">
        <v>0.47438246687684626</v>
      </c>
      <c r="D248">
        <v>0.53139999999999998</v>
      </c>
      <c r="E248" t="s">
        <v>2031</v>
      </c>
      <c r="F248">
        <v>-1.0729682559870866</v>
      </c>
      <c r="G248">
        <v>-1.0729682559870855</v>
      </c>
      <c r="H248">
        <v>5.314E-2</v>
      </c>
      <c r="I248">
        <v>5.3139999999999944E-2</v>
      </c>
    </row>
    <row r="249" spans="1:9">
      <c r="B249" t="s">
        <v>1984</v>
      </c>
      <c r="C249">
        <v>0.4493876</v>
      </c>
      <c r="D249">
        <v>0.4493876</v>
      </c>
      <c r="E249" t="s">
        <v>2030</v>
      </c>
      <c r="F249">
        <v>0</v>
      </c>
      <c r="G249">
        <v>0</v>
      </c>
      <c r="H249">
        <v>0</v>
      </c>
      <c r="I249">
        <v>0</v>
      </c>
    </row>
    <row r="250" spans="1:9">
      <c r="B250" t="s">
        <v>1836</v>
      </c>
      <c r="E250" t="s">
        <v>2414</v>
      </c>
    </row>
    <row r="251" spans="1:9">
      <c r="B251" t="s">
        <v>1986</v>
      </c>
      <c r="C251">
        <v>3110.8340000096191</v>
      </c>
      <c r="D251">
        <v>3110.8339999999998</v>
      </c>
      <c r="E251" t="s">
        <v>2031</v>
      </c>
      <c r="F251">
        <v>1.5460919343980879E-10</v>
      </c>
      <c r="G251">
        <v>1.5460919343978778E-10</v>
      </c>
      <c r="H251">
        <v>62.216679999999997</v>
      </c>
      <c r="I251">
        <v>62.216679999991548</v>
      </c>
    </row>
    <row r="252" spans="1:9">
      <c r="B252" t="s">
        <v>1985</v>
      </c>
      <c r="C252">
        <v>791.99990001558672</v>
      </c>
      <c r="D252">
        <v>791.99990000000003</v>
      </c>
      <c r="E252" t="s">
        <v>2031</v>
      </c>
      <c r="F252">
        <v>1.9680170193597973E-10</v>
      </c>
      <c r="G252">
        <v>1.968017019359346E-10</v>
      </c>
      <c r="H252">
        <v>79.19999</v>
      </c>
      <c r="I252">
        <v>79.199989999981838</v>
      </c>
    </row>
    <row r="253" spans="1:9">
      <c r="B253" t="s">
        <v>1992</v>
      </c>
      <c r="C253">
        <v>2453.5346378999998</v>
      </c>
      <c r="D253">
        <v>2453.5346378999998</v>
      </c>
      <c r="E253" t="s">
        <v>2030</v>
      </c>
      <c r="F253">
        <v>0</v>
      </c>
      <c r="G253">
        <v>0</v>
      </c>
      <c r="H253">
        <v>0</v>
      </c>
      <c r="I253">
        <v>0</v>
      </c>
    </row>
    <row r="255" spans="1:9" ht="15.75" thickBot="1">
      <c r="A255" s="55" t="s">
        <v>29</v>
      </c>
    </row>
    <row r="256" spans="1:9" ht="30.75" thickBot="1">
      <c r="B256" s="56" t="s">
        <v>2032</v>
      </c>
      <c r="C256" s="56" t="s">
        <v>2033</v>
      </c>
      <c r="D256" s="56" t="s">
        <v>2034</v>
      </c>
      <c r="E256" s="56" t="s">
        <v>2035</v>
      </c>
      <c r="F256" s="56" t="s">
        <v>2026</v>
      </c>
      <c r="G256" s="56" t="s">
        <v>2025</v>
      </c>
      <c r="H256" s="56" t="s">
        <v>2036</v>
      </c>
      <c r="I256" s="56" t="s">
        <v>2037</v>
      </c>
    </row>
    <row r="257" spans="2:9">
      <c r="B257" t="s">
        <v>2038</v>
      </c>
      <c r="C257" t="b">
        <v>1</v>
      </c>
      <c r="D257">
        <v>2.2552156469901092</v>
      </c>
      <c r="E257">
        <v>2.2546240246738307</v>
      </c>
      <c r="F257">
        <v>3.8896691274740475E-13</v>
      </c>
      <c r="G257">
        <v>3.8896691274740475E-13</v>
      </c>
      <c r="H257">
        <v>5797962688036.2627</v>
      </c>
      <c r="I257" t="s">
        <v>2039</v>
      </c>
    </row>
    <row r="258" spans="2:9">
      <c r="B258" t="s">
        <v>2040</v>
      </c>
      <c r="C258" t="b">
        <v>1</v>
      </c>
      <c r="D258">
        <v>-18.979629316017963</v>
      </c>
      <c r="E258">
        <v>1.5175691712502157</v>
      </c>
      <c r="F258">
        <v>-3.2734997336711187E-12</v>
      </c>
      <c r="G258">
        <v>-3.2734997336711187E-12</v>
      </c>
      <c r="H258">
        <v>5797962688310.0293</v>
      </c>
      <c r="I258" t="s">
        <v>2041</v>
      </c>
    </row>
    <row r="259" spans="2:9">
      <c r="B259" t="s">
        <v>2042</v>
      </c>
      <c r="C259" t="b">
        <v>1</v>
      </c>
      <c r="D259">
        <v>-242.27446427422649</v>
      </c>
      <c r="E259">
        <v>-196.4556073161217</v>
      </c>
      <c r="F259">
        <v>-3.078664635139717E-10</v>
      </c>
      <c r="G259">
        <v>-3.078664635139717E-10</v>
      </c>
      <c r="H259">
        <v>786946592067.60767</v>
      </c>
      <c r="I259" t="s">
        <v>2043</v>
      </c>
    </row>
    <row r="260" spans="2:9">
      <c r="B260" t="s">
        <v>2044</v>
      </c>
      <c r="C260" t="b">
        <v>1</v>
      </c>
      <c r="D260">
        <v>-10343.562378346414</v>
      </c>
      <c r="E260">
        <v>-14817.197773557698</v>
      </c>
      <c r="F260">
        <v>-2.4629070582885456E-8</v>
      </c>
      <c r="G260">
        <v>-2.082702408434529E-8</v>
      </c>
      <c r="H260">
        <v>496641399004.34412</v>
      </c>
      <c r="I260" t="s">
        <v>2045</v>
      </c>
    </row>
    <row r="261" spans="2:9">
      <c r="B261" t="s">
        <v>2046</v>
      </c>
      <c r="C261" t="b">
        <v>1</v>
      </c>
      <c r="D261">
        <v>4.1728687938302755E-4</v>
      </c>
      <c r="E261">
        <v>0</v>
      </c>
      <c r="F261">
        <v>4.3503402302662003E-8</v>
      </c>
      <c r="G261">
        <v>4.3503402334198528E-8</v>
      </c>
      <c r="H261">
        <v>9592.0515866179394</v>
      </c>
      <c r="I261" t="s">
        <v>2047</v>
      </c>
    </row>
    <row r="262" spans="2:9">
      <c r="B262" t="s">
        <v>2048</v>
      </c>
      <c r="C262" t="b">
        <v>1</v>
      </c>
      <c r="D262">
        <v>-914.84750732103976</v>
      </c>
      <c r="E262">
        <v>-3.2522740785452697</v>
      </c>
      <c r="F262">
        <v>-9.7289943395382548E-10</v>
      </c>
      <c r="G262">
        <v>-1.0427643279181563E-9</v>
      </c>
      <c r="H262">
        <v>877329117258.45264</v>
      </c>
      <c r="I262" t="s">
        <v>2049</v>
      </c>
    </row>
    <row r="263" spans="2:9">
      <c r="B263" t="s">
        <v>2050</v>
      </c>
      <c r="C263" t="b">
        <v>1</v>
      </c>
      <c r="D263">
        <v>-13813.055440562768</v>
      </c>
      <c r="E263">
        <v>-8.1372630530995593</v>
      </c>
      <c r="F263">
        <v>-1.9023473240598039E-7</v>
      </c>
      <c r="G263">
        <v>-1.1722939316719679E-7</v>
      </c>
      <c r="H263">
        <v>117829283828.69038</v>
      </c>
      <c r="I263" t="s">
        <v>2051</v>
      </c>
    </row>
    <row r="264" spans="2:9">
      <c r="B264" t="s">
        <v>2052</v>
      </c>
      <c r="C264" t="b">
        <v>1</v>
      </c>
      <c r="D264">
        <v>-112.31496168091644</v>
      </c>
      <c r="E264">
        <v>1.1368683772161603E-13</v>
      </c>
      <c r="F264">
        <v>-0.88438916698803249</v>
      </c>
      <c r="G264">
        <v>-1.1327242990849444</v>
      </c>
      <c r="H264">
        <v>99.154720854534958</v>
      </c>
      <c r="I264" t="s">
        <v>2053</v>
      </c>
    </row>
    <row r="265" spans="2:9">
      <c r="B265" t="s">
        <v>2062</v>
      </c>
      <c r="C265" t="b">
        <v>1</v>
      </c>
      <c r="D265">
        <v>-159.53065422695499</v>
      </c>
      <c r="E265">
        <v>-1.1268850546302929</v>
      </c>
      <c r="F265">
        <v>-0.6947045694341738</v>
      </c>
      <c r="G265">
        <v>-1.0181499820808011</v>
      </c>
      <c r="H265">
        <v>156.68679176413769</v>
      </c>
      <c r="I265" t="s">
        <v>2063</v>
      </c>
    </row>
    <row r="266" spans="2:9">
      <c r="B266" t="s">
        <v>2058</v>
      </c>
      <c r="C266" t="b">
        <v>1</v>
      </c>
      <c r="D266">
        <v>48.001562673188232</v>
      </c>
      <c r="E266">
        <v>1.1368683772161603E-13</v>
      </c>
      <c r="F266">
        <v>0.2663633095991475</v>
      </c>
      <c r="G266">
        <v>0.67776099476501683</v>
      </c>
      <c r="H266">
        <v>70.823731439178815</v>
      </c>
      <c r="I266" t="s">
        <v>2059</v>
      </c>
    </row>
    <row r="267" spans="2:9">
      <c r="B267" t="s">
        <v>2056</v>
      </c>
      <c r="C267" t="b">
        <v>1</v>
      </c>
      <c r="D267">
        <v>14.276311889099929</v>
      </c>
      <c r="E267">
        <v>-0.36536426389466214</v>
      </c>
      <c r="F267">
        <v>7.8075006652169945E-2</v>
      </c>
      <c r="G267">
        <v>0.21395112744191741</v>
      </c>
      <c r="H267">
        <v>66.726976668891851</v>
      </c>
      <c r="I267" t="s">
        <v>2057</v>
      </c>
    </row>
    <row r="268" spans="2:9">
      <c r="B268" t="s">
        <v>2060</v>
      </c>
      <c r="C268" t="b">
        <v>1</v>
      </c>
      <c r="D268">
        <v>-5.1957801448073724</v>
      </c>
      <c r="E268">
        <v>-4.6596053631446921E-2</v>
      </c>
      <c r="F268">
        <v>-1.8744670411983046E-2</v>
      </c>
      <c r="G268">
        <v>-2.753568048350025E-2</v>
      </c>
      <c r="H268">
        <v>188.69263637485747</v>
      </c>
      <c r="I268" t="s">
        <v>2061</v>
      </c>
    </row>
    <row r="269" spans="2:9">
      <c r="B269" t="s">
        <v>2064</v>
      </c>
      <c r="C269" t="b">
        <v>1</v>
      </c>
      <c r="D269">
        <v>-1.4472452926137294</v>
      </c>
      <c r="E269">
        <v>58.284670445731933</v>
      </c>
      <c r="F269">
        <v>-1.6755912913167179E-10</v>
      </c>
      <c r="G269">
        <v>-1.6755912913167179E-10</v>
      </c>
      <c r="H269">
        <v>8637221380.378809</v>
      </c>
      <c r="I269" t="s">
        <v>2065</v>
      </c>
    </row>
    <row r="270" spans="2:9">
      <c r="B270" t="s">
        <v>2066</v>
      </c>
      <c r="C270" t="b">
        <v>1</v>
      </c>
      <c r="D270">
        <v>-31991291.803333286</v>
      </c>
      <c r="E270">
        <v>-8096.2336418820996</v>
      </c>
      <c r="F270">
        <v>-6.061220280385829E-5</v>
      </c>
      <c r="G270">
        <v>-6.6308442137625248E-5</v>
      </c>
      <c r="H270">
        <v>482461821934.1416</v>
      </c>
      <c r="I270" t="s">
        <v>2067</v>
      </c>
    </row>
    <row r="271" spans="2:9">
      <c r="B271" t="s">
        <v>2054</v>
      </c>
      <c r="C271" t="b">
        <v>1</v>
      </c>
      <c r="D271">
        <v>-632.95076095390868</v>
      </c>
      <c r="E271">
        <v>49.333513474044196</v>
      </c>
      <c r="F271">
        <v>-4.7572503602611137E-3</v>
      </c>
      <c r="G271">
        <v>-3.8654800429393211E-3</v>
      </c>
      <c r="H271">
        <v>163744.41309302719</v>
      </c>
      <c r="I271" t="s">
        <v>2055</v>
      </c>
    </row>
    <row r="272" spans="2:9">
      <c r="B272" t="s">
        <v>2068</v>
      </c>
      <c r="C272" t="b">
        <v>1</v>
      </c>
      <c r="D272">
        <v>2.6268430498021189E-2</v>
      </c>
      <c r="E272">
        <v>-1.7489219317212701E-7</v>
      </c>
      <c r="F272">
        <v>1.1854914280048539E-14</v>
      </c>
      <c r="G272">
        <v>1.1854910369317491E-14</v>
      </c>
      <c r="H272">
        <v>2215827001611.7812</v>
      </c>
      <c r="I272" t="s">
        <v>2069</v>
      </c>
    </row>
    <row r="273" spans="2:9">
      <c r="B273" t="s">
        <v>2070</v>
      </c>
      <c r="C273" t="b">
        <v>1</v>
      </c>
      <c r="D273">
        <v>-7375.8752332169679</v>
      </c>
      <c r="E273">
        <v>-1.0354162193834782E-2</v>
      </c>
      <c r="F273">
        <v>-4.5111499828649003E-9</v>
      </c>
      <c r="G273">
        <v>-4.6725665295441558E-9</v>
      </c>
      <c r="H273">
        <v>1578549002262.4761</v>
      </c>
      <c r="I273" t="s">
        <v>2071</v>
      </c>
    </row>
    <row r="274" spans="2:9">
      <c r="B274" t="s">
        <v>2072</v>
      </c>
      <c r="C274" t="b">
        <v>1</v>
      </c>
      <c r="D274">
        <v>-22877.956712914383</v>
      </c>
      <c r="E274">
        <v>1.0364165063947439E-6</v>
      </c>
      <c r="F274">
        <v>-1.3577204491738924E-8</v>
      </c>
      <c r="G274">
        <v>-1.357719674933438E-8</v>
      </c>
      <c r="H274">
        <v>1685028002119.5076</v>
      </c>
      <c r="I274" t="s">
        <v>2073</v>
      </c>
    </row>
    <row r="275" spans="2:9">
      <c r="B275" t="s">
        <v>2102</v>
      </c>
      <c r="C275" t="b">
        <v>1</v>
      </c>
      <c r="D275">
        <v>22878.003482604428</v>
      </c>
      <c r="E275">
        <v>-2.9103830456733704E-11</v>
      </c>
      <c r="F275">
        <v>0.47998636485135232</v>
      </c>
      <c r="G275">
        <v>0.47991408665547425</v>
      </c>
      <c r="H275">
        <v>47671.039710547877</v>
      </c>
      <c r="I275" t="s">
        <v>2103</v>
      </c>
    </row>
    <row r="276" spans="2:9">
      <c r="B276" t="s">
        <v>2088</v>
      </c>
      <c r="C276" t="b">
        <v>1</v>
      </c>
      <c r="D276">
        <v>66072748.782638989</v>
      </c>
      <c r="E276">
        <v>4525626.5666802358</v>
      </c>
      <c r="F276">
        <v>0.91304613628228748</v>
      </c>
      <c r="G276">
        <v>0.53116427959606516</v>
      </c>
      <c r="H276">
        <v>124392304.45406717</v>
      </c>
      <c r="I276" t="s">
        <v>2089</v>
      </c>
    </row>
    <row r="277" spans="2:9">
      <c r="B277" t="s">
        <v>2082</v>
      </c>
      <c r="C277" t="b">
        <v>1</v>
      </c>
      <c r="D277">
        <v>216.43281453746158</v>
      </c>
      <c r="E277">
        <v>7.5409321821325648E-2</v>
      </c>
      <c r="F277">
        <v>1.0878949485614089</v>
      </c>
      <c r="G277">
        <v>1.4608015983971934</v>
      </c>
      <c r="H277">
        <v>148.16030785764056</v>
      </c>
      <c r="I277" t="s">
        <v>2083</v>
      </c>
    </row>
    <row r="278" spans="2:9">
      <c r="B278" t="s">
        <v>2078</v>
      </c>
      <c r="C278" t="b">
        <v>1</v>
      </c>
      <c r="D278">
        <v>183.03457530919991</v>
      </c>
      <c r="E278">
        <v>0.73226235540096241</v>
      </c>
      <c r="F278">
        <v>1.2787988820129894</v>
      </c>
      <c r="G278" s="57">
        <v>2.5279707506896298</v>
      </c>
      <c r="H278">
        <v>72.403755169741629</v>
      </c>
      <c r="I278" t="s">
        <v>2079</v>
      </c>
    </row>
    <row r="279" spans="2:9">
      <c r="B279" t="s">
        <v>2074</v>
      </c>
      <c r="C279" t="b">
        <v>1</v>
      </c>
      <c r="D279">
        <v>96.763096899999937</v>
      </c>
      <c r="E279">
        <v>-1.070154597346118E-2</v>
      </c>
      <c r="F279">
        <v>0.35207051862533012</v>
      </c>
      <c r="G279">
        <v>0.51401903259269399</v>
      </c>
      <c r="H279">
        <v>188.24808181115449</v>
      </c>
      <c r="I279" t="s">
        <v>2075</v>
      </c>
    </row>
    <row r="280" spans="2:9">
      <c r="B280" t="s">
        <v>2094</v>
      </c>
      <c r="C280" t="b">
        <v>1</v>
      </c>
      <c r="D280">
        <v>-1252427839.0327451</v>
      </c>
      <c r="E280">
        <v>2.0775573145868975E-2</v>
      </c>
      <c r="F280">
        <v>-2.8870948918074409E-4</v>
      </c>
      <c r="G280">
        <v>-3.2135122954932626E-4</v>
      </c>
      <c r="H280">
        <v>3897379950246.937</v>
      </c>
      <c r="I280" t="s">
        <v>2095</v>
      </c>
    </row>
    <row r="281" spans="2:9">
      <c r="B281" t="s">
        <v>2076</v>
      </c>
      <c r="C281" t="b">
        <v>1</v>
      </c>
      <c r="D281">
        <v>80104985.742302805</v>
      </c>
      <c r="E281">
        <v>-232.86347798910487</v>
      </c>
      <c r="F281">
        <v>0.50688665148196732</v>
      </c>
      <c r="G281">
        <v>0.46587133990982865</v>
      </c>
      <c r="H281">
        <v>171946584.560895</v>
      </c>
      <c r="I281" t="s">
        <v>2077</v>
      </c>
    </row>
    <row r="282" spans="2:9">
      <c r="B282" t="s">
        <v>2092</v>
      </c>
      <c r="C282" t="b">
        <v>1</v>
      </c>
      <c r="D282">
        <v>0</v>
      </c>
      <c r="E282">
        <v>0</v>
      </c>
      <c r="F282">
        <v>0</v>
      </c>
      <c r="G282">
        <v>0</v>
      </c>
      <c r="H282">
        <v>0</v>
      </c>
      <c r="I282" t="s">
        <v>2093</v>
      </c>
    </row>
    <row r="283" spans="2:9">
      <c r="B283" t="s">
        <v>2090</v>
      </c>
      <c r="C283" t="b">
        <v>1</v>
      </c>
      <c r="D283">
        <v>0</v>
      </c>
      <c r="E283">
        <v>0</v>
      </c>
      <c r="F283">
        <v>0</v>
      </c>
      <c r="G283">
        <v>0</v>
      </c>
      <c r="H283">
        <v>0</v>
      </c>
      <c r="I283" t="s">
        <v>2091</v>
      </c>
    </row>
    <row r="284" spans="2:9">
      <c r="B284" t="s">
        <v>2086</v>
      </c>
      <c r="C284" t="b">
        <v>1</v>
      </c>
      <c r="D284">
        <v>0</v>
      </c>
      <c r="E284">
        <v>0</v>
      </c>
      <c r="F284">
        <v>0</v>
      </c>
      <c r="G284">
        <v>0</v>
      </c>
      <c r="H284">
        <v>0</v>
      </c>
      <c r="I284" t="s">
        <v>2087</v>
      </c>
    </row>
    <row r="285" spans="2:9">
      <c r="B285" t="s">
        <v>2098</v>
      </c>
      <c r="C285" t="b">
        <v>1</v>
      </c>
      <c r="D285">
        <v>0</v>
      </c>
      <c r="E285">
        <v>0</v>
      </c>
      <c r="F285">
        <v>0</v>
      </c>
      <c r="G285">
        <v>0</v>
      </c>
      <c r="H285">
        <v>0</v>
      </c>
      <c r="I285" t="s">
        <v>2099</v>
      </c>
    </row>
    <row r="286" spans="2:9">
      <c r="B286" t="s">
        <v>2084</v>
      </c>
      <c r="C286" t="b">
        <v>1</v>
      </c>
      <c r="D286">
        <v>93.442813474009654</v>
      </c>
      <c r="E286">
        <v>0.12951805765715108</v>
      </c>
      <c r="F286">
        <v>0.44621380661174559</v>
      </c>
      <c r="G286">
        <v>0.76450516748183361</v>
      </c>
      <c r="H286">
        <v>122.22652958880107</v>
      </c>
      <c r="I286" t="s">
        <v>2085</v>
      </c>
    </row>
    <row r="287" spans="2:9">
      <c r="B287" t="s">
        <v>2100</v>
      </c>
      <c r="C287" t="b">
        <v>1</v>
      </c>
      <c r="D287">
        <v>1167953961.1568065</v>
      </c>
      <c r="E287">
        <v>0</v>
      </c>
      <c r="F287">
        <v>4.6521888638946738</v>
      </c>
      <c r="G287" s="57">
        <v>5.1672925197961428</v>
      </c>
      <c r="H287">
        <v>226028225.9388876</v>
      </c>
      <c r="I287" t="s">
        <v>2101</v>
      </c>
    </row>
    <row r="288" spans="2:9">
      <c r="B288" t="s">
        <v>2096</v>
      </c>
      <c r="C288" t="b">
        <v>1</v>
      </c>
      <c r="D288">
        <v>-138.29241215751836</v>
      </c>
      <c r="E288">
        <v>-0.80648395172011078</v>
      </c>
      <c r="F288">
        <v>-0.94193524990327737</v>
      </c>
      <c r="G288" s="57">
        <v>-2.5774684257236951</v>
      </c>
      <c r="H288">
        <v>53.654357421929994</v>
      </c>
      <c r="I288" t="s">
        <v>2097</v>
      </c>
    </row>
    <row r="289" spans="2:9">
      <c r="B289" t="s">
        <v>2080</v>
      </c>
      <c r="C289" t="b">
        <v>1</v>
      </c>
      <c r="D289">
        <v>-24.774095871479972</v>
      </c>
      <c r="E289">
        <v>3.4821368298139532E-2</v>
      </c>
      <c r="F289">
        <v>-0.24160457003483762</v>
      </c>
      <c r="G289">
        <v>-0.37353546095635121</v>
      </c>
      <c r="H289">
        <v>66.323277067327496</v>
      </c>
      <c r="I289" t="s">
        <v>2081</v>
      </c>
    </row>
    <row r="290" spans="2:9">
      <c r="B290" t="s">
        <v>2104</v>
      </c>
      <c r="C290" t="b">
        <v>1</v>
      </c>
      <c r="D290">
        <v>-7.9016899690032005E-9</v>
      </c>
      <c r="E290">
        <v>-3.637978807091713E-12</v>
      </c>
      <c r="F290">
        <v>-9.9165422046747262E-17</v>
      </c>
      <c r="G290">
        <v>-9.9165422046747262E-17</v>
      </c>
      <c r="H290">
        <v>79681907.321266577</v>
      </c>
      <c r="I290" t="s">
        <v>2105</v>
      </c>
    </row>
    <row r="291" spans="2:9">
      <c r="B291" t="s">
        <v>2114</v>
      </c>
      <c r="C291" t="b">
        <v>1</v>
      </c>
      <c r="D291">
        <v>-4.3653726748877643E-30</v>
      </c>
      <c r="E291">
        <v>-4.3653726748877643E-30</v>
      </c>
      <c r="F291">
        <v>-4.3653726748877639E-26</v>
      </c>
      <c r="G291">
        <v>-4.3653726748877639E-26</v>
      </c>
      <c r="H291">
        <v>1.609888453989695E-13</v>
      </c>
      <c r="I291" t="s">
        <v>2115</v>
      </c>
    </row>
    <row r="292" spans="2:9">
      <c r="B292" t="s">
        <v>2108</v>
      </c>
      <c r="C292" t="b">
        <v>1</v>
      </c>
      <c r="D292">
        <v>-1.134130968726847E-30</v>
      </c>
      <c r="E292">
        <v>-1.2163895429941258E-30</v>
      </c>
      <c r="F292">
        <v>-1.1341309687268469E-26</v>
      </c>
      <c r="G292">
        <v>-1.1341309687268469E-26</v>
      </c>
      <c r="H292">
        <v>1.3610405012652026E-31</v>
      </c>
      <c r="I292" t="s">
        <v>2109</v>
      </c>
    </row>
    <row r="293" spans="2:9">
      <c r="B293" t="s">
        <v>2120</v>
      </c>
      <c r="C293" t="b">
        <v>1</v>
      </c>
      <c r="D293">
        <v>1.5484573365136016E-29</v>
      </c>
      <c r="E293">
        <v>1.5484573365136016E-29</v>
      </c>
      <c r="F293">
        <v>1.5484573365136016E-25</v>
      </c>
      <c r="G293">
        <v>1.5484573365136016E-25</v>
      </c>
      <c r="H293">
        <v>5.710494322487542E-13</v>
      </c>
      <c r="I293" t="s">
        <v>2121</v>
      </c>
    </row>
    <row r="294" spans="2:9">
      <c r="B294" t="s">
        <v>2118</v>
      </c>
      <c r="C294" t="b">
        <v>1</v>
      </c>
      <c r="D294">
        <v>-192.01313463659642</v>
      </c>
      <c r="E294">
        <v>0</v>
      </c>
      <c r="F294">
        <v>-0.75345459444891116</v>
      </c>
      <c r="G294">
        <v>-0.96892734910329259</v>
      </c>
      <c r="H294">
        <v>198.1708275798982</v>
      </c>
      <c r="I294" t="s">
        <v>2119</v>
      </c>
    </row>
    <row r="295" spans="2:9">
      <c r="B295" t="s">
        <v>2124</v>
      </c>
      <c r="C295" t="b">
        <v>1</v>
      </c>
      <c r="D295">
        <v>4746409.5437783003</v>
      </c>
      <c r="E295">
        <v>377668.10610219836</v>
      </c>
      <c r="F295">
        <v>6.4317012225161577E-7</v>
      </c>
      <c r="G295">
        <v>6.4317012224770904E-7</v>
      </c>
      <c r="H295">
        <v>7379710872126.4248</v>
      </c>
      <c r="I295" t="s">
        <v>2125</v>
      </c>
    </row>
    <row r="296" spans="2:9">
      <c r="B296" t="s">
        <v>2132</v>
      </c>
      <c r="C296" t="b">
        <v>1</v>
      </c>
      <c r="D296">
        <v>4497.7011111170068</v>
      </c>
      <c r="E296">
        <v>0.57490745040558977</v>
      </c>
      <c r="F296">
        <v>7.2459560378287427E-10</v>
      </c>
      <c r="G296">
        <v>7.2459560378287427E-10</v>
      </c>
      <c r="H296">
        <v>6207187964757.1631</v>
      </c>
      <c r="I296" t="s">
        <v>2133</v>
      </c>
    </row>
    <row r="297" spans="2:9">
      <c r="B297" t="s">
        <v>2112</v>
      </c>
      <c r="C297" t="b">
        <v>1</v>
      </c>
      <c r="D297">
        <v>-61199254.70526319</v>
      </c>
      <c r="E297">
        <v>347870.97476099536</v>
      </c>
      <c r="F297">
        <v>-8.1772954181069046E-6</v>
      </c>
      <c r="G297">
        <v>-8.4484848561307385E-6</v>
      </c>
      <c r="H297">
        <v>7243814216090.2686</v>
      </c>
      <c r="I297" t="s">
        <v>2113</v>
      </c>
    </row>
    <row r="298" spans="2:9">
      <c r="B298" t="s">
        <v>2116</v>
      </c>
      <c r="C298" t="b">
        <v>1</v>
      </c>
      <c r="D298">
        <v>-4473.6353952112804</v>
      </c>
      <c r="E298">
        <v>3.637978807091713E-12</v>
      </c>
      <c r="F298">
        <v>-7.6092552775776242E-9</v>
      </c>
      <c r="G298">
        <v>-6.9367026124963447E-9</v>
      </c>
      <c r="H298">
        <v>644922471831.51648</v>
      </c>
      <c r="I298" t="s">
        <v>2117</v>
      </c>
    </row>
    <row r="299" spans="2:9">
      <c r="B299" t="s">
        <v>2110</v>
      </c>
      <c r="C299" t="b">
        <v>1</v>
      </c>
      <c r="D299">
        <v>45.818856954372507</v>
      </c>
      <c r="E299">
        <v>-2.8421709430404007E-14</v>
      </c>
      <c r="F299">
        <v>2.0040141527195989</v>
      </c>
      <c r="G299">
        <v>2.0040141527976933</v>
      </c>
      <c r="H299">
        <v>22.863539606448057</v>
      </c>
      <c r="I299" t="s">
        <v>2111</v>
      </c>
    </row>
    <row r="300" spans="2:9">
      <c r="B300" t="s">
        <v>2126</v>
      </c>
      <c r="C300" t="b">
        <v>1</v>
      </c>
      <c r="D300">
        <v>-0.59952323446850642</v>
      </c>
      <c r="E300">
        <v>-0.60004592877885443</v>
      </c>
      <c r="F300">
        <v>-8.1239393382695262E-14</v>
      </c>
      <c r="G300">
        <v>-8.1239393382695262E-14</v>
      </c>
      <c r="H300">
        <v>7379710870615.7617</v>
      </c>
      <c r="I300" t="s">
        <v>2127</v>
      </c>
    </row>
    <row r="301" spans="2:9">
      <c r="B301" t="s">
        <v>2106</v>
      </c>
      <c r="C301" t="b">
        <v>1</v>
      </c>
      <c r="D301">
        <v>218.30680907999999</v>
      </c>
      <c r="E301">
        <v>1.5509944279260996E-49</v>
      </c>
      <c r="F301">
        <v>11628.54842137991</v>
      </c>
      <c r="G301" s="57">
        <v>4.0670493844386506</v>
      </c>
      <c r="H301">
        <v>53.676950645174301</v>
      </c>
      <c r="I301" t="s">
        <v>2107</v>
      </c>
    </row>
    <row r="302" spans="2:9">
      <c r="B302" t="s">
        <v>2122</v>
      </c>
      <c r="C302" t="b">
        <v>1</v>
      </c>
      <c r="D302">
        <v>198.96076692</v>
      </c>
      <c r="E302">
        <v>0.17109682112532337</v>
      </c>
      <c r="F302">
        <v>4</v>
      </c>
      <c r="G302" s="57">
        <v>4.0670493844386506</v>
      </c>
      <c r="H302">
        <v>48.92017482779135</v>
      </c>
      <c r="I302" t="s">
        <v>2123</v>
      </c>
    </row>
    <row r="303" spans="2:9">
      <c r="B303" t="s">
        <v>2134</v>
      </c>
      <c r="C303" t="b">
        <v>1</v>
      </c>
      <c r="D303">
        <v>-153313.84051781922</v>
      </c>
      <c r="E303">
        <v>-97.688189657640294</v>
      </c>
      <c r="F303">
        <v>-48.950246850152482</v>
      </c>
      <c r="G303" s="57">
        <v>-47.510440227942937</v>
      </c>
      <c r="H303">
        <v>3226.9505351299345</v>
      </c>
      <c r="I303" t="s">
        <v>2135</v>
      </c>
    </row>
    <row r="304" spans="2:9">
      <c r="B304" t="s">
        <v>2128</v>
      </c>
      <c r="C304" t="b">
        <v>1</v>
      </c>
      <c r="D304">
        <v>31988184.394997954</v>
      </c>
      <c r="E304">
        <v>-7.2759576141834259E-12</v>
      </c>
      <c r="F304">
        <v>1.1758429686473975</v>
      </c>
      <c r="G304">
        <v>1.1616066309612161</v>
      </c>
      <c r="H304">
        <v>27537880.330906942</v>
      </c>
      <c r="I304" t="s">
        <v>2129</v>
      </c>
    </row>
    <row r="305" spans="2:9">
      <c r="B305" t="s">
        <v>2130</v>
      </c>
      <c r="C305" t="b">
        <v>1</v>
      </c>
      <c r="D305">
        <v>1.530438118353004</v>
      </c>
      <c r="E305">
        <v>0</v>
      </c>
      <c r="F305">
        <v>1.3798982556619144E-12</v>
      </c>
      <c r="G305">
        <v>1.3798897628362953E-12</v>
      </c>
      <c r="H305">
        <v>1109101726508.4016</v>
      </c>
      <c r="I305" t="s">
        <v>2131</v>
      </c>
    </row>
    <row r="306" spans="2:9">
      <c r="B306" t="s">
        <v>2138</v>
      </c>
      <c r="C306" t="b">
        <v>1</v>
      </c>
      <c r="D306">
        <v>-2.5203917175531387E-8</v>
      </c>
      <c r="E306">
        <v>3.637978807091713E-12</v>
      </c>
      <c r="F306">
        <v>-2.6497255307787136E-16</v>
      </c>
      <c r="G306">
        <v>-2.6497255307787136E-16</v>
      </c>
      <c r="H306">
        <v>95118973.20219557</v>
      </c>
      <c r="I306" t="s">
        <v>2139</v>
      </c>
    </row>
    <row r="307" spans="2:9">
      <c r="B307" t="s">
        <v>2140</v>
      </c>
      <c r="C307" t="b">
        <v>1</v>
      </c>
      <c r="D307">
        <v>-6.1119790188968182E-6</v>
      </c>
      <c r="E307">
        <v>0</v>
      </c>
      <c r="F307">
        <v>-8.3197958173986444E-14</v>
      </c>
      <c r="G307">
        <v>-8.3197958173986444E-14</v>
      </c>
      <c r="H307">
        <v>73463089.155568421</v>
      </c>
      <c r="I307" t="s">
        <v>2141</v>
      </c>
    </row>
    <row r="308" spans="2:9">
      <c r="B308" t="s">
        <v>2136</v>
      </c>
      <c r="C308" t="b">
        <v>1</v>
      </c>
      <c r="D308">
        <v>-2.9534110256063286</v>
      </c>
      <c r="E308">
        <v>-2.9532017737801652</v>
      </c>
      <c r="F308">
        <v>-3.6019151488273426E-13</v>
      </c>
      <c r="G308">
        <v>-3.6019151488273426E-13</v>
      </c>
      <c r="H308">
        <v>8199557467554.0479</v>
      </c>
      <c r="I308" t="s">
        <v>2137</v>
      </c>
    </row>
    <row r="309" spans="2:9">
      <c r="B309" t="s">
        <v>2144</v>
      </c>
      <c r="C309" t="b">
        <v>1</v>
      </c>
      <c r="D309">
        <v>-2424.4449064947585</v>
      </c>
      <c r="E309">
        <v>1.8189894035458565E-12</v>
      </c>
      <c r="F309">
        <v>-0.94732783919140007</v>
      </c>
      <c r="G309">
        <v>-0.94732783919964936</v>
      </c>
      <c r="H309">
        <v>2559.2459190717468</v>
      </c>
      <c r="I309" t="s">
        <v>2145</v>
      </c>
    </row>
    <row r="310" spans="2:9">
      <c r="B310" t="s">
        <v>2142</v>
      </c>
      <c r="C310" t="b">
        <v>1</v>
      </c>
      <c r="D310">
        <v>-602.93324608885519</v>
      </c>
      <c r="E310">
        <v>-95.173355848818517</v>
      </c>
      <c r="F310">
        <v>-1.0399053573300337E-10</v>
      </c>
      <c r="G310">
        <v>-1.0399053573300337E-10</v>
      </c>
      <c r="H310">
        <v>5797962688036.2617</v>
      </c>
      <c r="I310" t="s">
        <v>2143</v>
      </c>
    </row>
    <row r="311" spans="2:9">
      <c r="B311" t="s">
        <v>2146</v>
      </c>
      <c r="C311" t="b">
        <v>1</v>
      </c>
      <c r="D311">
        <v>153117.47692014568</v>
      </c>
      <c r="E311">
        <v>-98.675408015885068</v>
      </c>
      <c r="F311">
        <v>2.6408841373900894E-8</v>
      </c>
      <c r="G311">
        <v>2.6408841373900894E-8</v>
      </c>
      <c r="H311">
        <v>5797962688036.2617</v>
      </c>
      <c r="I311" t="s">
        <v>2147</v>
      </c>
    </row>
    <row r="312" spans="2:9">
      <c r="B312" t="s">
        <v>2166</v>
      </c>
      <c r="C312" t="b">
        <v>1</v>
      </c>
      <c r="D312">
        <v>47.890999999999849</v>
      </c>
      <c r="E312">
        <v>0</v>
      </c>
      <c r="F312">
        <v>0.10254262929924589</v>
      </c>
      <c r="G312">
        <v>0.48248795028811386</v>
      </c>
      <c r="H312">
        <v>99.258437379424947</v>
      </c>
      <c r="I312" t="s">
        <v>2167</v>
      </c>
    </row>
    <row r="313" spans="2:9">
      <c r="B313" t="s">
        <v>2154</v>
      </c>
      <c r="C313" t="b">
        <v>1</v>
      </c>
      <c r="D313">
        <v>1878.801797975806</v>
      </c>
      <c r="E313">
        <v>-2.2737367544323206E-13</v>
      </c>
      <c r="F313">
        <v>3.195168882816386</v>
      </c>
      <c r="G313" s="57">
        <v>3.9039266134815795</v>
      </c>
      <c r="H313">
        <v>481.25950715560782</v>
      </c>
      <c r="I313" t="s">
        <v>2155</v>
      </c>
    </row>
    <row r="314" spans="2:9">
      <c r="B314" t="s">
        <v>2148</v>
      </c>
      <c r="C314" t="b">
        <v>1</v>
      </c>
      <c r="D314">
        <v>-109.44373732419422</v>
      </c>
      <c r="E314">
        <v>-2.2737367544323206E-13</v>
      </c>
      <c r="F314">
        <v>-0.19147802824520538</v>
      </c>
      <c r="G314">
        <v>-0.222142131109896</v>
      </c>
      <c r="H314">
        <v>492.67438273584975</v>
      </c>
      <c r="I314" t="s">
        <v>2149</v>
      </c>
    </row>
    <row r="315" spans="2:9">
      <c r="B315" t="s">
        <v>2156</v>
      </c>
      <c r="C315" t="b">
        <v>1</v>
      </c>
      <c r="D315">
        <v>-1242.6064203962596</v>
      </c>
      <c r="E315">
        <v>0</v>
      </c>
      <c r="F315">
        <v>-0.48555104828070134</v>
      </c>
      <c r="G315">
        <v>-0.48555104844848629</v>
      </c>
      <c r="H315">
        <v>2559.1674127094216</v>
      </c>
      <c r="I315" t="s">
        <v>2157</v>
      </c>
    </row>
    <row r="316" spans="2:9">
      <c r="B316" t="s">
        <v>2152</v>
      </c>
      <c r="C316" t="b">
        <v>1</v>
      </c>
      <c r="D316">
        <v>87.133259495199354</v>
      </c>
      <c r="E316">
        <v>2.2737367544323206E-13</v>
      </c>
      <c r="F316">
        <v>0.29164843387455419</v>
      </c>
      <c r="G316">
        <v>0.68719072214094334</v>
      </c>
      <c r="H316">
        <v>126.79632696980484</v>
      </c>
      <c r="I316" t="s">
        <v>2153</v>
      </c>
    </row>
    <row r="317" spans="2:9">
      <c r="B317" t="s">
        <v>2150</v>
      </c>
      <c r="C317" t="b">
        <v>1</v>
      </c>
      <c r="D317">
        <v>13349.173848826038</v>
      </c>
      <c r="E317">
        <v>4.374111995275598E-6</v>
      </c>
      <c r="F317">
        <v>1.8436136190591937E-7</v>
      </c>
      <c r="G317">
        <v>1.134747862021934E-7</v>
      </c>
      <c r="H317">
        <v>117640000000.00006</v>
      </c>
      <c r="I317" t="s">
        <v>2151</v>
      </c>
    </row>
    <row r="318" spans="2:9">
      <c r="B318" t="s">
        <v>2164</v>
      </c>
      <c r="C318" t="b">
        <v>1</v>
      </c>
      <c r="D318">
        <v>3084.6209268256644</v>
      </c>
      <c r="E318">
        <v>1.1428532598074526E-3</v>
      </c>
      <c r="F318">
        <v>1.8865812150831623E-9</v>
      </c>
      <c r="G318">
        <v>1.9540862696220793E-9</v>
      </c>
      <c r="H318">
        <v>1578549000000.0002</v>
      </c>
      <c r="I318" t="s">
        <v>2165</v>
      </c>
    </row>
    <row r="319" spans="2:9">
      <c r="B319" t="s">
        <v>2162</v>
      </c>
      <c r="C319" t="b">
        <v>1</v>
      </c>
      <c r="D319">
        <v>1208.5781677212435</v>
      </c>
      <c r="E319">
        <v>4.0436134440824389E-9</v>
      </c>
      <c r="F319">
        <v>2.3112107046582272E-9</v>
      </c>
      <c r="G319">
        <v>3.031606606747274E-9</v>
      </c>
      <c r="H319">
        <v>398659300000</v>
      </c>
      <c r="I319" t="s">
        <v>2163</v>
      </c>
    </row>
    <row r="320" spans="2:9">
      <c r="B320" t="s">
        <v>2160</v>
      </c>
      <c r="C320" t="b">
        <v>1</v>
      </c>
      <c r="D320">
        <v>-2.8069355757907033E-2</v>
      </c>
      <c r="E320">
        <v>1.3863040076103061E-3</v>
      </c>
      <c r="F320">
        <v>-1.2667669911732628E-14</v>
      </c>
      <c r="G320">
        <v>-1.2667665732887555E-14</v>
      </c>
      <c r="H320">
        <v>2215827000000</v>
      </c>
      <c r="I320" t="s">
        <v>2161</v>
      </c>
    </row>
    <row r="321" spans="2:9">
      <c r="B321" t="s">
        <v>2158</v>
      </c>
      <c r="C321" t="b">
        <v>1</v>
      </c>
      <c r="D321">
        <v>-4.9749541009077802E-2</v>
      </c>
      <c r="E321">
        <v>1.1688685044646263E-3</v>
      </c>
      <c r="F321">
        <v>-2.9524476375931606E-14</v>
      </c>
      <c r="G321">
        <v>-2.9524459539590902E-14</v>
      </c>
      <c r="H321">
        <v>1685028000000.0007</v>
      </c>
      <c r="I321" t="s">
        <v>2159</v>
      </c>
    </row>
    <row r="322" spans="2:9">
      <c r="B322" t="s">
        <v>2170</v>
      </c>
      <c r="C322" t="b">
        <v>1</v>
      </c>
      <c r="D322">
        <v>0.81864869999981238</v>
      </c>
      <c r="E322">
        <v>0</v>
      </c>
      <c r="F322">
        <v>2.1739158658722409E-3</v>
      </c>
      <c r="G322">
        <v>7.7397735893292149E-3</v>
      </c>
      <c r="H322">
        <v>105.77165992665199</v>
      </c>
      <c r="I322" t="s">
        <v>2171</v>
      </c>
    </row>
    <row r="323" spans="2:9">
      <c r="B323" t="s">
        <v>2180</v>
      </c>
      <c r="C323" t="b">
        <v>1</v>
      </c>
      <c r="D323">
        <v>7954.7997772000017</v>
      </c>
      <c r="E323">
        <v>-7.2759576141834259E-12</v>
      </c>
      <c r="F323">
        <v>0.48270007121562236</v>
      </c>
      <c r="G323">
        <v>0.48270007126288789</v>
      </c>
      <c r="H323">
        <v>16479.798224159909</v>
      </c>
      <c r="I323" t="s">
        <v>2181</v>
      </c>
    </row>
    <row r="324" spans="2:9">
      <c r="B324" t="s">
        <v>2174</v>
      </c>
      <c r="C324" t="b">
        <v>1</v>
      </c>
      <c r="D324">
        <v>0</v>
      </c>
      <c r="E324">
        <v>0</v>
      </c>
      <c r="F324">
        <v>0</v>
      </c>
      <c r="G324">
        <v>0</v>
      </c>
      <c r="H324">
        <v>0</v>
      </c>
      <c r="I324" t="s">
        <v>2175</v>
      </c>
    </row>
    <row r="325" spans="2:9">
      <c r="B325" t="s">
        <v>2172</v>
      </c>
      <c r="C325" t="b">
        <v>1</v>
      </c>
      <c r="D325">
        <v>0</v>
      </c>
      <c r="E325">
        <v>0</v>
      </c>
      <c r="F325">
        <v>0</v>
      </c>
      <c r="G325">
        <v>0</v>
      </c>
      <c r="H325">
        <v>0</v>
      </c>
      <c r="I325" t="s">
        <v>2173</v>
      </c>
    </row>
    <row r="326" spans="2:9">
      <c r="B326" t="s">
        <v>2168</v>
      </c>
      <c r="C326" t="b">
        <v>1</v>
      </c>
      <c r="D326">
        <v>-45.360999999999876</v>
      </c>
      <c r="E326">
        <v>-4.5474735088646412E-13</v>
      </c>
      <c r="F326">
        <v>-0.14195170029255483</v>
      </c>
      <c r="G326">
        <v>-0.45699893326552266</v>
      </c>
      <c r="H326">
        <v>99.258437379424933</v>
      </c>
      <c r="I326" t="s">
        <v>2169</v>
      </c>
    </row>
    <row r="327" spans="2:9">
      <c r="B327" t="s">
        <v>2182</v>
      </c>
      <c r="C327" t="b">
        <v>1</v>
      </c>
      <c r="D327">
        <v>-6886.3424337536271</v>
      </c>
      <c r="E327">
        <v>0</v>
      </c>
      <c r="F327">
        <v>-0.44172897002720551</v>
      </c>
      <c r="G327">
        <v>-0.44172897458660537</v>
      </c>
      <c r="H327">
        <v>15589.519433716683</v>
      </c>
      <c r="I327" t="s">
        <v>2183</v>
      </c>
    </row>
    <row r="328" spans="2:9">
      <c r="B328" t="s">
        <v>2176</v>
      </c>
      <c r="C328" t="b">
        <v>1</v>
      </c>
      <c r="D328">
        <v>22.774154700000054</v>
      </c>
      <c r="E328">
        <v>-4.5474735088646412E-13</v>
      </c>
      <c r="F328">
        <v>8.8001109230069943E-2</v>
      </c>
      <c r="G328">
        <v>0.30935605281133827</v>
      </c>
      <c r="H328">
        <v>73.617937948959224</v>
      </c>
      <c r="I328" t="s">
        <v>2177</v>
      </c>
    </row>
    <row r="329" spans="2:9">
      <c r="B329" t="s">
        <v>2184</v>
      </c>
      <c r="C329" t="b">
        <v>1</v>
      </c>
      <c r="D329">
        <v>-7954.7901683232449</v>
      </c>
      <c r="E329">
        <v>0</v>
      </c>
      <c r="F329">
        <v>-1.1757261706859807</v>
      </c>
      <c r="G329">
        <v>-1.1757261718659364</v>
      </c>
      <c r="H329">
        <v>6765.8527628917145</v>
      </c>
      <c r="I329" t="s">
        <v>2185</v>
      </c>
    </row>
    <row r="330" spans="2:9">
      <c r="B330" t="s">
        <v>2188</v>
      </c>
      <c r="C330" t="b">
        <v>1</v>
      </c>
      <c r="D330">
        <v>2.9103830456733704E-11</v>
      </c>
      <c r="E330">
        <v>2.9103830456733704E-11</v>
      </c>
      <c r="F330">
        <v>1.8149427032873187E-19</v>
      </c>
      <c r="G330">
        <v>1.8149427032873187E-19</v>
      </c>
      <c r="H330">
        <v>160356745.16897604</v>
      </c>
      <c r="I330" t="s">
        <v>2189</v>
      </c>
    </row>
    <row r="331" spans="2:9">
      <c r="B331" t="s">
        <v>2186</v>
      </c>
      <c r="C331" t="b">
        <v>1</v>
      </c>
      <c r="D331">
        <v>-5.8207660913467407E-11</v>
      </c>
      <c r="E331">
        <v>-5.8207660913467407E-11</v>
      </c>
      <c r="F331">
        <v>-5.5220635651446381E-19</v>
      </c>
      <c r="G331">
        <v>-5.5220635651446381E-19</v>
      </c>
      <c r="H331">
        <v>105409255.48353913</v>
      </c>
      <c r="I331" t="s">
        <v>2187</v>
      </c>
    </row>
    <row r="332" spans="2:9">
      <c r="B332" t="s">
        <v>2178</v>
      </c>
      <c r="C332" t="b">
        <v>1</v>
      </c>
      <c r="D332">
        <v>7.309629800147377E-3</v>
      </c>
      <c r="E332">
        <v>3.637978807091713E-12</v>
      </c>
      <c r="F332">
        <v>4.1458249587016282E-7</v>
      </c>
      <c r="G332">
        <v>4.1458249592160334E-7</v>
      </c>
      <c r="H332">
        <v>17631.303472903044</v>
      </c>
      <c r="I332" t="s">
        <v>2179</v>
      </c>
    </row>
    <row r="333" spans="2:9">
      <c r="B333" t="s">
        <v>2192</v>
      </c>
      <c r="C333" t="b">
        <v>1</v>
      </c>
      <c r="D333">
        <v>0</v>
      </c>
      <c r="E333">
        <v>0</v>
      </c>
      <c r="F333">
        <v>0</v>
      </c>
      <c r="G333">
        <v>0</v>
      </c>
      <c r="H333">
        <v>44721359549.995811</v>
      </c>
      <c r="I333" t="s">
        <v>2193</v>
      </c>
    </row>
    <row r="334" spans="2:9">
      <c r="B334" t="s">
        <v>2190</v>
      </c>
      <c r="C334" t="b">
        <v>1</v>
      </c>
      <c r="D334">
        <v>3.3195960467221399E-32</v>
      </c>
      <c r="E334">
        <v>3.3195960467221399E-32</v>
      </c>
      <c r="F334">
        <v>3.3195960467221399E-28</v>
      </c>
      <c r="G334">
        <v>3.3195960467221399E-28</v>
      </c>
      <c r="H334">
        <v>0</v>
      </c>
      <c r="I334" t="s">
        <v>2191</v>
      </c>
    </row>
    <row r="335" spans="2:9">
      <c r="B335" t="s">
        <v>2198</v>
      </c>
      <c r="C335" t="b">
        <v>1</v>
      </c>
      <c r="D335">
        <v>2.2737367544323206E-13</v>
      </c>
      <c r="E335">
        <v>2.2737367544323206E-13</v>
      </c>
      <c r="F335">
        <v>5.0842299458504142E-24</v>
      </c>
      <c r="G335">
        <v>5.0842299458504142E-24</v>
      </c>
      <c r="H335">
        <v>44721359549.995804</v>
      </c>
      <c r="I335" t="s">
        <v>2199</v>
      </c>
    </row>
    <row r="336" spans="2:9">
      <c r="B336" t="s">
        <v>2194</v>
      </c>
      <c r="C336" t="b">
        <v>1</v>
      </c>
      <c r="D336">
        <v>-3.5199002841022577E-31</v>
      </c>
      <c r="E336">
        <v>-3.5199002841022577E-31</v>
      </c>
      <c r="F336">
        <v>-3.5199002841022577E-27</v>
      </c>
      <c r="G336">
        <v>-3.5199002841022577E-27</v>
      </c>
      <c r="H336">
        <v>0</v>
      </c>
      <c r="I336" t="s">
        <v>2195</v>
      </c>
    </row>
    <row r="337" spans="2:9">
      <c r="B337" t="s">
        <v>2200</v>
      </c>
      <c r="C337" t="b">
        <v>1</v>
      </c>
      <c r="D337">
        <v>1.1368683772161603E-13</v>
      </c>
      <c r="E337">
        <v>1.1368683772161603E-13</v>
      </c>
      <c r="F337">
        <v>8.9347082376260483E-22</v>
      </c>
      <c r="G337">
        <v>8.9347082376260483E-22</v>
      </c>
      <c r="H337">
        <v>127241802.0801792</v>
      </c>
      <c r="I337" t="s">
        <v>2201</v>
      </c>
    </row>
    <row r="338" spans="2:9">
      <c r="B338" t="s">
        <v>2218</v>
      </c>
      <c r="C338" t="b">
        <v>1</v>
      </c>
      <c r="D338">
        <v>2424.4449064947585</v>
      </c>
      <c r="E338">
        <v>-1.8189894035458565E-12</v>
      </c>
      <c r="F338">
        <v>2.004014152719598</v>
      </c>
      <c r="G338">
        <v>2.0040141527976925</v>
      </c>
      <c r="H338">
        <v>1209.7943036530585</v>
      </c>
      <c r="I338" t="s">
        <v>2219</v>
      </c>
    </row>
    <row r="339" spans="2:9">
      <c r="B339" t="s">
        <v>2196</v>
      </c>
      <c r="C339" t="b">
        <v>1</v>
      </c>
      <c r="D339">
        <v>-1.7968341126106679E-7</v>
      </c>
      <c r="E339">
        <v>0</v>
      </c>
      <c r="F339">
        <v>-2.2550089135581217E-15</v>
      </c>
      <c r="G339">
        <v>-2.2550089135581217E-15</v>
      </c>
      <c r="H339">
        <v>79681907.322285861</v>
      </c>
      <c r="I339" t="s">
        <v>2197</v>
      </c>
    </row>
    <row r="340" spans="2:9">
      <c r="B340" t="s">
        <v>2214</v>
      </c>
      <c r="C340" t="b">
        <v>1</v>
      </c>
      <c r="D340">
        <v>0</v>
      </c>
      <c r="E340">
        <v>0</v>
      </c>
      <c r="F340">
        <v>0</v>
      </c>
      <c r="G340">
        <v>0</v>
      </c>
      <c r="H340">
        <v>2342.7390206139448</v>
      </c>
      <c r="I340" t="s">
        <v>2215</v>
      </c>
    </row>
    <row r="341" spans="2:9">
      <c r="B341" t="s">
        <v>2216</v>
      </c>
      <c r="C341" t="b">
        <v>1</v>
      </c>
      <c r="D341">
        <v>-8.3917198671429531E-30</v>
      </c>
      <c r="E341">
        <v>-8.3917198671429531E-30</v>
      </c>
      <c r="F341">
        <v>-8.3917198671429526E-26</v>
      </c>
      <c r="G341">
        <v>-8.3917198671429526E-26</v>
      </c>
      <c r="H341">
        <v>3.0947490465007593E-13</v>
      </c>
      <c r="I341" t="s">
        <v>2217</v>
      </c>
    </row>
    <row r="342" spans="2:9">
      <c r="B342" t="s">
        <v>2202</v>
      </c>
      <c r="C342" t="b">
        <v>1</v>
      </c>
      <c r="D342">
        <v>0</v>
      </c>
      <c r="E342">
        <v>0</v>
      </c>
      <c r="F342">
        <v>0</v>
      </c>
      <c r="G342">
        <v>0</v>
      </c>
      <c r="H342">
        <v>0</v>
      </c>
      <c r="I342" t="s">
        <v>2203</v>
      </c>
    </row>
    <row r="343" spans="2:9">
      <c r="B343" t="s">
        <v>2208</v>
      </c>
      <c r="C343" t="b">
        <v>1</v>
      </c>
      <c r="D343">
        <v>-364.3162009476714</v>
      </c>
      <c r="E343">
        <v>0</v>
      </c>
      <c r="F343">
        <v>-0.67034807452588785</v>
      </c>
      <c r="G343">
        <v>-0.79151576623101227</v>
      </c>
      <c r="H343">
        <v>460.27661922951745</v>
      </c>
      <c r="I343" t="s">
        <v>2209</v>
      </c>
    </row>
    <row r="344" spans="2:9">
      <c r="B344" t="s">
        <v>2210</v>
      </c>
      <c r="C344" t="b">
        <v>1</v>
      </c>
      <c r="D344">
        <v>473.75993827186534</v>
      </c>
      <c r="E344">
        <v>0</v>
      </c>
      <c r="F344">
        <v>2.8493846859007697</v>
      </c>
      <c r="G344" s="57">
        <v>2.8733651147316883</v>
      </c>
      <c r="H344">
        <v>164.87982534586612</v>
      </c>
      <c r="I344" t="s">
        <v>2211</v>
      </c>
    </row>
    <row r="345" spans="2:9">
      <c r="B345" t="s">
        <v>2206</v>
      </c>
      <c r="C345" t="b">
        <v>1</v>
      </c>
      <c r="D345">
        <v>6321.51100489487</v>
      </c>
      <c r="E345">
        <v>0</v>
      </c>
      <c r="F345">
        <v>0.38551866099124071</v>
      </c>
      <c r="G345">
        <v>0.38551866455951367</v>
      </c>
      <c r="H345">
        <v>16397.41881788709</v>
      </c>
      <c r="I345" t="s">
        <v>2207</v>
      </c>
    </row>
    <row r="346" spans="2:9">
      <c r="B346" t="s">
        <v>2204</v>
      </c>
      <c r="C346" t="b">
        <v>1</v>
      </c>
      <c r="D346">
        <v>0</v>
      </c>
      <c r="E346">
        <v>0</v>
      </c>
      <c r="F346">
        <v>0</v>
      </c>
      <c r="G346">
        <v>0</v>
      </c>
      <c r="H346">
        <v>18264.101875853543</v>
      </c>
      <c r="I346" t="s">
        <v>2205</v>
      </c>
    </row>
    <row r="347" spans="2:9">
      <c r="B347" t="s">
        <v>2212</v>
      </c>
      <c r="C347" t="b">
        <v>1</v>
      </c>
      <c r="D347">
        <v>21.674749887739381</v>
      </c>
      <c r="E347">
        <v>0</v>
      </c>
      <c r="F347">
        <v>8.4662136339905686E-3</v>
      </c>
      <c r="G347">
        <v>8.4662484488252625E-3</v>
      </c>
      <c r="H347">
        <v>2560.1362892612569</v>
      </c>
      <c r="I347" t="s">
        <v>2213</v>
      </c>
    </row>
    <row r="348" spans="2:9">
      <c r="B348" t="s">
        <v>2226</v>
      </c>
      <c r="C348" t="b">
        <v>1</v>
      </c>
      <c r="D348">
        <v>0</v>
      </c>
      <c r="E348">
        <v>0</v>
      </c>
      <c r="F348">
        <v>0</v>
      </c>
      <c r="G348">
        <v>0</v>
      </c>
      <c r="H348">
        <v>44721359549.995811</v>
      </c>
      <c r="I348" t="s">
        <v>2227</v>
      </c>
    </row>
    <row r="349" spans="2:9">
      <c r="B349" t="s">
        <v>2220</v>
      </c>
      <c r="C349" t="b">
        <v>1</v>
      </c>
      <c r="D349">
        <v>0</v>
      </c>
      <c r="E349">
        <v>0</v>
      </c>
      <c r="F349">
        <v>0</v>
      </c>
      <c r="G349">
        <v>0</v>
      </c>
      <c r="H349">
        <v>44721359549.995804</v>
      </c>
      <c r="I349" t="s">
        <v>2221</v>
      </c>
    </row>
    <row r="350" spans="2:9">
      <c r="B350" t="s">
        <v>2230</v>
      </c>
      <c r="C350" t="b">
        <v>1</v>
      </c>
      <c r="D350">
        <v>0</v>
      </c>
      <c r="E350">
        <v>0</v>
      </c>
      <c r="F350">
        <v>0</v>
      </c>
      <c r="G350">
        <v>0</v>
      </c>
      <c r="H350">
        <v>0</v>
      </c>
      <c r="I350" t="s">
        <v>2231</v>
      </c>
    </row>
    <row r="351" spans="2:9">
      <c r="B351" t="s">
        <v>2224</v>
      </c>
      <c r="C351" t="b">
        <v>1</v>
      </c>
      <c r="D351">
        <v>0</v>
      </c>
      <c r="E351">
        <v>0</v>
      </c>
      <c r="F351">
        <v>0</v>
      </c>
      <c r="G351">
        <v>0</v>
      </c>
      <c r="H351">
        <v>44721359549.995796</v>
      </c>
      <c r="I351" t="s">
        <v>2225</v>
      </c>
    </row>
    <row r="352" spans="2:9">
      <c r="B352" t="s">
        <v>2222</v>
      </c>
      <c r="C352" t="b">
        <v>1</v>
      </c>
      <c r="D352">
        <v>0</v>
      </c>
      <c r="E352">
        <v>0</v>
      </c>
      <c r="F352">
        <v>0</v>
      </c>
      <c r="G352">
        <v>0</v>
      </c>
      <c r="H352">
        <v>0</v>
      </c>
      <c r="I352" t="s">
        <v>2223</v>
      </c>
    </row>
    <row r="353" spans="2:9">
      <c r="B353" t="s">
        <v>2242</v>
      </c>
      <c r="C353" t="b">
        <v>1</v>
      </c>
      <c r="D353">
        <v>0</v>
      </c>
      <c r="E353">
        <v>0</v>
      </c>
      <c r="F353">
        <v>0</v>
      </c>
      <c r="G353">
        <v>0</v>
      </c>
      <c r="H353">
        <v>0</v>
      </c>
      <c r="I353" t="s">
        <v>2243</v>
      </c>
    </row>
    <row r="354" spans="2:9">
      <c r="B354" t="s">
        <v>2244</v>
      </c>
      <c r="C354" t="b">
        <v>1</v>
      </c>
      <c r="D354">
        <v>5.7777898331617076E-31</v>
      </c>
      <c r="E354">
        <v>5.7777898331617076E-31</v>
      </c>
      <c r="F354">
        <v>5.7777898331617076E-27</v>
      </c>
      <c r="G354">
        <v>5.7777898331617076E-27</v>
      </c>
      <c r="H354">
        <v>0</v>
      </c>
      <c r="I354" t="s">
        <v>2245</v>
      </c>
    </row>
    <row r="355" spans="2:9">
      <c r="B355" t="s">
        <v>2228</v>
      </c>
      <c r="C355" t="b">
        <v>1</v>
      </c>
      <c r="D355">
        <v>-3.3195960467221399E-32</v>
      </c>
      <c r="E355">
        <v>-3.3195960467221399E-32</v>
      </c>
      <c r="F355">
        <v>-3.3195960467221399E-28</v>
      </c>
      <c r="G355">
        <v>-3.3195960467221399E-28</v>
      </c>
      <c r="H355">
        <v>0</v>
      </c>
      <c r="I355" t="s">
        <v>2229</v>
      </c>
    </row>
    <row r="356" spans="2:9">
      <c r="B356" t="s">
        <v>2240</v>
      </c>
      <c r="C356" t="b">
        <v>1</v>
      </c>
      <c r="D356">
        <v>-460.4</v>
      </c>
      <c r="E356">
        <v>-3.8036782780499559E-46</v>
      </c>
      <c r="F356">
        <v>-10</v>
      </c>
      <c r="G356" s="57">
        <v>-4604000</v>
      </c>
      <c r="H356">
        <v>0</v>
      </c>
      <c r="I356" t="s">
        <v>2241</v>
      </c>
    </row>
    <row r="357" spans="2:9">
      <c r="B357" t="s">
        <v>2232</v>
      </c>
      <c r="C357" t="b">
        <v>1</v>
      </c>
      <c r="D357">
        <v>0</v>
      </c>
      <c r="E357">
        <v>0</v>
      </c>
      <c r="F357">
        <v>0</v>
      </c>
      <c r="G357">
        <v>0</v>
      </c>
      <c r="H357">
        <v>0</v>
      </c>
      <c r="I357" t="s">
        <v>2233</v>
      </c>
    </row>
    <row r="358" spans="2:9">
      <c r="B358" t="s">
        <v>2238</v>
      </c>
      <c r="C358" t="b">
        <v>1</v>
      </c>
      <c r="D358">
        <v>-2.2737367544323206E-13</v>
      </c>
      <c r="E358">
        <v>-2.2737367544323206E-13</v>
      </c>
      <c r="F358">
        <v>-5.084229945850415E-24</v>
      </c>
      <c r="G358">
        <v>-5.084229945850415E-24</v>
      </c>
      <c r="H358">
        <v>44721359549.995796</v>
      </c>
      <c r="I358" t="s">
        <v>2239</v>
      </c>
    </row>
    <row r="359" spans="2:9">
      <c r="B359" t="s">
        <v>2234</v>
      </c>
      <c r="C359" t="b">
        <v>1</v>
      </c>
      <c r="D359">
        <v>-7.2118929411648983E-31</v>
      </c>
      <c r="E359">
        <v>-7.2118929411648983E-31</v>
      </c>
      <c r="F359">
        <v>-7.2118929411648983E-27</v>
      </c>
      <c r="G359">
        <v>-7.2118929411648983E-27</v>
      </c>
      <c r="H359">
        <v>0</v>
      </c>
      <c r="I359" t="s">
        <v>2235</v>
      </c>
    </row>
    <row r="360" spans="2:9">
      <c r="B360" t="s">
        <v>2236</v>
      </c>
      <c r="C360" t="b">
        <v>1</v>
      </c>
      <c r="D360">
        <v>18.299999999999955</v>
      </c>
      <c r="E360">
        <v>0</v>
      </c>
      <c r="F360">
        <v>0.43436980773795286</v>
      </c>
      <c r="G360" s="57">
        <v>182999.99999999953</v>
      </c>
      <c r="H360">
        <v>0</v>
      </c>
      <c r="I360" t="s">
        <v>2237</v>
      </c>
    </row>
    <row r="361" spans="2:9">
      <c r="B361" t="s">
        <v>2254</v>
      </c>
      <c r="C361" t="b">
        <v>1</v>
      </c>
      <c r="D361">
        <v>4.2200000000000015E-2</v>
      </c>
      <c r="E361">
        <v>0</v>
      </c>
      <c r="F361">
        <v>1.135903535339148</v>
      </c>
      <c r="G361">
        <v>2.185619332041155</v>
      </c>
      <c r="H361">
        <v>1.9308028338397492E-2</v>
      </c>
      <c r="I361" t="s">
        <v>2255</v>
      </c>
    </row>
    <row r="362" spans="2:9">
      <c r="B362" t="s">
        <v>2256</v>
      </c>
      <c r="C362" t="b">
        <v>1</v>
      </c>
      <c r="D362">
        <v>0</v>
      </c>
      <c r="E362">
        <v>0</v>
      </c>
      <c r="F362">
        <v>0</v>
      </c>
      <c r="G362">
        <v>0</v>
      </c>
      <c r="H362">
        <v>7.6254395283157222E-2</v>
      </c>
      <c r="I362" t="s">
        <v>2257</v>
      </c>
    </row>
    <row r="363" spans="2:9">
      <c r="B363" t="s">
        <v>2246</v>
      </c>
      <c r="C363" t="b">
        <v>1</v>
      </c>
      <c r="D363">
        <v>0</v>
      </c>
      <c r="E363">
        <v>0</v>
      </c>
      <c r="F363">
        <v>0</v>
      </c>
      <c r="G363">
        <v>0</v>
      </c>
      <c r="H363">
        <v>2.0339769910203007E-2</v>
      </c>
      <c r="I363" t="s">
        <v>2247</v>
      </c>
    </row>
    <row r="364" spans="2:9">
      <c r="B364" t="s">
        <v>2248</v>
      </c>
      <c r="C364" t="b">
        <v>1</v>
      </c>
      <c r="D364">
        <v>-4.2199900000000012E-2</v>
      </c>
      <c r="E364">
        <v>0</v>
      </c>
      <c r="F364">
        <v>-1.2294526443375255</v>
      </c>
      <c r="G364">
        <v>-2.0193058850153176</v>
      </c>
      <c r="H364">
        <v>2.0898220677289761E-2</v>
      </c>
      <c r="I364" t="s">
        <v>2249</v>
      </c>
    </row>
    <row r="365" spans="2:9">
      <c r="B365" t="s">
        <v>2266</v>
      </c>
      <c r="C365" t="b">
        <v>1</v>
      </c>
      <c r="D365">
        <v>-1.419722421965941E-2</v>
      </c>
      <c r="E365">
        <v>0</v>
      </c>
      <c r="F365">
        <v>-0.20945031336839262</v>
      </c>
      <c r="G365">
        <v>-0.20945031336839262</v>
      </c>
      <c r="H365">
        <v>6.7783256044542453E-2</v>
      </c>
      <c r="I365" t="s">
        <v>2267</v>
      </c>
    </row>
    <row r="366" spans="2:9">
      <c r="B366" t="s">
        <v>2252</v>
      </c>
      <c r="C366" t="b">
        <v>1</v>
      </c>
      <c r="D366">
        <v>0</v>
      </c>
      <c r="E366">
        <v>0</v>
      </c>
      <c r="F366">
        <v>0</v>
      </c>
      <c r="G366">
        <v>0</v>
      </c>
      <c r="H366">
        <v>7.2209744494770176E-2</v>
      </c>
      <c r="I366" t="s">
        <v>2253</v>
      </c>
    </row>
    <row r="367" spans="2:9">
      <c r="B367" t="s">
        <v>2250</v>
      </c>
      <c r="C367" t="b">
        <v>1</v>
      </c>
      <c r="D367">
        <v>0</v>
      </c>
      <c r="E367">
        <v>0</v>
      </c>
      <c r="F367">
        <v>0</v>
      </c>
      <c r="G367">
        <v>0</v>
      </c>
      <c r="H367">
        <v>2.0630699454938502E-2</v>
      </c>
      <c r="I367" t="s">
        <v>2251</v>
      </c>
    </row>
    <row r="368" spans="2:9">
      <c r="B368" t="s">
        <v>2260</v>
      </c>
      <c r="C368" t="b">
        <v>1</v>
      </c>
      <c r="D368">
        <v>197.16062729073383</v>
      </c>
      <c r="E368">
        <v>0</v>
      </c>
      <c r="F368">
        <v>6.3992237479270589E-2</v>
      </c>
      <c r="G368">
        <v>6.3992237486863765E-2</v>
      </c>
      <c r="H368">
        <v>3081.0084946819788</v>
      </c>
      <c r="I368" t="s">
        <v>2261</v>
      </c>
    </row>
    <row r="369" spans="2:9">
      <c r="B369" t="s">
        <v>2262</v>
      </c>
      <c r="C369" t="b">
        <v>1</v>
      </c>
      <c r="D369">
        <v>0</v>
      </c>
      <c r="E369">
        <v>0</v>
      </c>
      <c r="F369">
        <v>0</v>
      </c>
      <c r="G369">
        <v>0</v>
      </c>
      <c r="H369">
        <v>0</v>
      </c>
      <c r="I369" t="s">
        <v>2263</v>
      </c>
    </row>
    <row r="370" spans="2:9">
      <c r="B370" t="s">
        <v>2264</v>
      </c>
      <c r="C370" t="b">
        <v>1</v>
      </c>
      <c r="D370">
        <v>0</v>
      </c>
      <c r="E370">
        <v>0</v>
      </c>
      <c r="F370">
        <v>0</v>
      </c>
      <c r="G370">
        <v>0</v>
      </c>
      <c r="H370">
        <v>0</v>
      </c>
      <c r="I370" t="s">
        <v>2265</v>
      </c>
    </row>
    <row r="371" spans="2:9">
      <c r="B371" t="s">
        <v>2258</v>
      </c>
      <c r="C371" t="b">
        <v>1</v>
      </c>
      <c r="D371">
        <v>-5.7017533123153719E-2</v>
      </c>
      <c r="E371">
        <v>0</v>
      </c>
      <c r="F371">
        <v>-0.75870312980637167</v>
      </c>
      <c r="G371">
        <v>-0.758703129806372</v>
      </c>
      <c r="H371">
        <v>7.5151308704506217E-2</v>
      </c>
      <c r="I371" t="s">
        <v>2259</v>
      </c>
    </row>
    <row r="372" spans="2:9">
      <c r="B372" t="s">
        <v>2268</v>
      </c>
      <c r="C372" t="b">
        <v>1</v>
      </c>
      <c r="D372">
        <v>20920.750078491586</v>
      </c>
      <c r="E372">
        <v>0</v>
      </c>
      <c r="F372">
        <v>3.4973089685781691</v>
      </c>
      <c r="G372" s="57">
        <v>3.4973089701425066</v>
      </c>
      <c r="H372">
        <v>5981.9564862864027</v>
      </c>
      <c r="I372" t="s">
        <v>2269</v>
      </c>
    </row>
    <row r="373" spans="2:9">
      <c r="B373" t="s">
        <v>2270</v>
      </c>
      <c r="C373" t="b">
        <v>1</v>
      </c>
      <c r="D373">
        <v>0</v>
      </c>
      <c r="E373">
        <v>0</v>
      </c>
      <c r="F373">
        <v>0</v>
      </c>
      <c r="G373">
        <v>0</v>
      </c>
      <c r="H373">
        <v>99999999.999999985</v>
      </c>
      <c r="I373" t="s">
        <v>2271</v>
      </c>
    </row>
    <row r="374" spans="2:9">
      <c r="B374" t="s">
        <v>2272</v>
      </c>
      <c r="C374" t="b">
        <v>1</v>
      </c>
      <c r="D374">
        <v>23631344.088366121</v>
      </c>
      <c r="E374">
        <v>-3.637978807091713E-12</v>
      </c>
      <c r="F374">
        <v>1.1799470351284818</v>
      </c>
      <c r="G374">
        <v>1.1799470352468004</v>
      </c>
      <c r="H374">
        <v>20027461.727062464</v>
      </c>
      <c r="I374" t="s">
        <v>2273</v>
      </c>
    </row>
    <row r="375" spans="2:9">
      <c r="B375" t="s">
        <v>2274</v>
      </c>
      <c r="C375" t="b">
        <v>1</v>
      </c>
      <c r="D375">
        <v>0</v>
      </c>
      <c r="E375">
        <v>0</v>
      </c>
      <c r="F375">
        <v>0</v>
      </c>
      <c r="G375">
        <v>0</v>
      </c>
      <c r="H375">
        <v>20027461.72706246</v>
      </c>
      <c r="I375" t="s">
        <v>2275</v>
      </c>
    </row>
    <row r="376" spans="2:9">
      <c r="B376" t="s">
        <v>2292</v>
      </c>
      <c r="C376" t="b">
        <v>1</v>
      </c>
      <c r="D376">
        <v>0</v>
      </c>
      <c r="E376">
        <v>0</v>
      </c>
      <c r="F376">
        <v>0</v>
      </c>
      <c r="G376">
        <v>0</v>
      </c>
      <c r="H376">
        <v>414.66834683781923</v>
      </c>
      <c r="I376" t="s">
        <v>2293</v>
      </c>
    </row>
    <row r="377" spans="2:9">
      <c r="B377" t="s">
        <v>2278</v>
      </c>
      <c r="C377" t="b">
        <v>1</v>
      </c>
      <c r="D377">
        <v>0</v>
      </c>
      <c r="E377">
        <v>0</v>
      </c>
      <c r="F377">
        <v>0</v>
      </c>
      <c r="G377">
        <v>0</v>
      </c>
      <c r="H377">
        <v>816496580927.72607</v>
      </c>
      <c r="I377" t="s">
        <v>2279</v>
      </c>
    </row>
    <row r="378" spans="2:9">
      <c r="B378" t="s">
        <v>2280</v>
      </c>
      <c r="C378" t="b">
        <v>1</v>
      </c>
      <c r="D378">
        <v>-64.300000000000011</v>
      </c>
      <c r="E378">
        <v>0</v>
      </c>
      <c r="F378">
        <v>-0.98249993419134352</v>
      </c>
      <c r="G378">
        <v>-2.2726934460466501</v>
      </c>
      <c r="H378">
        <v>28.2924210970247</v>
      </c>
      <c r="I378" t="s">
        <v>2281</v>
      </c>
    </row>
    <row r="379" spans="2:9">
      <c r="B379" t="s">
        <v>2282</v>
      </c>
      <c r="C379" t="b">
        <v>1</v>
      </c>
      <c r="D379">
        <v>75.881690797003216</v>
      </c>
      <c r="E379">
        <v>0</v>
      </c>
      <c r="F379">
        <v>1.4016838592074663</v>
      </c>
      <c r="G379">
        <v>1.4016838592074663</v>
      </c>
      <c r="H379">
        <v>54.136095167642083</v>
      </c>
      <c r="I379" t="s">
        <v>2283</v>
      </c>
    </row>
    <row r="380" spans="2:9">
      <c r="B380" t="s">
        <v>2284</v>
      </c>
      <c r="C380" t="b">
        <v>1</v>
      </c>
      <c r="D380">
        <v>0</v>
      </c>
      <c r="E380">
        <v>0</v>
      </c>
      <c r="F380">
        <v>0</v>
      </c>
      <c r="G380">
        <v>0</v>
      </c>
      <c r="H380">
        <v>816496580927.72607</v>
      </c>
      <c r="I380" t="s">
        <v>2285</v>
      </c>
    </row>
    <row r="381" spans="2:9">
      <c r="B381" t="s">
        <v>2294</v>
      </c>
      <c r="C381" t="b">
        <v>1</v>
      </c>
      <c r="D381">
        <v>0</v>
      </c>
      <c r="E381">
        <v>0</v>
      </c>
      <c r="F381">
        <v>0</v>
      </c>
      <c r="G381">
        <v>0</v>
      </c>
      <c r="H381">
        <v>0</v>
      </c>
      <c r="I381" t="s">
        <v>2295</v>
      </c>
    </row>
    <row r="382" spans="2:9">
      <c r="B382" t="s">
        <v>2276</v>
      </c>
      <c r="C382" t="b">
        <v>1</v>
      </c>
      <c r="D382">
        <v>-1.8140386964660138E-4</v>
      </c>
      <c r="E382">
        <v>0</v>
      </c>
      <c r="F382">
        <v>-4.7774571730596643E-8</v>
      </c>
      <c r="G382">
        <v>-4.7774571744126744E-8</v>
      </c>
      <c r="H382">
        <v>3797.0799742208596</v>
      </c>
      <c r="I382" t="s">
        <v>2277</v>
      </c>
    </row>
    <row r="383" spans="2:9">
      <c r="B383" t="s">
        <v>2288</v>
      </c>
      <c r="C383" t="b">
        <v>1</v>
      </c>
      <c r="D383">
        <v>0</v>
      </c>
      <c r="E383">
        <v>0</v>
      </c>
      <c r="F383">
        <v>0</v>
      </c>
      <c r="G383">
        <v>0</v>
      </c>
      <c r="H383">
        <v>0</v>
      </c>
      <c r="I383" t="s">
        <v>2289</v>
      </c>
    </row>
    <row r="384" spans="2:9">
      <c r="B384" t="s">
        <v>2290</v>
      </c>
      <c r="C384" t="b">
        <v>1</v>
      </c>
      <c r="D384">
        <v>0</v>
      </c>
      <c r="E384">
        <v>0</v>
      </c>
      <c r="F384">
        <v>0</v>
      </c>
      <c r="G384">
        <v>0</v>
      </c>
      <c r="H384">
        <v>0</v>
      </c>
      <c r="I384" t="s">
        <v>2291</v>
      </c>
    </row>
    <row r="385" spans="2:9">
      <c r="B385" t="s">
        <v>2298</v>
      </c>
      <c r="C385" t="b">
        <v>1</v>
      </c>
      <c r="D385">
        <v>0</v>
      </c>
      <c r="E385">
        <v>0</v>
      </c>
      <c r="F385">
        <v>0</v>
      </c>
      <c r="G385">
        <v>0</v>
      </c>
      <c r="H385">
        <v>0</v>
      </c>
      <c r="I385" t="s">
        <v>2299</v>
      </c>
    </row>
    <row r="386" spans="2:9">
      <c r="B386" t="s">
        <v>2286</v>
      </c>
      <c r="C386" t="b">
        <v>1</v>
      </c>
      <c r="D386">
        <v>-663.33311963736196</v>
      </c>
      <c r="E386">
        <v>0</v>
      </c>
      <c r="F386">
        <v>-1.5996714595827186</v>
      </c>
      <c r="G386">
        <v>-1.5996714596033486</v>
      </c>
      <c r="H386">
        <v>414.66834683781929</v>
      </c>
      <c r="I386" t="s">
        <v>2287</v>
      </c>
    </row>
    <row r="387" spans="2:9">
      <c r="B387" t="s">
        <v>2296</v>
      </c>
      <c r="C387" t="b">
        <v>1</v>
      </c>
      <c r="D387">
        <v>0</v>
      </c>
      <c r="E387">
        <v>0</v>
      </c>
      <c r="F387">
        <v>0</v>
      </c>
      <c r="G387">
        <v>0</v>
      </c>
      <c r="H387">
        <v>0</v>
      </c>
      <c r="I387" t="s">
        <v>2297</v>
      </c>
    </row>
    <row r="388" spans="2:9">
      <c r="B388" t="s">
        <v>2300</v>
      </c>
      <c r="C388" t="b">
        <v>1</v>
      </c>
      <c r="D388">
        <v>75.881690797003216</v>
      </c>
      <c r="E388">
        <v>0</v>
      </c>
      <c r="F388">
        <v>1.4016838592074663</v>
      </c>
      <c r="G388">
        <v>1.4016838592074663</v>
      </c>
      <c r="H388">
        <v>54.136095167642083</v>
      </c>
      <c r="I388" t="s">
        <v>2301</v>
      </c>
    </row>
    <row r="389" spans="2:9">
      <c r="B389" t="s">
        <v>2302</v>
      </c>
      <c r="C389" t="b">
        <v>1</v>
      </c>
      <c r="D389">
        <v>-1.0316754560335539E-4</v>
      </c>
      <c r="E389">
        <v>0</v>
      </c>
      <c r="F389">
        <v>-1.2682627102660817E-7</v>
      </c>
      <c r="G389">
        <v>-1.2682627102660827E-7</v>
      </c>
      <c r="H389">
        <v>813.45564107700318</v>
      </c>
      <c r="I389" t="s">
        <v>2303</v>
      </c>
    </row>
    <row r="390" spans="2:9">
      <c r="B390" t="s">
        <v>2304</v>
      </c>
      <c r="C390" t="b">
        <v>1</v>
      </c>
      <c r="D390">
        <v>-1.0316754560335539E-4</v>
      </c>
      <c r="E390">
        <v>0</v>
      </c>
      <c r="F390">
        <v>-1.2682627102660817E-7</v>
      </c>
      <c r="G390">
        <v>-1.2682627102660827E-7</v>
      </c>
      <c r="H390">
        <v>813.45564107700318</v>
      </c>
      <c r="I390" t="s">
        <v>2305</v>
      </c>
    </row>
    <row r="391" spans="2:9">
      <c r="B391" t="s">
        <v>2306</v>
      </c>
      <c r="C391" t="b">
        <v>1</v>
      </c>
      <c r="D391">
        <v>0</v>
      </c>
      <c r="E391">
        <v>0</v>
      </c>
      <c r="F391">
        <v>0</v>
      </c>
      <c r="G391">
        <v>0</v>
      </c>
      <c r="H391">
        <v>0</v>
      </c>
      <c r="I391" t="s">
        <v>2307</v>
      </c>
    </row>
    <row r="392" spans="2:9">
      <c r="B392" t="s">
        <v>2308</v>
      </c>
      <c r="C392" t="b">
        <v>1</v>
      </c>
      <c r="D392">
        <v>-1.0316754560335539E-4</v>
      </c>
      <c r="E392">
        <v>0</v>
      </c>
      <c r="F392">
        <v>-1.2682627102660817E-7</v>
      </c>
      <c r="G392">
        <v>-1.2682627102660827E-7</v>
      </c>
      <c r="H392">
        <v>813.45564107700318</v>
      </c>
      <c r="I392" t="s">
        <v>2309</v>
      </c>
    </row>
    <row r="393" spans="2:9">
      <c r="B393" t="s">
        <v>2310</v>
      </c>
      <c r="C393" t="b">
        <v>1</v>
      </c>
      <c r="D393">
        <v>-419.59999999999997</v>
      </c>
      <c r="E393">
        <v>-419.59999999999997</v>
      </c>
      <c r="F393">
        <v>-4195999.9999999991</v>
      </c>
      <c r="G393" s="57">
        <v>-4195999.9999999991</v>
      </c>
      <c r="H393">
        <v>0</v>
      </c>
      <c r="I393" t="s">
        <v>2311</v>
      </c>
    </row>
    <row r="394" spans="2:9">
      <c r="B394" t="s">
        <v>2312</v>
      </c>
      <c r="C394" t="b">
        <v>1</v>
      </c>
      <c r="D394">
        <v>2.6999999999999968E-2</v>
      </c>
      <c r="E394">
        <v>0</v>
      </c>
      <c r="F394">
        <v>0.24100541761266528</v>
      </c>
      <c r="G394">
        <v>0.44069728316916856</v>
      </c>
      <c r="H394">
        <v>6.1266545157337843E-2</v>
      </c>
      <c r="I394" t="s">
        <v>2313</v>
      </c>
    </row>
    <row r="395" spans="2:9">
      <c r="B395" t="s">
        <v>2314</v>
      </c>
      <c r="C395" t="b">
        <v>1</v>
      </c>
      <c r="D395">
        <v>0</v>
      </c>
      <c r="E395">
        <v>0</v>
      </c>
      <c r="F395">
        <v>0</v>
      </c>
      <c r="G395">
        <v>0</v>
      </c>
      <c r="H395">
        <v>2.5070537289814912E-2</v>
      </c>
      <c r="I395" t="s">
        <v>2315</v>
      </c>
    </row>
    <row r="396" spans="2:9">
      <c r="B396" t="s">
        <v>2316</v>
      </c>
      <c r="C396" t="b">
        <v>1</v>
      </c>
      <c r="D396">
        <v>40.599999999999966</v>
      </c>
      <c r="E396">
        <v>0</v>
      </c>
      <c r="F396">
        <v>0.70071539066867672</v>
      </c>
      <c r="G396">
        <v>1.4350132800854416</v>
      </c>
      <c r="H396">
        <v>28.2924210970247</v>
      </c>
      <c r="I396" t="s">
        <v>2317</v>
      </c>
    </row>
    <row r="397" spans="2:9">
      <c r="B397" t="s">
        <v>2318</v>
      </c>
      <c r="C397" t="b">
        <v>1</v>
      </c>
      <c r="D397">
        <v>75.881690797003216</v>
      </c>
      <c r="E397">
        <v>0</v>
      </c>
      <c r="F397">
        <v>1.4016838592074663</v>
      </c>
      <c r="G397">
        <v>1.4016838592074663</v>
      </c>
      <c r="H397">
        <v>54.136095167642083</v>
      </c>
      <c r="I397" t="s">
        <v>2319</v>
      </c>
    </row>
    <row r="398" spans="2:9">
      <c r="B398" t="s">
        <v>2320</v>
      </c>
      <c r="C398" t="b">
        <v>1</v>
      </c>
      <c r="D398">
        <v>-64.300000000000011</v>
      </c>
      <c r="E398">
        <v>0</v>
      </c>
      <c r="F398">
        <v>-0.98249993419134352</v>
      </c>
      <c r="G398">
        <v>-2.2726934460466501</v>
      </c>
      <c r="H398">
        <v>28.2924210970247</v>
      </c>
      <c r="I398" t="s">
        <v>2321</v>
      </c>
    </row>
    <row r="399" spans="2:9">
      <c r="B399" t="s">
        <v>2322</v>
      </c>
      <c r="C399" t="b">
        <v>1</v>
      </c>
      <c r="D399">
        <v>75.881690797003216</v>
      </c>
      <c r="E399">
        <v>0</v>
      </c>
      <c r="F399">
        <v>1.4016838592074663</v>
      </c>
      <c r="G399">
        <v>1.4016838592074663</v>
      </c>
      <c r="H399">
        <v>54.136095167642083</v>
      </c>
      <c r="I399" t="s">
        <v>2323</v>
      </c>
    </row>
    <row r="400" spans="2:9">
      <c r="B400" t="s">
        <v>2324</v>
      </c>
      <c r="C400" t="b">
        <v>1</v>
      </c>
      <c r="D400">
        <v>196402669.005</v>
      </c>
      <c r="E400">
        <v>0</v>
      </c>
      <c r="F400">
        <v>4.9999992109324358</v>
      </c>
      <c r="G400" s="57">
        <v>1964026690049.9998</v>
      </c>
      <c r="H400">
        <v>0</v>
      </c>
      <c r="I400" t="s">
        <v>2325</v>
      </c>
    </row>
    <row r="401" spans="2:9">
      <c r="B401" t="s">
        <v>2326</v>
      </c>
      <c r="C401" t="b">
        <v>1</v>
      </c>
      <c r="D401">
        <v>55713239.005000003</v>
      </c>
      <c r="E401">
        <v>0</v>
      </c>
      <c r="F401">
        <v>4.9999972183467243</v>
      </c>
      <c r="G401" s="57">
        <v>557132390050</v>
      </c>
      <c r="H401">
        <v>0</v>
      </c>
      <c r="I401" t="s">
        <v>2327</v>
      </c>
    </row>
    <row r="402" spans="2:9">
      <c r="B402" t="s">
        <v>2328</v>
      </c>
      <c r="C402" t="b">
        <v>1</v>
      </c>
      <c r="D402">
        <v>-29.300000000000011</v>
      </c>
      <c r="E402">
        <v>0</v>
      </c>
      <c r="F402">
        <v>-0.46621563654630327</v>
      </c>
      <c r="G402">
        <v>-1.0356130321798891</v>
      </c>
      <c r="H402">
        <v>28.2924210970247</v>
      </c>
      <c r="I402" t="s">
        <v>2329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7"/>
  <dimension ref="B1:L387"/>
  <sheetViews>
    <sheetView tabSelected="1" workbookViewId="0">
      <selection activeCell="J8" sqref="J8"/>
    </sheetView>
  </sheetViews>
  <sheetFormatPr defaultColWidth="17.28515625" defaultRowHeight="15"/>
  <cols>
    <col min="1" max="1" width="4.42578125" customWidth="1"/>
    <col min="2" max="2" width="29.140625" customWidth="1"/>
    <col min="3" max="3" width="24" customWidth="1"/>
    <col min="4" max="4" width="13" customWidth="1"/>
    <col min="5" max="5" width="18" customWidth="1"/>
  </cols>
  <sheetData>
    <row r="1" spans="2:12" ht="26.25">
      <c r="B1" s="68" t="s">
        <v>29</v>
      </c>
      <c r="C1" s="68"/>
      <c r="D1" s="68"/>
      <c r="E1" s="68"/>
      <c r="F1" s="68"/>
      <c r="H1" s="54" t="s">
        <v>1998</v>
      </c>
      <c r="I1" s="53"/>
      <c r="J1" s="53"/>
      <c r="K1" s="53"/>
      <c r="L1" s="53"/>
    </row>
    <row r="2" spans="2:12" s="47" customFormat="1" ht="12.75">
      <c r="B2" s="51" t="s">
        <v>808</v>
      </c>
      <c r="C2" s="52" t="s">
        <v>807</v>
      </c>
      <c r="D2" s="52" t="s">
        <v>20</v>
      </c>
      <c r="E2" s="52" t="s">
        <v>807</v>
      </c>
      <c r="F2" s="52" t="s">
        <v>1997</v>
      </c>
      <c r="H2" s="47">
        <f>MIN($H$6)</f>
        <v>2758.9735149100434</v>
      </c>
    </row>
    <row r="3" spans="2:12">
      <c r="B3" t="s">
        <v>1342</v>
      </c>
      <c r="C3">
        <f>((CONCTHK21_CLOSE_Q*CONCTHK21_CLOSE_CF+CONCTHK21_PP52_Q*CONCTHK21_PP52_CF+CONCTHK21_PP51_Q*CONCTHK21_PP51_CF))</f>
        <v>283.69369830652113</v>
      </c>
      <c r="D3" s="2" t="s">
        <v>0</v>
      </c>
      <c r="E3">
        <f xml:space="preserve"> (CONCTHK21_OPEN_Q * CONCTHK21_OPEN_CF + DI101_CONCTHK21_Q * DI101_CONCTHK21_CF )</f>
        <v>234.36018483247693</v>
      </c>
      <c r="F3" t="b">
        <f>C3=E3</f>
        <v>0</v>
      </c>
      <c r="H3">
        <f>COUNT($C$151:$C$387)</f>
        <v>237</v>
      </c>
    </row>
    <row r="4" spans="2:12">
      <c r="B4" t="s">
        <v>1343</v>
      </c>
      <c r="C4">
        <f>(( CONCTHK21_CLOSE_Q + CONCTHK21_PP51_Q + CONCTHK21_PP52_Q) )</f>
        <v>1381.6164148122593</v>
      </c>
      <c r="D4" s="2" t="s">
        <v>0</v>
      </c>
      <c r="E4">
        <f>(CONCTHK21_OPEN_Q + DI101_CONCTHK21_Q )</f>
        <v>1381.6164148122596</v>
      </c>
      <c r="F4" t="b">
        <f t="shared" ref="F4:F67" si="0">C4=E4</f>
        <v>1</v>
      </c>
      <c r="H4" t="b">
        <f t="array" ref="H4">$C$3:$C$148=$E$3:$E$148</f>
        <v>0</v>
      </c>
    </row>
    <row r="5" spans="2:12">
      <c r="B5" t="s">
        <v>1344</v>
      </c>
      <c r="C5">
        <f>((CONCTHK21_TOTVOL_CLOSE_Q))</f>
        <v>5086</v>
      </c>
      <c r="D5" s="2" t="s">
        <v>0</v>
      </c>
      <c r="E5">
        <f>(CONCTHK21_TOTVOL_OPEN_Q )</f>
        <v>5086</v>
      </c>
      <c r="F5" t="b">
        <f t="shared" si="0"/>
        <v>1</v>
      </c>
      <c r="H5">
        <f>{1000,100,0.000001,5,TRUE,TRUE,TRUE,1,1,1,0.00000001,FALSE,FALSE}</f>
        <v>1000</v>
      </c>
    </row>
    <row r="6" spans="2:12">
      <c r="B6" t="s">
        <v>1345</v>
      </c>
      <c r="C6">
        <f>((CONCTHK21_CLOSE_Q*CONCTHK21_CLOSE_WF+CONCTHK21_PP52_Q*CONCTHK21_PP52_WF+CONCTHK1_OVERFLOW_Q+CONCTHK21_PP51_Q*CONCTHK21_PP51_WF))</f>
        <v>4776.744606331742</v>
      </c>
      <c r="D6" s="2" t="s">
        <v>0</v>
      </c>
      <c r="E6">
        <f>(CONCTHK21_OPEN_Q * CONCTHK21_OPEN_WF + DI101_CONCTHK21_Q * DI101_CONCTHK21_WF )</f>
        <v>4784.8818693848416</v>
      </c>
      <c r="F6" t="b">
        <f t="shared" si="0"/>
        <v>0</v>
      </c>
      <c r="H6">
        <f>[1]!Gaussian($C$151:$C$387)</f>
        <v>2758.9735149100434</v>
      </c>
    </row>
    <row r="7" spans="2:12">
      <c r="B7" t="s">
        <v>1346</v>
      </c>
      <c r="C7">
        <f>((CONCTHK22_CLOSE_Q*CONCTHK22_CLOSE_CF+CONCTHK22_PP53_Q*CONCTHK22_PP53_CF+CONCTHK22_PP54_Q*CONCTHK22_PP54_CF))</f>
        <v>-45258.39588739918</v>
      </c>
      <c r="D7" s="2" t="s">
        <v>0</v>
      </c>
      <c r="E7">
        <f>(CONCTHK22_OPEN_Q * CONCTHK22_OPEN_CF + DI101_CONCTHK22_Q * DI101_CONCTHK22_CF )</f>
        <v>-37162.16224551708</v>
      </c>
      <c r="F7" t="b">
        <f t="shared" si="0"/>
        <v>0</v>
      </c>
    </row>
    <row r="8" spans="2:12">
      <c r="B8" t="s">
        <v>1347</v>
      </c>
      <c r="C8">
        <f>((CONCTHK22_CLOSE_Q+CONCTHK22_PP53_Q+CONCTHK22_PP54_Q))</f>
        <v>18236.801591730495</v>
      </c>
      <c r="D8" s="2" t="s">
        <v>0</v>
      </c>
      <c r="E8">
        <f>(CONCTHK22_OPEN_Q + DI101_CONCTHK22_Q )</f>
        <v>18236.801591730495</v>
      </c>
      <c r="F8" t="b">
        <f t="shared" si="0"/>
        <v>1</v>
      </c>
    </row>
    <row r="9" spans="2:12">
      <c r="B9" t="s">
        <v>1348</v>
      </c>
      <c r="C9">
        <f>((CONCTHK22_TOTVOL_CLOSE_Q))</f>
        <v>5086</v>
      </c>
      <c r="D9" s="2" t="s">
        <v>0</v>
      </c>
      <c r="E9">
        <f>(CONCTHK22_TOTVOL_OPEN_Q )</f>
        <v>5086</v>
      </c>
      <c r="F9" t="b">
        <f t="shared" si="0"/>
        <v>1</v>
      </c>
    </row>
    <row r="10" spans="2:12">
      <c r="B10" t="s">
        <v>1349</v>
      </c>
      <c r="C10">
        <f>((CONCTHK22_CLOSE_Q*CONCTHK22_CLOSE_WF+CONCTHK22_PP53_Q*CONCTHK22_PP53_WF+CONCTHK22_PP54_Q*CONCTHK22_PP54_WF+CONCTHK2_OVERFLOW_Q))</f>
        <v>4915.1355432175296</v>
      </c>
      <c r="D10" s="2" t="s">
        <v>0</v>
      </c>
      <c r="E10">
        <f>(CONCTHK22_OPEN_Q * CONCTHK22_OPEN_WF + DI101_CONCTHK22_Q * DI101_CONCTHK22_WF )</f>
        <v>4918.3878172960749</v>
      </c>
      <c r="F10" t="b">
        <f t="shared" si="0"/>
        <v>0</v>
      </c>
    </row>
    <row r="11" spans="2:12">
      <c r="B11" t="s">
        <v>1350</v>
      </c>
      <c r="C11">
        <f>((CONCTHK_OVERFLOW_Q))</f>
        <v>-574.70562502924565</v>
      </c>
      <c r="D11" s="2" t="s">
        <v>0</v>
      </c>
      <c r="E11">
        <f>(CONCTHK1_OVERFLOW_Q + CONCTHK2_OVERFLOW_Q )</f>
        <v>-574.70562502924577</v>
      </c>
      <c r="F11" t="b">
        <f t="shared" si="0"/>
        <v>1</v>
      </c>
    </row>
    <row r="12" spans="2:12">
      <c r="B12" t="s">
        <v>1351</v>
      </c>
      <c r="C12">
        <f>((DI101_CONCTHK21_Q*DI101_CONCTHK21_CF+DI101_CONCTHK22_Q*DI101_CONCTHK22_CF))</f>
        <v>-39192.727630474998</v>
      </c>
      <c r="D12" s="2" t="s">
        <v>0</v>
      </c>
      <c r="E12">
        <f>(DI101_TOTAL_Q * DI101_TOTAL_CF )</f>
        <v>-39192.72763047499</v>
      </c>
      <c r="F12" t="b">
        <f t="shared" si="0"/>
        <v>1</v>
      </c>
    </row>
    <row r="13" spans="2:12">
      <c r="B13" t="s">
        <v>1352</v>
      </c>
      <c r="C13">
        <f>( DI101_CONCTHK22_Q + DI101_CONCTHK21_Q)</f>
        <v>13630.314803042756</v>
      </c>
      <c r="D13" s="2" t="s">
        <v>0</v>
      </c>
      <c r="E13">
        <f>(DI101_TOTAL_Q )</f>
        <v>13630.314803042756</v>
      </c>
      <c r="F13" t="b">
        <f t="shared" si="0"/>
        <v>1</v>
      </c>
    </row>
    <row r="14" spans="2:12">
      <c r="B14" t="s">
        <v>1353</v>
      </c>
      <c r="C14">
        <f>( DI101_CONCTHK21_Q * DI101_CONCTHK21_WF + DI101_CONCTHK22_Q * DI101_CONCTHK22_WF)</f>
        <v>962.42648463165312</v>
      </c>
      <c r="D14" s="2" t="s">
        <v>0</v>
      </c>
      <c r="E14">
        <f>(DI101_TOTAL_Q * DI101_TOTAL_WF )</f>
        <v>962.42648463165312</v>
      </c>
      <c r="F14" t="b">
        <f t="shared" si="0"/>
        <v>1</v>
      </c>
    </row>
    <row r="15" spans="2:12">
      <c r="B15" t="s">
        <v>1354</v>
      </c>
      <c r="C15">
        <f>( DI101_TOTAL_Q * DI101_TOTAL_CF)</f>
        <v>-39192.72763047499</v>
      </c>
      <c r="D15" s="2" t="s">
        <v>0</v>
      </c>
      <c r="E15">
        <f>(FINALCONC_Q * FINALCONC_CF + PP54_DI101_Q * PP54_DI101_CF + PP51_DI101_Q * PP51_DI101_CF + PP53_DI101_Q * PP53_DI101_CF + PP52_DI101_Q * PP52_DI101_CF )</f>
        <v>-24375.529856917292</v>
      </c>
      <c r="F15" t="b">
        <f t="shared" si="0"/>
        <v>0</v>
      </c>
    </row>
    <row r="16" spans="2:12">
      <c r="B16" t="s">
        <v>1355</v>
      </c>
      <c r="C16">
        <f>( DI101_TOTAL_Q)</f>
        <v>13630.314803042756</v>
      </c>
      <c r="D16" s="2" t="s">
        <v>0</v>
      </c>
      <c r="E16">
        <f>(FINALCONC_Q + PP51_DI101_Q + PP52_DI101_Q + PP53_DI101_Q + PP54_DI101_Q )</f>
        <v>13630.314803042755</v>
      </c>
      <c r="F16" t="b">
        <f t="shared" si="0"/>
        <v>1</v>
      </c>
    </row>
    <row r="17" spans="2:6">
      <c r="B17" t="s">
        <v>1356</v>
      </c>
      <c r="C17">
        <f>( DI101_TOTAL_Q * DI101_TOTAL_WF)</f>
        <v>962.42648463165312</v>
      </c>
      <c r="D17" s="2" t="s">
        <v>0</v>
      </c>
      <c r="E17">
        <f>(FINALCONC_Q * FINALCONC_WF + PP52_DI101_Q * PP52_DI101_WF + PP54_DI101_Q * PP54_DI101_WF + PP53_DI101_Q * PP53_DI101_WF + PP51_DI101_Q * PP51_DI101_WF )</f>
        <v>1158.8820919477748</v>
      </c>
      <c r="F17" t="b">
        <f t="shared" si="0"/>
        <v>0</v>
      </c>
    </row>
    <row r="18" spans="2:6">
      <c r="B18" t="s">
        <v>1357</v>
      </c>
      <c r="C18">
        <f>( CONCTHK_TK23_Q * CONCTHK_TK23_CF + CONCTHK_TK24_Q * CONCTHK_TK24_CF + CONCTHK_TK25_Q * CONCTHK_TK25_CF + CONCTHK_TK26_Q * CONCTHK_TK26_CF)</f>
        <v>562.4462291447087</v>
      </c>
      <c r="D18" s="2" t="s">
        <v>0</v>
      </c>
      <c r="E18">
        <f>(CONCTHK_TKC_Q * CONCTHK_TKC_CF )</f>
        <v>562.44622914470858</v>
      </c>
      <c r="F18" t="b">
        <f t="shared" si="0"/>
        <v>1</v>
      </c>
    </row>
    <row r="19" spans="2:6">
      <c r="B19" t="s">
        <v>1358</v>
      </c>
      <c r="C19">
        <f>( CONCTHK_TK24_Q + CONCTHK_TK25_Q + CONCTHK_TK26_Q + CONCTHK_TK23_Q)</f>
        <v>1832.5600405048008</v>
      </c>
      <c r="D19" s="2" t="s">
        <v>0</v>
      </c>
      <c r="E19">
        <f>(CONCTHK_TKC_Q )</f>
        <v>1832.5600405048006</v>
      </c>
      <c r="F19" t="b">
        <f t="shared" si="0"/>
        <v>1</v>
      </c>
    </row>
    <row r="20" spans="2:6">
      <c r="B20" t="s">
        <v>1359</v>
      </c>
      <c r="C20">
        <f>( CONCTHK_TK23_Q * CONCTHK_TK23_WF + CONCTHK_TK24_Q * CONCTHK_TK24_WF + CONCTHK_TK26_Q * CONCTHK_TK26_WF + CONCTHK_TK25_Q * CONCTHK_TK25_WF)</f>
        <v>919.19463212573305</v>
      </c>
      <c r="D20" s="2" t="s">
        <v>0</v>
      </c>
      <c r="E20">
        <f>(CONCTHK_TKC_Q * CONCTHK_TKC_WF )</f>
        <v>919.19463212573294</v>
      </c>
      <c r="F20" t="b">
        <f t="shared" si="0"/>
        <v>1</v>
      </c>
    </row>
    <row r="21" spans="2:6">
      <c r="B21" t="s">
        <v>1360</v>
      </c>
      <c r="C21">
        <f>( CONCTHK_TKC_Q * CONCTHK_TKC_CF)</f>
        <v>562.44622914470858</v>
      </c>
      <c r="D21" s="2" t="s">
        <v>0</v>
      </c>
      <c r="E21">
        <f>(PP53_DI104_Q * PP53_DI104_CF + PP51_DI104_Q * PP51_DI104_CF + PP52_DI104_Q * PP52_DI104_CF + PP54_DI104_Q * PP54_DI104_CF )</f>
        <v>504.16155869897665</v>
      </c>
      <c r="F21" t="b">
        <f t="shared" si="0"/>
        <v>0</v>
      </c>
    </row>
    <row r="22" spans="2:6">
      <c r="B22" t="s">
        <v>1361</v>
      </c>
      <c r="C22">
        <f>( CONCTHK_TKC_Q)</f>
        <v>1832.5600405048006</v>
      </c>
      <c r="D22" s="2" t="s">
        <v>0</v>
      </c>
      <c r="E22">
        <f>(PP52_DI104_Q + PP53_DI104_Q + PP51_DI104_Q + PP54_DI104_Q )</f>
        <v>1832.5600405048008</v>
      </c>
      <c r="F22" t="b">
        <f t="shared" si="0"/>
        <v>1</v>
      </c>
    </row>
    <row r="23" spans="2:6">
      <c r="B23" t="s">
        <v>1362</v>
      </c>
      <c r="C23">
        <f>( CONCTHK_TKC_Q * CONCTHK_TKC_WF)</f>
        <v>919.19463212573294</v>
      </c>
      <c r="D23" s="2" t="s">
        <v>0</v>
      </c>
      <c r="E23">
        <f>(PP51_DI104_Q * PP51_DI104_WF + PP53_DI104_Q * PP53_DI104_WF + PP54_DI104_Q * PP54_DI104_WF + PP52_DI104_Q * PP52_DI104_WF )</f>
        <v>920.32151718036323</v>
      </c>
      <c r="F23" t="b">
        <f t="shared" si="0"/>
        <v>0</v>
      </c>
    </row>
    <row r="24" spans="2:6">
      <c r="B24" t="s">
        <v>1363</v>
      </c>
      <c r="C24">
        <f>( TKC_PIPE_Q * TKC_PIPE_CF)</f>
        <v>608.87858732038865</v>
      </c>
      <c r="D24" s="2" t="s">
        <v>0</v>
      </c>
      <c r="E24">
        <f>(TK24_DI105_Q * TK24_DI105_CF + TK25_DI105_Q * TK25_DI105_CF + TK23_DI105_Q * TK23_DI105_CF + TK26_DI105_Q * TK26_DI105_CF )</f>
        <v>609.24395158428331</v>
      </c>
      <c r="F24" t="b">
        <f t="shared" si="0"/>
        <v>0</v>
      </c>
    </row>
    <row r="25" spans="2:6">
      <c r="B25" t="s">
        <v>1364</v>
      </c>
      <c r="C25">
        <f>( TKC_PIPE_Q)</f>
        <v>1689.0166771432596</v>
      </c>
      <c r="D25" s="2" t="s">
        <v>0</v>
      </c>
      <c r="E25">
        <f>(TK24_DI105_Q + TK25_DI105_Q + TK26_DI105_Q + TK23_DI105_Q )</f>
        <v>1689.0166771432596</v>
      </c>
      <c r="F25" t="b">
        <f t="shared" si="0"/>
        <v>1</v>
      </c>
    </row>
    <row r="26" spans="2:6">
      <c r="B26" t="s">
        <v>1365</v>
      </c>
      <c r="C26">
        <f>( TKC_PIPE_Q * TKC_PIPE_WF)</f>
        <v>785.51974882498598</v>
      </c>
      <c r="D26" s="2" t="s">
        <v>0</v>
      </c>
      <c r="E26">
        <f>(TK23_DI105_Q * TK23_DI105_WF + TK26_DI105_Q * TK26_DI105_WF + TK24_DI105_Q * TK24_DI105_WF + TK25_DI105_Q * TK25_DI105_WF )</f>
        <v>785.56634487861743</v>
      </c>
      <c r="F26" t="b">
        <f t="shared" si="0"/>
        <v>0</v>
      </c>
    </row>
    <row r="27" spans="2:6">
      <c r="B27" t="s">
        <v>1366</v>
      </c>
      <c r="C27">
        <f>( DI150_TAILTHK6_Q * DI150_TAILTHK6_CF + DI150_TAILTHK7_Q * DI150_TAILTHK7_CF + DI150_TAILTHK8_Q * DI150_TAILTHK8_CF)</f>
        <v>178.62433120597245</v>
      </c>
      <c r="D27" s="2" t="s">
        <v>0</v>
      </c>
      <c r="E27">
        <f>(TAILS_Q * TAILS_CF )</f>
        <v>178.62433120597245</v>
      </c>
      <c r="F27" t="b">
        <f t="shared" si="0"/>
        <v>1</v>
      </c>
    </row>
    <row r="28" spans="2:6">
      <c r="B28" t="s">
        <v>1367</v>
      </c>
      <c r="C28">
        <f>( DI150_TAILTHK6_Q + DI150_TAILTHK7_Q + DI150_TAILTHK8_Q)</f>
        <v>57630.047170825113</v>
      </c>
      <c r="D28" s="2" t="s">
        <v>0</v>
      </c>
      <c r="E28">
        <f>(TAILS_Q )</f>
        <v>57630.047170825121</v>
      </c>
      <c r="F28" t="b">
        <f t="shared" si="0"/>
        <v>1</v>
      </c>
    </row>
    <row r="29" spans="2:6">
      <c r="B29" t="s">
        <v>1368</v>
      </c>
      <c r="C29">
        <f>( DI150_TAILTHK6_Q * DI150_TAILTHK6_WF + DI150_TAILTHK8_Q * DI150_TAILTHK8_WF + DI150_TAILTHK7_Q * DI150_TAILTHK7_WF)</f>
        <v>165744.01506873796</v>
      </c>
      <c r="D29" s="2" t="s">
        <v>0</v>
      </c>
      <c r="E29">
        <f>(TAILS_Q * TAILS_WF )</f>
        <v>165744.01506873799</v>
      </c>
      <c r="F29" t="b">
        <f t="shared" si="0"/>
        <v>1</v>
      </c>
    </row>
    <row r="30" spans="2:6">
      <c r="B30" t="s">
        <v>1369</v>
      </c>
      <c r="C30">
        <f>( FINALCONC_Q * FINALCONC_CF + TAILS_Q * TAILS_CF)</f>
        <v>308.97886438961962</v>
      </c>
      <c r="D30" s="2" t="s">
        <v>0</v>
      </c>
      <c r="E30">
        <f>(ROUFEED_Q * ROUFEED_CF )</f>
        <v>406.66705404725991</v>
      </c>
      <c r="F30" t="b">
        <f t="shared" si="0"/>
        <v>0</v>
      </c>
    </row>
    <row r="31" spans="2:6">
      <c r="B31" t="s">
        <v>1370</v>
      </c>
      <c r="C31">
        <f>( FINALCONC_Q + TAILS_Q)</f>
        <v>57979.626880362637</v>
      </c>
      <c r="D31" s="2" t="s">
        <v>0</v>
      </c>
      <c r="E31">
        <f>(ROUFEED_Q )</f>
        <v>57979.626880362637</v>
      </c>
      <c r="F31" t="b">
        <f t="shared" si="0"/>
        <v>1</v>
      </c>
    </row>
    <row r="32" spans="2:6">
      <c r="B32" t="s">
        <v>1371</v>
      </c>
      <c r="C32">
        <f>( FINALCONC_Q * FINALCONC_WF + TAILS_Q * TAILS_WF)</f>
        <v>166651.90853237413</v>
      </c>
      <c r="D32" s="2" t="s">
        <v>0</v>
      </c>
      <c r="E32">
        <f>(H2OSEAL_REM_1_Q + H2OSEAL_REM_2_Q + POOL_REM_1_Q + ROUFEED_Q * ROUFEED_WF + H2OSEAL_DI30_Q + POOL_2CLN_Q + POOL_REM_2_Q + POOL_TK91_Q + POOL_DI30_Q + POOL_2CLNCONC_Q + H2OSEAL_1CLN_Q + POOL_TK42_Q )</f>
        <v>166649.65390834946</v>
      </c>
      <c r="F32" t="b">
        <f t="shared" si="0"/>
        <v>0</v>
      </c>
    </row>
    <row r="33" spans="2:6">
      <c r="B33" t="s">
        <v>1372</v>
      </c>
      <c r="C33">
        <f>( H2OFRESH_TK83_Q)</f>
        <v>-9051.8499043205193</v>
      </c>
      <c r="D33" s="2" t="s">
        <v>0</v>
      </c>
      <c r="E33">
        <f>(BOREWATER_Q + RIVERWATER_Q )</f>
        <v>-9051.8499043205193</v>
      </c>
      <c r="F33" t="b">
        <f t="shared" si="0"/>
        <v>1</v>
      </c>
    </row>
    <row r="34" spans="2:6">
      <c r="B34" t="s">
        <v>1373</v>
      </c>
      <c r="C34">
        <f>( MILL_MIXER_Q * MILL_MIXER_CF)</f>
        <v>505.34246206314498</v>
      </c>
      <c r="D34" s="2" t="s">
        <v>0</v>
      </c>
      <c r="E34">
        <f>(FEED_Q * FEED_CF )</f>
        <v>600.5158179119635</v>
      </c>
      <c r="F34" t="b">
        <f t="shared" si="0"/>
        <v>0</v>
      </c>
    </row>
    <row r="35" spans="2:6">
      <c r="B35" t="s">
        <v>1374</v>
      </c>
      <c r="C35">
        <f>( MILL_MIXER_Q)</f>
        <v>57979.626880362637</v>
      </c>
      <c r="D35" s="2" t="s">
        <v>0</v>
      </c>
      <c r="E35">
        <f>(FEED_Q )</f>
        <v>57979.626880362637</v>
      </c>
      <c r="F35" t="b">
        <f t="shared" si="0"/>
        <v>1</v>
      </c>
    </row>
    <row r="36" spans="2:6">
      <c r="B36" t="s">
        <v>1375</v>
      </c>
      <c r="C36">
        <f>( MILL_MIXER_Q * MILL_MIXER_WF)</f>
        <v>109396.28852231154</v>
      </c>
      <c r="D36" s="2" t="s">
        <v>0</v>
      </c>
      <c r="E36">
        <f>(FEED_Q * FEED_WF + POOL_BC2SUMP_Q + POOL_BC3SUMP_Q + POOL_MB1_Q + POOL_SAG_Q + TK83_MB1_Q + POOL_BC1SUMP_Q + TK83_D25_Q + TK83_MB3_Q + POOL_MB2_Q + TK83_MB2_Q + TK83_D20_Q + POOL_MB3_Q + POOL_M1_Q )</f>
        <v>109394.77095314029</v>
      </c>
      <c r="F36" t="b">
        <f t="shared" si="0"/>
        <v>0</v>
      </c>
    </row>
    <row r="37" spans="2:6">
      <c r="B37" t="s">
        <v>1376</v>
      </c>
      <c r="C37">
        <f>( ROUFEED_Q * ROUFEED_CF)</f>
        <v>406.66705404725991</v>
      </c>
      <c r="D37" s="2" t="s">
        <v>0</v>
      </c>
      <c r="E37">
        <f>(MILL_MIXER_Q * MILL_MIXER_CF )</f>
        <v>505.34246206314498</v>
      </c>
      <c r="F37" t="b">
        <f t="shared" si="0"/>
        <v>0</v>
      </c>
    </row>
    <row r="38" spans="2:6">
      <c r="B38" t="s">
        <v>1377</v>
      </c>
      <c r="C38">
        <f>( ROUFEED_Q)</f>
        <v>57979.626880362637</v>
      </c>
      <c r="D38" s="2" t="s">
        <v>0</v>
      </c>
      <c r="E38">
        <f>(MILL_MIXER_Q )</f>
        <v>57979.626880362637</v>
      </c>
      <c r="F38" t="b">
        <f t="shared" si="0"/>
        <v>1</v>
      </c>
    </row>
    <row r="39" spans="2:6">
      <c r="B39" t="s">
        <v>1378</v>
      </c>
      <c r="C39">
        <f>( ROUFEED_Q * ROUFEED_WF)</f>
        <v>157393.33511128594</v>
      </c>
      <c r="D39" s="2" t="s">
        <v>0</v>
      </c>
      <c r="E39">
        <f>(POOL_MIXER_Q + MILL_MIXER_Q * MILL_MIXER_WF )</f>
        <v>157396.28831305972</v>
      </c>
      <c r="F39" t="b">
        <f t="shared" si="0"/>
        <v>0</v>
      </c>
    </row>
    <row r="40" spans="2:6">
      <c r="B40" t="s">
        <v>1379</v>
      </c>
      <c r="C40">
        <f>( PIPELINE_CLOSE_Q * PIPELINE_CLOSE_CF + PIPE_TKCLC_Q * PIPE_TKCLC_CF)</f>
        <v>863.69404967578964</v>
      </c>
      <c r="D40" s="2" t="s">
        <v>0</v>
      </c>
      <c r="E40">
        <f>(PIPELINE_OPEN_Q * PIPELINE_OPEN_CF + TKC_PIPE_Q * TKC_PIPE_CF )</f>
        <v>862.96178732038868</v>
      </c>
      <c r="F40" t="b">
        <f t="shared" si="0"/>
        <v>0</v>
      </c>
    </row>
    <row r="41" spans="2:6">
      <c r="B41" t="s">
        <v>1380</v>
      </c>
      <c r="C41">
        <f>( PIPELINE_CLOSE_Q + PIPE_TKCLC_Q)</f>
        <v>2389.0166771432591</v>
      </c>
      <c r="D41" s="2" t="s">
        <v>0</v>
      </c>
      <c r="E41">
        <f>(PIPELINE_OPEN_Q + TKC_PIPE_Q )</f>
        <v>2389.0166771432596</v>
      </c>
      <c r="F41" t="b">
        <f t="shared" si="0"/>
        <v>1</v>
      </c>
    </row>
    <row r="42" spans="2:6">
      <c r="B42" t="s">
        <v>1381</v>
      </c>
      <c r="C42">
        <f>( PIPELINE_CLOSE_Q * PIPELINE_CLOSE_WF + PIPE_TKCLC_Q * PIPE_TKCLC_WF)</f>
        <v>1103.1992872790124</v>
      </c>
      <c r="D42" s="2" t="s">
        <v>0</v>
      </c>
      <c r="E42">
        <f>(PIPELINE_OPEN_Q * PIPELINE_OPEN_WF + TKC_PIPE_Q * TKC_PIPE_WF )</f>
        <v>1103.2099888249859</v>
      </c>
      <c r="F42" t="b">
        <f t="shared" si="0"/>
        <v>0</v>
      </c>
    </row>
    <row r="43" spans="2:6">
      <c r="B43" t="s">
        <v>1382</v>
      </c>
      <c r="C43">
        <f>( RO_POND_Q + RO_TANK_Q)</f>
        <v>0</v>
      </c>
      <c r="D43" s="2" t="s">
        <v>0</v>
      </c>
      <c r="E43">
        <f>(PLANTA_RO_FEED_Q )</f>
        <v>0</v>
      </c>
      <c r="F43" t="b">
        <f t="shared" si="0"/>
        <v>1</v>
      </c>
    </row>
    <row r="44" spans="2:6">
      <c r="B44" t="s">
        <v>1383</v>
      </c>
      <c r="C44">
        <f>( POOL_2CLN_Q + POOL_BC2SUMP_Q + POOL_BC3SUMP_Q + POOL_REM_1_Q + POOL_SAG_Q + POOL_2CLNCONC_Q + POOL_DI30_Q + POOL_MB2_Q + POOL_MIXER_Q + POOL_TK42_Q + POOL_MB3_Q + POOL_MB1_Q + POOL_BC1SUMP_Q + POOL_TK91_Q + POOL_REM_2_Q + POOL_M1_Q)</f>
        <v>148427.61958271312</v>
      </c>
      <c r="D44" s="2" t="s">
        <v>0</v>
      </c>
      <c r="E44">
        <f>(H2OPROCESSTOTAL_Q )</f>
        <v>148427.61958271312</v>
      </c>
      <c r="F44" t="b">
        <f t="shared" si="0"/>
        <v>1</v>
      </c>
    </row>
    <row r="45" spans="2:6">
      <c r="B45" t="s">
        <v>1384</v>
      </c>
      <c r="C45">
        <f>( PP51_DI101_Q * PP51_DI101_CF + PP51_DI104_Q * PP51_DI104_CF)</f>
        <v>0.17109682112532337</v>
      </c>
      <c r="D45" s="2" t="s">
        <v>0</v>
      </c>
      <c r="E45">
        <f>(CONCTHK21_PP51_Q * CONCTHK21_PP51_CF )</f>
        <v>-1.3536042207205639E-35</v>
      </c>
      <c r="F45" t="b">
        <f t="shared" si="0"/>
        <v>0</v>
      </c>
    </row>
    <row r="46" spans="2:6">
      <c r="B46" t="s">
        <v>1385</v>
      </c>
      <c r="C46">
        <f>( PP51_DI101_Q + PP51_DI104_Q)</f>
        <v>0.40776172813470779</v>
      </c>
      <c r="D46" s="2" t="s">
        <v>0</v>
      </c>
      <c r="E46">
        <f>(CONCTHK21_PP51_Q )</f>
        <v>0.40776172813470779</v>
      </c>
      <c r="F46" t="b">
        <f t="shared" si="0"/>
        <v>1</v>
      </c>
    </row>
    <row r="47" spans="2:6">
      <c r="B47" t="s">
        <v>1386</v>
      </c>
      <c r="C47">
        <f>( PP51_DI104_Q * PP51_DI104_WF + PP51_DI101_Q * PP51_DI101_WF)</f>
        <v>1.5509944279260996E-49</v>
      </c>
      <c r="D47" s="2" t="s">
        <v>0</v>
      </c>
      <c r="E47">
        <f>(CONCTHK21_PP51_Q * CONCTHK21_PP51_WF )</f>
        <v>0</v>
      </c>
      <c r="F47" t="b">
        <f t="shared" si="0"/>
        <v>0</v>
      </c>
    </row>
    <row r="48" spans="2:6">
      <c r="B48" t="s">
        <v>1387</v>
      </c>
      <c r="C48">
        <f>( PP52_DI101_Q * PP52_DI101_CF + PP52_DI104_Q * PP52_DI104_CF)</f>
        <v>-4.7535014530092711E-31</v>
      </c>
      <c r="D48" s="2" t="s">
        <v>0</v>
      </c>
      <c r="E48">
        <f>(CONCTHK21_PP52_Q * CONCTHK21_PP52_CF )</f>
        <v>7.4103939769319875E-31</v>
      </c>
      <c r="F48" t="b">
        <f t="shared" si="0"/>
        <v>0</v>
      </c>
    </row>
    <row r="49" spans="2:6">
      <c r="B49" t="s">
        <v>1388</v>
      </c>
      <c r="C49">
        <f>( PP52_DI101_Q + PP52_DI104_Q)</f>
        <v>2105.2852009476715</v>
      </c>
      <c r="D49" s="2" t="s">
        <v>0</v>
      </c>
      <c r="E49">
        <f>(CONCTHK21_PP52_Q )</f>
        <v>2105.2852009476715</v>
      </c>
      <c r="F49" t="b">
        <f t="shared" si="0"/>
        <v>1</v>
      </c>
    </row>
    <row r="50" spans="2:6">
      <c r="B50" t="s">
        <v>1389</v>
      </c>
      <c r="C50">
        <f>( PP52_DI101_Q * PP52_DI101_WF + PP52_DI104_Q * PP52_DI104_WF)</f>
        <v>925.4833743365964</v>
      </c>
      <c r="D50" s="2" t="s">
        <v>0</v>
      </c>
      <c r="E50">
        <f>(CONCTHK21_PP52_Q * CONCTHK21_PP52_WF )</f>
        <v>925.4833743365964</v>
      </c>
      <c r="F50" t="b">
        <f t="shared" si="0"/>
        <v>1</v>
      </c>
    </row>
    <row r="51" spans="2:6">
      <c r="B51" t="s">
        <v>1390</v>
      </c>
      <c r="C51">
        <f>( PP53_DI101_Q * PP53_DI101_CF + PP53_DI104_Q * PP53_DI104_CF)</f>
        <v>0</v>
      </c>
      <c r="D51" s="2" t="s">
        <v>0</v>
      </c>
      <c r="E51">
        <f>(CONCTHK22_PP53_Q * CONCTHK22_PP53_CF )</f>
        <v>-1.5484573365136016E-29</v>
      </c>
      <c r="F51" t="b">
        <f t="shared" si="0"/>
        <v>0</v>
      </c>
    </row>
    <row r="52" spans="2:6">
      <c r="B52" t="s">
        <v>1391</v>
      </c>
      <c r="C52">
        <f>( PP53_DI101_Q + PP53_DI104_Q)</f>
        <v>0</v>
      </c>
      <c r="D52" s="2" t="s">
        <v>0</v>
      </c>
      <c r="E52">
        <f>(CONCTHK22_PP53_Q )</f>
        <v>8.3917198671429531E-30</v>
      </c>
      <c r="F52" t="b">
        <f t="shared" si="0"/>
        <v>0</v>
      </c>
    </row>
    <row r="53" spans="2:6">
      <c r="B53" t="s">
        <v>1392</v>
      </c>
      <c r="C53">
        <f>( PP53_DI104_Q * PP53_DI104_WF + PP53_DI101_Q * PP53_DI101_WF)</f>
        <v>0</v>
      </c>
      <c r="D53" s="2" t="s">
        <v>0</v>
      </c>
      <c r="E53">
        <f>(CONCTHK22_PP53_Q * CONCTHK22_PP53_WF )</f>
        <v>4.3653726748877643E-30</v>
      </c>
      <c r="F53" t="b">
        <f t="shared" si="0"/>
        <v>0</v>
      </c>
    </row>
    <row r="54" spans="2:6">
      <c r="B54" t="s">
        <v>1393</v>
      </c>
      <c r="C54">
        <f>( PP54_DI101_Q * PP54_DI101_CF + PP54_DI104_Q * PP54_DI104_CF)</f>
        <v>-24001.893928223086</v>
      </c>
      <c r="D54" s="2" t="s">
        <v>0</v>
      </c>
      <c r="E54">
        <f>(CONCTHK22_PP54_Q * CONCTHK22_PP54_CF )</f>
        <v>-24001.893928223089</v>
      </c>
      <c r="F54" t="b">
        <f t="shared" si="0"/>
        <v>1</v>
      </c>
    </row>
    <row r="55" spans="2:6">
      <c r="B55" t="s">
        <v>1394</v>
      </c>
      <c r="C55">
        <f>( PP54_DI101_Q + PP54_DI104_Q)</f>
        <v>13007.602171334234</v>
      </c>
      <c r="D55" s="2" t="s">
        <v>0</v>
      </c>
      <c r="E55">
        <f>(CONCTHK22_PP54_Q )</f>
        <v>13007.602171334236</v>
      </c>
      <c r="F55" t="b">
        <f t="shared" si="0"/>
        <v>1</v>
      </c>
    </row>
    <row r="56" spans="2:6">
      <c r="B56" t="s">
        <v>1395</v>
      </c>
      <c r="C56">
        <f>( PP54_DI101_Q * PP54_DI101_WF + PP54_DI104_Q * PP54_DI104_WF)</f>
        <v>245.82677115539431</v>
      </c>
      <c r="D56" s="2" t="s">
        <v>0</v>
      </c>
      <c r="E56">
        <f>(CONCTHK22_PP54_Q * CONCTHK22_PP54_WF )</f>
        <v>245.82677115539434</v>
      </c>
      <c r="F56" t="b">
        <f t="shared" si="0"/>
        <v>1</v>
      </c>
    </row>
    <row r="57" spans="2:6">
      <c r="B57" t="s">
        <v>1396</v>
      </c>
      <c r="C57">
        <f>( TAILTHK6_CLOSE_Q * TAILTHK6_CLOSE_CF + TAILTHK6_UNDERFLOW_Q * TAILTHK6_UNDERFLOW_CF)</f>
        <v>-242.27626740932465</v>
      </c>
      <c r="D57" s="2" t="s">
        <v>0</v>
      </c>
      <c r="E57">
        <f>(TAILTHK6_OPEN_Q * TAILTHK6_OPEN_CF + DI150_TAILTHK6_Q * DI150_TAILTHK6_CF )</f>
        <v>-9.412789420219795</v>
      </c>
      <c r="F57" t="b">
        <f t="shared" si="0"/>
        <v>0</v>
      </c>
    </row>
    <row r="58" spans="2:6">
      <c r="B58" t="s">
        <v>1397</v>
      </c>
      <c r="C58">
        <f>( TAILTHK6_CLOSE_Q + TAILTHK6_UNDERFLOW_Q)</f>
        <v>-2.2651428509561811E-2</v>
      </c>
      <c r="D58" s="2" t="s">
        <v>0</v>
      </c>
      <c r="E58">
        <f>(TAILTHK6_OPEN_Q + DI150_TAILTHK6_Q )</f>
        <v>-2.2651428513199789E-2</v>
      </c>
      <c r="F58" t="b">
        <f t="shared" si="0"/>
        <v>0</v>
      </c>
    </row>
    <row r="59" spans="2:6">
      <c r="B59" t="s">
        <v>1398</v>
      </c>
      <c r="C59">
        <f>( TAILTHK6_TOTVOL_CLOSE_Q)</f>
        <v>89291.287670000005</v>
      </c>
      <c r="D59" s="2" t="s">
        <v>0</v>
      </c>
      <c r="E59">
        <f>(TAILTHK6_TOTVOL_OPEN_Q )</f>
        <v>89291.287670000005</v>
      </c>
      <c r="F59" t="b">
        <f t="shared" si="0"/>
        <v>1</v>
      </c>
    </row>
    <row r="60" spans="2:6">
      <c r="B60" t="s">
        <v>1399</v>
      </c>
      <c r="C60">
        <f>( TAILTHK6_CLOSE_Q * TAILTHK6_CLOSE_WF + TAILTHK6_OVERFLOW_Q + TAILTHK6_UNDERFLOW_Q * TAILTHK6_UNDERFLOW_WF)</f>
        <v>40157.980898048743</v>
      </c>
      <c r="D60" s="2" t="s">
        <v>0</v>
      </c>
      <c r="E60">
        <f>(TAILTHK6_OPEN_Q * TAILTHK6_OPEN_WF + DI150_TAILTHK6_Q * DI150_TAILTHK6_WF )</f>
        <v>40157.980898223635</v>
      </c>
      <c r="F60" t="b">
        <f t="shared" si="0"/>
        <v>0</v>
      </c>
    </row>
    <row r="61" spans="2:6">
      <c r="B61" t="s">
        <v>1400</v>
      </c>
      <c r="C61">
        <f>( TAILTHK7_CLOSE_Q * TAILTHK7_CLOSE_CF + TAILTHK7_UNDERFLOW_Q * TAILTHK7_UNDERFLOW_CF)</f>
        <v>226.80070735974982</v>
      </c>
      <c r="D61" s="2" t="s">
        <v>0</v>
      </c>
      <c r="E61">
        <f>(TAILTHK7_OPEN_Q * TAILTHK7_OPEN_CF + DI150_TAILTHK7_Q * DI150_TAILTHK7_CF )</f>
        <v>226.77993178660395</v>
      </c>
      <c r="F61" t="b">
        <f t="shared" si="0"/>
        <v>0</v>
      </c>
    </row>
    <row r="62" spans="2:6">
      <c r="B62" t="s">
        <v>1401</v>
      </c>
      <c r="C62">
        <f>( TAILTHK7_CLOSE_Q + TAILTHK7_UNDERFLOW_Q)</f>
        <v>75480.282433753629</v>
      </c>
      <c r="D62" s="2" t="s">
        <v>0</v>
      </c>
      <c r="E62">
        <f>(TAILTHK7_OPEN_Q + DI150_TAILTHK7_Q )</f>
        <v>75480.282433753629</v>
      </c>
      <c r="F62" t="b">
        <f t="shared" si="0"/>
        <v>1</v>
      </c>
    </row>
    <row r="63" spans="2:6">
      <c r="B63" t="s">
        <v>1402</v>
      </c>
      <c r="C63">
        <f>( TAILTHK7_TOTVOL_CLOSE_Q)</f>
        <v>89291.287670000005</v>
      </c>
      <c r="D63" s="2" t="s">
        <v>0</v>
      </c>
      <c r="E63">
        <f>(TAILTHK7_TOTVOL_OPEN_Q )</f>
        <v>89291.287670000005</v>
      </c>
      <c r="F63" t="b">
        <f t="shared" si="0"/>
        <v>1</v>
      </c>
    </row>
    <row r="64" spans="2:6">
      <c r="B64" t="s">
        <v>1403</v>
      </c>
      <c r="C64">
        <f>( TAILTHK7_CLOSE_Q * TAILTHK7_CLOSE_WF + TAILTHK7_OVERFLOW_Q + TAILTHK7_UNDERFLOW_Q * TAILTHK7_UNDERFLOW_WF)</f>
        <v>268420.11886437517</v>
      </c>
      <c r="D64" s="2" t="s">
        <v>0</v>
      </c>
      <c r="E64">
        <f>(TAILTHK7_OPEN_Q * TAILTHK7_OPEN_WF + DI150_TAILTHK7_Q * DI150_TAILTHK7_WF )</f>
        <v>268420.12921853736</v>
      </c>
      <c r="F64" t="b">
        <f t="shared" si="0"/>
        <v>0</v>
      </c>
    </row>
    <row r="65" spans="2:6">
      <c r="B65" t="s">
        <v>1404</v>
      </c>
      <c r="C65">
        <f>( TAILTHK8_CLOSE_Q * TAILTHK8_CLOSE_CF + TAILTHK8_UNDERFLOW_Q * TAILTHK8_UNDERFLOW_CF)</f>
        <v>4525680.3909483515</v>
      </c>
      <c r="D65" s="2" t="s">
        <v>0</v>
      </c>
      <c r="E65">
        <f>(TAILTHK8_OPEN_Q * TAILTHK8_OPEN_CF + DI150_TAILTHK8_Q * DI150_TAILTHK8_CF )</f>
        <v>53.824268115779574</v>
      </c>
      <c r="F65" t="b">
        <f t="shared" si="0"/>
        <v>0</v>
      </c>
    </row>
    <row r="66" spans="2:6">
      <c r="B66" t="s">
        <v>1405</v>
      </c>
      <c r="C66">
        <f>( TAILTHK8_CLOSE_Q + TAILTHK8_UNDERFLOW_Q)</f>
        <v>19792.189033799994</v>
      </c>
      <c r="D66" s="2" t="s">
        <v>0</v>
      </c>
      <c r="E66">
        <f>(TAILTHK8_OPEN_Q + DI150_TAILTHK8_Q )</f>
        <v>19792.189033799994</v>
      </c>
      <c r="F66" t="b">
        <f t="shared" si="0"/>
        <v>1</v>
      </c>
    </row>
    <row r="67" spans="2:6">
      <c r="B67" t="s">
        <v>1406</v>
      </c>
      <c r="C67">
        <f>( TAILTHK8_TOTVOL_CLOSE_Q)</f>
        <v>89291.287670000005</v>
      </c>
      <c r="D67" s="2" t="s">
        <v>0</v>
      </c>
      <c r="E67">
        <f>(TAILTHK8_TOTVOL_OPEN_Q )</f>
        <v>89291.287670000005</v>
      </c>
      <c r="F67" t="b">
        <f t="shared" si="0"/>
        <v>1</v>
      </c>
    </row>
    <row r="68" spans="2:6">
      <c r="B68" t="s">
        <v>1407</v>
      </c>
      <c r="C68">
        <f>( TAILTHK8_CLOSE_Q * TAILTHK8_CLOSE_WF + TAILTHK8_OVERFLOW_Q + TAILTHK8_UNDERFLOW_Q * TAILTHK8_UNDERFLOW_WF)</f>
        <v>111319.11250348203</v>
      </c>
      <c r="D68" s="2" t="s">
        <v>0</v>
      </c>
      <c r="E68">
        <f>(TAILTHK8_OPEN_Q * TAILTHK8_OPEN_WF + DI150_TAILTHK8_Q * DI150_TAILTHK8_WF )</f>
        <v>111319.11250244561</v>
      </c>
      <c r="F68" t="b">
        <f t="shared" ref="F68:F131" si="1">C68=E68</f>
        <v>0</v>
      </c>
    </row>
    <row r="69" spans="2:6">
      <c r="B69" t="s">
        <v>1408</v>
      </c>
      <c r="C69">
        <f>( TAILTHK_OVERFLOW_Q)</f>
        <v>146732.37125253942</v>
      </c>
      <c r="D69" s="2" t="s">
        <v>0</v>
      </c>
      <c r="E69">
        <f>(TAILTHK7_OVERFLOW_Q + TAILTHK6_OVERFLOW_Q + TAILTHK8_OVERFLOW_Q )</f>
        <v>146732.37125253939</v>
      </c>
      <c r="F69" t="b">
        <f t="shared" si="1"/>
        <v>1</v>
      </c>
    </row>
    <row r="70" spans="2:6">
      <c r="B70" t="s">
        <v>1409</v>
      </c>
      <c r="C70">
        <f>( TANK_CLOSE_Q + H2ODISCHARGE_Q + H2OPROCESSTOTAL_Q)</f>
        <v>202749.10958882509</v>
      </c>
      <c r="D70" s="2" t="s">
        <v>0</v>
      </c>
      <c r="E70">
        <f>(TANK_OPEN_Q + H2O_RECOVERED_Q + RO_TANK_Q + TK83_TANK_Q )</f>
        <v>202749.10958882509</v>
      </c>
      <c r="F70" t="b">
        <f t="shared" si="1"/>
        <v>1</v>
      </c>
    </row>
    <row r="71" spans="2:6">
      <c r="B71" t="s">
        <v>1410</v>
      </c>
      <c r="C71">
        <f>( TK10_TK11_Q)</f>
        <v>26849.40981859613</v>
      </c>
      <c r="D71" s="2" t="s">
        <v>0</v>
      </c>
      <c r="E71">
        <f>(POND_RECVR_Q )</f>
        <v>26849.40981859613</v>
      </c>
      <c r="F71" t="b">
        <f t="shared" si="1"/>
        <v>1</v>
      </c>
    </row>
    <row r="72" spans="2:6">
      <c r="B72" t="s">
        <v>1411</v>
      </c>
      <c r="C72">
        <f>( H2O_RECOVERED_Q)</f>
        <v>173007.07544610626</v>
      </c>
      <c r="D72" s="2" t="s">
        <v>0</v>
      </c>
      <c r="E72">
        <f>(TK10_TK11_Q + CONCTHK_OVERFLOW_Q + TAILTHK_OVERFLOW_Q )</f>
        <v>173007.07544610632</v>
      </c>
      <c r="F72" t="b">
        <f t="shared" si="1"/>
        <v>1</v>
      </c>
    </row>
    <row r="73" spans="2:6">
      <c r="B73" t="s">
        <v>1412</v>
      </c>
      <c r="C73">
        <f>( TK140_TK165_Q * TK140_TK165_CF)</f>
        <v>1020747.5324708193</v>
      </c>
      <c r="D73" s="2" t="s">
        <v>0</v>
      </c>
      <c r="E73">
        <f>(TAILTHK8_UNDERFLOW_Q * TAILTHK8_UNDERFLOW_CF + TAILTHK7_UNDERFLOW_Q * TAILTHK7_UNDERFLOW_CF )</f>
        <v>672876.55770982394</v>
      </c>
      <c r="F73" t="b">
        <f t="shared" si="1"/>
        <v>0</v>
      </c>
    </row>
    <row r="74" spans="2:6">
      <c r="B74" t="s">
        <v>1413</v>
      </c>
      <c r="C74">
        <f>( TK140_TK165_Q)</f>
        <v>62071.879647571623</v>
      </c>
      <c r="D74" s="2" t="s">
        <v>0</v>
      </c>
      <c r="E74">
        <f>(TAILTHK7_UNDERFLOW_Q + TAILTHK8_UNDERFLOW_Q )</f>
        <v>62071.879647571623</v>
      </c>
      <c r="F74" t="b">
        <f t="shared" si="1"/>
        <v>1</v>
      </c>
    </row>
    <row r="75" spans="2:6">
      <c r="B75" t="s">
        <v>1414</v>
      </c>
      <c r="C75">
        <f>( TK140_TK165_Q * TK140_TK165_WF)</f>
        <v>44971.365484488844</v>
      </c>
      <c r="D75" s="2" t="s">
        <v>0</v>
      </c>
      <c r="E75">
        <f>(TAILTHK7_UNDERFLOW_Q * TAILTHK7_UNDERFLOW_WF + TAILTHK8_UNDERFLOW_Q * TAILTHK8_UNDERFLOW_WF )</f>
        <v>44970.790577038439</v>
      </c>
      <c r="F75" t="b">
        <f t="shared" si="1"/>
        <v>0</v>
      </c>
    </row>
    <row r="76" spans="2:6">
      <c r="B76" t="s">
        <v>1415</v>
      </c>
      <c r="C76">
        <f>( TAILPOND_Q * TAILPOND_CF)</f>
        <v>-235603266.73481768</v>
      </c>
      <c r="D76" s="2" t="s">
        <v>0</v>
      </c>
      <c r="E76">
        <f>(TAILTHK6_UNDERFLOW_Q * TAILTHK6_UNDERFLOW_CF + TK140_TK165_Q * TK140_TK165_CF )</f>
        <v>-235980934.84091988</v>
      </c>
      <c r="F76" t="b">
        <f t="shared" si="1"/>
        <v>0</v>
      </c>
    </row>
    <row r="77" spans="2:6">
      <c r="B77" t="s">
        <v>1416</v>
      </c>
      <c r="C77">
        <f>( TAILPOND_Q)</f>
        <v>39913.594305772909</v>
      </c>
      <c r="D77" s="2" t="s">
        <v>0</v>
      </c>
      <c r="E77">
        <f>(TAILTHK6_UNDERFLOW_Q + TK140_TK165_Q )</f>
        <v>39913.594305772909</v>
      </c>
      <c r="F77" t="b">
        <f t="shared" si="1"/>
        <v>1</v>
      </c>
    </row>
    <row r="78" spans="2:6">
      <c r="B78" t="s">
        <v>1417</v>
      </c>
      <c r="C78">
        <f>( TAILPOND_Q * TAILPOND_WF)</f>
        <v>25469.259031937327</v>
      </c>
      <c r="D78" s="2" t="s">
        <v>0</v>
      </c>
      <c r="E78">
        <f>(TAILTHK6_UNDERFLOW_Q * TAILTHK6_UNDERFLOW_WF + TK140_TK165_Q * TK140_TK165_WF )</f>
        <v>25469.859077866106</v>
      </c>
      <c r="F78" t="b">
        <f t="shared" si="1"/>
        <v>0</v>
      </c>
    </row>
    <row r="79" spans="2:6">
      <c r="B79" t="s">
        <v>1418</v>
      </c>
      <c r="C79">
        <f>( TK23_CLOSE_Q * TK23_CLOSE_CF + TK23_DI105_Q * TK23_DI105_CF)</f>
        <v>0</v>
      </c>
      <c r="D79" s="2" t="s">
        <v>0</v>
      </c>
      <c r="E79">
        <f>(TK23_OPEN_Q * TK23_OPEN_CF + CONCTHK_TK23_Q * CONCTHK_TK23_CF )</f>
        <v>0</v>
      </c>
      <c r="F79" t="b">
        <f t="shared" si="1"/>
        <v>1</v>
      </c>
    </row>
    <row r="80" spans="2:6">
      <c r="B80" t="s">
        <v>1419</v>
      </c>
      <c r="C80">
        <f>( TK23_CLOSE_Q + TK23_DI105_Q)</f>
        <v>0</v>
      </c>
      <c r="D80" s="2" t="s">
        <v>0</v>
      </c>
      <c r="E80">
        <f>(TK23_OPEN_Q + CONCTHK_TK23_Q )</f>
        <v>0</v>
      </c>
      <c r="F80" t="b">
        <f t="shared" si="1"/>
        <v>1</v>
      </c>
    </row>
    <row r="81" spans="2:6">
      <c r="B81" t="s">
        <v>1420</v>
      </c>
      <c r="C81">
        <f>( TK23_CLOSE_Q * TK23_CLOSE_WF + TK23_DI105_Q * TK23_DI105_WF)</f>
        <v>0</v>
      </c>
      <c r="D81" s="2" t="s">
        <v>0</v>
      </c>
      <c r="E81">
        <f>(TK23_OPEN_Q * TK23_OPEN_WF + CONCTHK_TK23_Q * CONCTHK_TK23_WF )</f>
        <v>0</v>
      </c>
      <c r="F81" t="b">
        <f t="shared" si="1"/>
        <v>1</v>
      </c>
    </row>
    <row r="82" spans="2:6">
      <c r="B82" t="s">
        <v>1421</v>
      </c>
      <c r="C82">
        <f>( TK24_CLOSE_Q * TK24_CLOSE_CF + TK24_DI105_Q * TK24_DI105_CF)</f>
        <v>0</v>
      </c>
      <c r="D82" s="2" t="s">
        <v>0</v>
      </c>
      <c r="E82">
        <f>(TK24_OPEN_Q * TK24_OPEN_CF + CONCTHK_TK24_Q * CONCTHK_TK24_CF )</f>
        <v>0</v>
      </c>
      <c r="F82" t="b">
        <f t="shared" si="1"/>
        <v>1</v>
      </c>
    </row>
    <row r="83" spans="2:6">
      <c r="B83" t="s">
        <v>1422</v>
      </c>
      <c r="C83">
        <f>( TK24_CLOSE_Q + TK24_DI105_Q)</f>
        <v>0</v>
      </c>
      <c r="D83" s="2" t="s">
        <v>0</v>
      </c>
      <c r="E83">
        <f>(TK24_OPEN_Q + CONCTHK_TK24_Q )</f>
        <v>0</v>
      </c>
      <c r="F83" t="b">
        <f t="shared" si="1"/>
        <v>1</v>
      </c>
    </row>
    <row r="84" spans="2:6">
      <c r="B84" t="s">
        <v>1423</v>
      </c>
      <c r="C84">
        <f>( TK24_CLOSE_Q * TK24_CLOSE_WF + TK24_DI105_Q * TK24_DI105_WF)</f>
        <v>0</v>
      </c>
      <c r="D84" s="2" t="s">
        <v>0</v>
      </c>
      <c r="E84">
        <f>(TK24_OPEN_Q * TK24_OPEN_WF + CONCTHK_TK24_Q * CONCTHK_TK24_WF )</f>
        <v>0</v>
      </c>
      <c r="F84" t="b">
        <f t="shared" si="1"/>
        <v>1</v>
      </c>
    </row>
    <row r="85" spans="2:6">
      <c r="B85" t="s">
        <v>1424</v>
      </c>
      <c r="C85">
        <f>( TK25_CLOSE_Q * TK25_CLOSE_CF + TK25_DI105_Q * TK25_DI105_CF)</f>
        <v>1168.3177502919389</v>
      </c>
      <c r="D85" s="2" t="s">
        <v>0</v>
      </c>
      <c r="E85">
        <f>(TK25_OPEN_Q * TK25_OPEN_CF + CONCTHK_TK25_Q * CONCTHK_TK25_CF )</f>
        <v>1169.124234243659</v>
      </c>
      <c r="F85" t="b">
        <f t="shared" si="1"/>
        <v>0</v>
      </c>
    </row>
    <row r="86" spans="2:6">
      <c r="B86" t="s">
        <v>1425</v>
      </c>
      <c r="C86">
        <f>( TK25_CLOSE_Q + TK25_DI105_Q)</f>
        <v>3238.9458431457074</v>
      </c>
      <c r="D86" s="2" t="s">
        <v>0</v>
      </c>
      <c r="E86">
        <f>(TK25_OPEN_Q + CONCTHK_TK25_Q )</f>
        <v>3238.9458431457074</v>
      </c>
      <c r="F86" t="b">
        <f t="shared" si="1"/>
        <v>1</v>
      </c>
    </row>
    <row r="87" spans="2:6">
      <c r="B87" t="s">
        <v>1426</v>
      </c>
      <c r="C87">
        <f>( TK25_CLOSE_Q * TK25_CLOSE_WF + TK25_DI105_Q * TK25_DI105_WF)</f>
        <v>1506.4427022492641</v>
      </c>
      <c r="D87" s="2" t="s">
        <v>0</v>
      </c>
      <c r="E87">
        <f>(TK25_OPEN_Q * TK25_OPEN_WF + CONCTHK_TK25_Q * CONCTHK_TK25_WF )</f>
        <v>1506.313184191607</v>
      </c>
      <c r="F87" t="b">
        <f t="shared" si="1"/>
        <v>0</v>
      </c>
    </row>
    <row r="88" spans="2:6">
      <c r="B88" t="s">
        <v>1427</v>
      </c>
      <c r="C88">
        <f>( TK26_CLOSE_Q * TK26_CLOSE_CF + TK26_DI105_Q * TK26_DI105_CF)</f>
        <v>889.24980357572497</v>
      </c>
      <c r="D88" s="2" t="s">
        <v>0</v>
      </c>
      <c r="E88">
        <f>(TK26_OPEN_Q * TK26_OPEN_CF + CONCTHK_TK26_Q * CONCTHK_TK26_CF )</f>
        <v>889.21498220742683</v>
      </c>
      <c r="F88" t="b">
        <f t="shared" si="1"/>
        <v>0</v>
      </c>
    </row>
    <row r="89" spans="2:6">
      <c r="B89" t="s">
        <v>1428</v>
      </c>
      <c r="C89">
        <f>( TK26_CLOSE_Q + TK26_DI105_Q)</f>
        <v>2626.660093959093</v>
      </c>
      <c r="D89" s="2" t="s">
        <v>0</v>
      </c>
      <c r="E89">
        <f>(TK26_OPEN_Q + CONCTHK_TK26_Q )</f>
        <v>2626.6600939590935</v>
      </c>
      <c r="F89" t="b">
        <f t="shared" si="1"/>
        <v>1</v>
      </c>
    </row>
    <row r="90" spans="2:6">
      <c r="B90" t="s">
        <v>1429</v>
      </c>
      <c r="C90">
        <f>( TK26_CLOSE_Q * TK26_CLOSE_WF + TK26_DI105_Q * TK26_DI105_WF)</f>
        <v>1246.0414950192833</v>
      </c>
      <c r="D90" s="2" t="s">
        <v>0</v>
      </c>
      <c r="E90">
        <f>(TK26_OPEN_Q * TK26_OPEN_WF + CONCTHK_TK26_Q * CONCTHK_TK26_WF )</f>
        <v>1245.9660856974619</v>
      </c>
      <c r="F90" t="b">
        <f t="shared" si="1"/>
        <v>0</v>
      </c>
    </row>
    <row r="91" spans="2:6">
      <c r="B91" t="s">
        <v>1430</v>
      </c>
      <c r="C91">
        <f>( H2OSEAL_DI30_Q + TK83_D25_Q + TK83_MB2_Q + H2OSEAL_REM_1_Q + TK83_D20_Q + TK83_MB3_Q + TK83_MB1_Q + H2OSEAL_REM_2_Q + H2OSEAL_1CLN_Q)</f>
        <v>16431.899487635452</v>
      </c>
      <c r="D91" s="2" t="s">
        <v>0</v>
      </c>
      <c r="E91">
        <f>(H2OSEAL_Q )</f>
        <v>16431.899487635455</v>
      </c>
      <c r="F91" t="b">
        <f t="shared" si="1"/>
        <v>1</v>
      </c>
    </row>
    <row r="92" spans="2:6">
      <c r="B92" t="s">
        <v>1431</v>
      </c>
      <c r="C92">
        <f>( TK83_CLOSE_Q + TK83_CHIL_Q + H2OSEAL_Q + PLANTA_RO_FEED_Q + TK83_TANK_Q)</f>
        <v>-6598.3152664205154</v>
      </c>
      <c r="D92" s="2" t="s">
        <v>0</v>
      </c>
      <c r="E92">
        <f>(TK83_OPEN_Q + H2OFRESH_TK83_Q )</f>
        <v>-6598.315266420519</v>
      </c>
      <c r="F92" t="b">
        <f t="shared" si="1"/>
        <v>1</v>
      </c>
    </row>
    <row r="93" spans="2:6">
      <c r="B93" t="s">
        <v>1432</v>
      </c>
      <c r="C93">
        <f>( ( CONCTHK21_TOTVOL_CLOSE_Q  ))</f>
        <v>5086</v>
      </c>
      <c r="D93" s="2" t="s">
        <v>0</v>
      </c>
      <c r="E93">
        <f>(( 0.239 * CONCTHK21_CLOSE_Q  + CONCTHK21_CLOSE_Q * CONCTHK21_CLOSE_WF ) )</f>
        <v>5085.999995625888</v>
      </c>
      <c r="F93" t="b">
        <f t="shared" si="1"/>
        <v>0</v>
      </c>
    </row>
    <row r="94" spans="2:6">
      <c r="B94" t="s">
        <v>1433</v>
      </c>
      <c r="C94">
        <f>( ( 500 * CONCTHK21_OPEN_CF + 500 * CONCTHK21_CLOSE_CF ))</f>
        <v>0</v>
      </c>
      <c r="D94" s="2" t="s">
        <v>0</v>
      </c>
      <c r="E94">
        <f>(( 1000 * CONCTHK21_PP51_CF ) )</f>
        <v>-3.3195960467221399E-32</v>
      </c>
      <c r="F94" t="b">
        <f t="shared" si="1"/>
        <v>0</v>
      </c>
    </row>
    <row r="95" spans="2:6">
      <c r="B95" t="s">
        <v>1434</v>
      </c>
      <c r="C95">
        <f>( ( 500 * CONCTHK21_CLOSE_CF + 500 * CONCTHK21_OPEN_CF ))</f>
        <v>0</v>
      </c>
      <c r="D95" s="2" t="s">
        <v>0</v>
      </c>
      <c r="E95">
        <f>(( 1000 * CONCTHK21_PP52_CF ) )</f>
        <v>3.5199002841022577E-31</v>
      </c>
      <c r="F95" t="b">
        <f t="shared" si="1"/>
        <v>0</v>
      </c>
    </row>
    <row r="96" spans="2:6">
      <c r="B96" t="s">
        <v>1435</v>
      </c>
      <c r="C96">
        <f>( ( CONCTHK22_TOTVOL_CLOSE_Q  ))</f>
        <v>5086</v>
      </c>
      <c r="D96" s="2" t="s">
        <v>0</v>
      </c>
      <c r="E96">
        <f>(( CONCTHK22_CLOSE_Q * CONCTHK22_CLOSE_WF + 0.239 * CONCTHK22_CLOSE_Q  ) )</f>
        <v>5085.9999999959564</v>
      </c>
      <c r="F96" t="b">
        <f t="shared" si="1"/>
        <v>0</v>
      </c>
    </row>
    <row r="97" spans="2:6">
      <c r="B97" t="s">
        <v>1436</v>
      </c>
      <c r="C97">
        <f>( ( 500 * CONCTHK22_OPEN_CF + 500 * CONCTHK22_CLOSE_CF ))</f>
        <v>-1845.2204804600915</v>
      </c>
      <c r="D97" s="2" t="s">
        <v>0</v>
      </c>
      <c r="E97">
        <f>(( 1000 * CONCTHK22_PP53_CF ) )</f>
        <v>-1845.2204804600917</v>
      </c>
      <c r="F97" t="b">
        <f t="shared" si="1"/>
        <v>1</v>
      </c>
    </row>
    <row r="98" spans="2:6">
      <c r="B98" t="s">
        <v>1437</v>
      </c>
      <c r="C98">
        <f>( ( 500 * CONCTHK22_CLOSE_CF + 500 * CONCTHK22_OPEN_CF ))</f>
        <v>-1845.2204804600915</v>
      </c>
      <c r="D98" s="2" t="s">
        <v>0</v>
      </c>
      <c r="E98">
        <f>(( 1000 * CONCTHK22_PP54_CF ) )</f>
        <v>-1845.2204804600915</v>
      </c>
      <c r="F98" t="b">
        <f t="shared" si="1"/>
        <v>1</v>
      </c>
    </row>
    <row r="99" spans="2:6">
      <c r="B99" t="s">
        <v>1438</v>
      </c>
      <c r="C99">
        <f>( ( 10000 * DI101_CONCTHK21_CF ))</f>
        <v>-28754.088366121832</v>
      </c>
      <c r="D99" s="2" t="s">
        <v>0</v>
      </c>
      <c r="E99">
        <f>(( 10000 * DI101_TOTAL_CF ) )</f>
        <v>-28754.088366121832</v>
      </c>
      <c r="F99" t="b">
        <f t="shared" si="1"/>
        <v>1</v>
      </c>
    </row>
    <row r="100" spans="2:6">
      <c r="B100" t="s">
        <v>1439</v>
      </c>
      <c r="C100">
        <f>( ( 10000 * DI101_CONCTHK22_CF ))</f>
        <v>-28754.088366121836</v>
      </c>
      <c r="D100" s="2" t="s">
        <v>0</v>
      </c>
      <c r="E100">
        <f>(( 10000 * DI101_TOTAL_CF ) )</f>
        <v>-28754.088366121832</v>
      </c>
      <c r="F100" t="b">
        <f t="shared" si="1"/>
        <v>1</v>
      </c>
    </row>
    <row r="101" spans="2:6">
      <c r="B101" t="s">
        <v>1440</v>
      </c>
      <c r="C101">
        <f>( ( 10000 * DI101_CONCTHK21_WF ))</f>
        <v>706.09263141655856</v>
      </c>
      <c r="D101" s="2" t="s">
        <v>0</v>
      </c>
      <c r="E101">
        <f>(( 10000 * DI101_TOTAL_WF ) )</f>
        <v>706.09263141655856</v>
      </c>
      <c r="F101" t="b">
        <f t="shared" si="1"/>
        <v>1</v>
      </c>
    </row>
    <row r="102" spans="2:6">
      <c r="B102" t="s">
        <v>1441</v>
      </c>
      <c r="C102">
        <f>( ( 10000 * DI101_CONCTHK22_WF ))</f>
        <v>706.09263141655856</v>
      </c>
      <c r="D102" s="2" t="s">
        <v>0</v>
      </c>
      <c r="E102">
        <f>(( 10000 * DI101_TOTAL_WF ) )</f>
        <v>706.09263141655856</v>
      </c>
      <c r="F102" t="b">
        <f t="shared" si="1"/>
        <v>1</v>
      </c>
    </row>
    <row r="103" spans="2:6">
      <c r="B103" t="s">
        <v>1442</v>
      </c>
      <c r="C103">
        <f>( ( 1000 * CONCTHK_TKC_CF ))</f>
        <v>306.91830920299674</v>
      </c>
      <c r="D103" s="2" t="s">
        <v>0</v>
      </c>
      <c r="E103">
        <f>(( 1000 * CONCTHK_TK23_CF ) )</f>
        <v>306.91830920299674</v>
      </c>
      <c r="F103" t="b">
        <f t="shared" si="1"/>
        <v>1</v>
      </c>
    </row>
    <row r="104" spans="2:6">
      <c r="B104" t="s">
        <v>1443</v>
      </c>
      <c r="C104">
        <f>( ( 1000 * CONCTHK_TKC_WF ))</f>
        <v>501.59045914399059</v>
      </c>
      <c r="D104" s="2" t="s">
        <v>0</v>
      </c>
      <c r="E104">
        <f>(( 1000 * CONCTHK_TK23_WF ) )</f>
        <v>501.59045914399059</v>
      </c>
      <c r="F104" t="b">
        <f t="shared" si="1"/>
        <v>1</v>
      </c>
    </row>
    <row r="105" spans="2:6">
      <c r="B105" t="s">
        <v>1444</v>
      </c>
      <c r="C105">
        <f>( ( 1000 * CONCTHK_TKC_CF ))</f>
        <v>306.91830920299674</v>
      </c>
      <c r="D105" s="2" t="s">
        <v>0</v>
      </c>
      <c r="E105">
        <f>(( 1000 * CONCTHK_TK24_CF ) )</f>
        <v>306.91830920299674</v>
      </c>
      <c r="F105" t="b">
        <f t="shared" si="1"/>
        <v>1</v>
      </c>
    </row>
    <row r="106" spans="2:6">
      <c r="B106" t="s">
        <v>1445</v>
      </c>
      <c r="C106">
        <f>( ( 1000 * CONCTHK_TKC_WF ))</f>
        <v>501.59045914399059</v>
      </c>
      <c r="D106" s="2" t="s">
        <v>0</v>
      </c>
      <c r="E106">
        <f>(( 1000 * CONCTHK_TK24_WF ) )</f>
        <v>501.59045914399059</v>
      </c>
      <c r="F106" t="b">
        <f t="shared" si="1"/>
        <v>1</v>
      </c>
    </row>
    <row r="107" spans="2:6">
      <c r="B107" t="s">
        <v>1446</v>
      </c>
      <c r="C107">
        <f>( ( 1000 * CONCTHK_TKC_CF ))</f>
        <v>306.91830920299674</v>
      </c>
      <c r="D107" s="2" t="s">
        <v>0</v>
      </c>
      <c r="E107">
        <f>(( 1000 * CONCTHK_TK25_CF ) )</f>
        <v>306.91830920299674</v>
      </c>
      <c r="F107" t="b">
        <f t="shared" si="1"/>
        <v>1</v>
      </c>
    </row>
    <row r="108" spans="2:6">
      <c r="B108" t="s">
        <v>1447</v>
      </c>
      <c r="C108">
        <f>( ( 1000 * CONCTHK_TKC_WF ))</f>
        <v>501.59045914399059</v>
      </c>
      <c r="D108" s="2" t="s">
        <v>0</v>
      </c>
      <c r="E108">
        <f>(( 1000 * CONCTHK_TK25_WF ) )</f>
        <v>501.59045914399059</v>
      </c>
      <c r="F108" t="b">
        <f t="shared" si="1"/>
        <v>1</v>
      </c>
    </row>
    <row r="109" spans="2:6">
      <c r="B109" t="s">
        <v>1448</v>
      </c>
      <c r="C109">
        <f>( ( 1000 * CONCTHK_TKC_CF ))</f>
        <v>306.91830920299674</v>
      </c>
      <c r="D109" s="2" t="s">
        <v>0</v>
      </c>
      <c r="E109">
        <f>(( 1000 * CONCTHK_TK26_CF ) )</f>
        <v>306.91830920299674</v>
      </c>
      <c r="F109" t="b">
        <f t="shared" si="1"/>
        <v>1</v>
      </c>
    </row>
    <row r="110" spans="2:6">
      <c r="B110" t="s">
        <v>1449</v>
      </c>
      <c r="C110">
        <f>( ( 1000 * CONCTHK_TKC_WF ))</f>
        <v>501.59045914399059</v>
      </c>
      <c r="D110" s="2" t="s">
        <v>0</v>
      </c>
      <c r="E110">
        <f>(( 1000 * CONCTHK_TK26_WF ) )</f>
        <v>501.59045914399059</v>
      </c>
      <c r="F110" t="b">
        <f t="shared" si="1"/>
        <v>1</v>
      </c>
    </row>
    <row r="111" spans="2:6">
      <c r="B111" t="s">
        <v>1450</v>
      </c>
      <c r="C111">
        <f>( ( 10000 * DI150_TAILTHK6_CF ))</f>
        <v>30.994999999999997</v>
      </c>
      <c r="D111" s="2" t="s">
        <v>0</v>
      </c>
      <c r="E111">
        <f>(( 10000 * TAILS_CF ) )</f>
        <v>30.994999999999997</v>
      </c>
      <c r="F111" t="b">
        <f t="shared" si="1"/>
        <v>1</v>
      </c>
    </row>
    <row r="112" spans="2:6">
      <c r="B112" t="s">
        <v>1451</v>
      </c>
      <c r="C112">
        <f>( ( 10000 * DI150_TAILTHK7_CF ))</f>
        <v>30.994999999999997</v>
      </c>
      <c r="D112" s="2" t="s">
        <v>0</v>
      </c>
      <c r="E112">
        <f>(( 10000 * TAILS_CF ) )</f>
        <v>30.994999999999997</v>
      </c>
      <c r="F112" t="b">
        <f t="shared" si="1"/>
        <v>1</v>
      </c>
    </row>
    <row r="113" spans="2:6">
      <c r="B113" t="s">
        <v>1452</v>
      </c>
      <c r="C113">
        <f>( ( 10000 * DI150_TAILTHK8_CF ))</f>
        <v>30.994999999999997</v>
      </c>
      <c r="D113" s="2" t="s">
        <v>0</v>
      </c>
      <c r="E113">
        <f>(( 10000 * TAILS_CF ) )</f>
        <v>30.994999999999997</v>
      </c>
      <c r="F113" t="b">
        <f t="shared" si="1"/>
        <v>1</v>
      </c>
    </row>
    <row r="114" spans="2:6">
      <c r="B114" t="s">
        <v>1453</v>
      </c>
      <c r="C114">
        <f>( ( 10000 * DI150_TAILTHK6_WF ))</f>
        <v>28759.999896832454</v>
      </c>
      <c r="D114" s="2" t="s">
        <v>0</v>
      </c>
      <c r="E114">
        <f>(( 10000 * TAILS_WF ) )</f>
        <v>28759.999896832454</v>
      </c>
      <c r="F114" t="b">
        <f t="shared" si="1"/>
        <v>1</v>
      </c>
    </row>
    <row r="115" spans="2:6">
      <c r="B115" t="s">
        <v>1454</v>
      </c>
      <c r="C115">
        <f>( ( 10000 * DI150_TAILTHK7_WF ))</f>
        <v>28759.999896832454</v>
      </c>
      <c r="D115" s="2" t="s">
        <v>0</v>
      </c>
      <c r="E115">
        <f>(( 10000 * TAILS_WF ) )</f>
        <v>28759.999896832454</v>
      </c>
      <c r="F115" t="b">
        <f t="shared" si="1"/>
        <v>1</v>
      </c>
    </row>
    <row r="116" spans="2:6">
      <c r="B116" t="s">
        <v>1455</v>
      </c>
      <c r="C116">
        <f>( ( 10000 * DI150_TAILTHK8_WF ))</f>
        <v>28759.999896832454</v>
      </c>
      <c r="D116" s="2" t="s">
        <v>0</v>
      </c>
      <c r="E116">
        <f>(( 10000 * TAILS_WF ) )</f>
        <v>28759.999896832454</v>
      </c>
      <c r="F116" t="b">
        <f t="shared" si="1"/>
        <v>1</v>
      </c>
    </row>
    <row r="117" spans="2:6">
      <c r="B117" t="s">
        <v>1456</v>
      </c>
      <c r="C117">
        <f>( ( PIPE_TKCLC_CF ))</f>
        <v>0.36152700729932896</v>
      </c>
      <c r="D117" s="2" t="s">
        <v>0</v>
      </c>
      <c r="E117">
        <f>(( PIPELINE_CLOSE_CF ) )</f>
        <v>0.36152700729932896</v>
      </c>
      <c r="F117" t="b">
        <f t="shared" si="1"/>
        <v>1</v>
      </c>
    </row>
    <row r="118" spans="2:6">
      <c r="B118" t="s">
        <v>1457</v>
      </c>
      <c r="C118">
        <f>( ( PIPE_TKCLC_WF ))</f>
        <v>0.46177965094751749</v>
      </c>
      <c r="D118" s="2" t="s">
        <v>0</v>
      </c>
      <c r="E118">
        <f>(( PIPELINE_CLOSE_WF ) )</f>
        <v>0.46177965094751749</v>
      </c>
      <c r="F118" t="b">
        <f t="shared" si="1"/>
        <v>1</v>
      </c>
    </row>
    <row r="119" spans="2:6">
      <c r="B119" t="s">
        <v>1458</v>
      </c>
      <c r="C119">
        <f>( ( 1000 * CONCTHK21_PP51_CF ))</f>
        <v>-3.3195960467221399E-32</v>
      </c>
      <c r="D119" s="2" t="s">
        <v>0</v>
      </c>
      <c r="E119">
        <f>(( 1000 * PP51_DI104_CF ) )</f>
        <v>419.59999999999997</v>
      </c>
      <c r="F119" t="b">
        <f t="shared" si="1"/>
        <v>0</v>
      </c>
    </row>
    <row r="120" spans="2:6">
      <c r="B120" t="s">
        <v>1459</v>
      </c>
      <c r="C120">
        <f>( ( 1000 * CONCTHK21_PP51_CF ))</f>
        <v>-3.3195960467221399E-32</v>
      </c>
      <c r="D120" s="2" t="s">
        <v>0</v>
      </c>
      <c r="E120">
        <f>(( 1000 * PP51_DI101_CF ) )</f>
        <v>0</v>
      </c>
      <c r="F120" t="b">
        <f t="shared" si="1"/>
        <v>0</v>
      </c>
    </row>
    <row r="121" spans="2:6">
      <c r="B121" t="s">
        <v>1460</v>
      </c>
      <c r="C121">
        <f>( ( 1000 * CONCTHK21_PP51_WF ))</f>
        <v>0</v>
      </c>
      <c r="D121" s="2" t="s">
        <v>0</v>
      </c>
      <c r="E121">
        <f>(( 1000 * PP51_DI104_WF ) )</f>
        <v>3.8036782780499559E-46</v>
      </c>
      <c r="F121" t="b">
        <f t="shared" si="1"/>
        <v>0</v>
      </c>
    </row>
    <row r="122" spans="2:6">
      <c r="B122" t="s">
        <v>1461</v>
      </c>
      <c r="C122">
        <f>( ( 1000 * CONCTHK21_PP51_WF ))</f>
        <v>0</v>
      </c>
      <c r="D122" s="2" t="s">
        <v>0</v>
      </c>
      <c r="E122">
        <f>(( 1000 * PP51_DI101_WF ) )</f>
        <v>0</v>
      </c>
      <c r="F122" t="b">
        <f t="shared" si="1"/>
        <v>1</v>
      </c>
    </row>
    <row r="123" spans="2:6">
      <c r="B123" t="s">
        <v>1462</v>
      </c>
      <c r="C123">
        <f>( ( 1000 * CONCTHK21_PP52_CF ))</f>
        <v>3.5199002841022577E-31</v>
      </c>
      <c r="D123" s="2" t="s">
        <v>0</v>
      </c>
      <c r="E123">
        <f>(( 1000 * PP52_DI104_CF ) )</f>
        <v>-2.2578895490594498E-31</v>
      </c>
      <c r="F123" t="b">
        <f t="shared" si="1"/>
        <v>0</v>
      </c>
    </row>
    <row r="124" spans="2:6">
      <c r="B124" t="s">
        <v>1463</v>
      </c>
      <c r="C124">
        <f>( ( 1000 * CONCTHK21_PP52_CF ))</f>
        <v>3.5199002841022577E-31</v>
      </c>
      <c r="D124" s="2" t="s">
        <v>0</v>
      </c>
      <c r="E124">
        <f>(( 1000 * PP52_DI101_CF ) )</f>
        <v>1.0731793225267156E-30</v>
      </c>
      <c r="F124" t="b">
        <f t="shared" si="1"/>
        <v>0</v>
      </c>
    </row>
    <row r="125" spans="2:6">
      <c r="B125" t="s">
        <v>1464</v>
      </c>
      <c r="C125">
        <f>( ( 1000 * CONCTHK21_PP52_WF ))</f>
        <v>439.59999999999997</v>
      </c>
      <c r="D125" s="2" t="s">
        <v>0</v>
      </c>
      <c r="E125">
        <f>(( 1000 * PP52_DI104_WF ) )</f>
        <v>439.59999999999997</v>
      </c>
      <c r="F125" t="b">
        <f t="shared" si="1"/>
        <v>1</v>
      </c>
    </row>
    <row r="126" spans="2:6">
      <c r="B126" t="s">
        <v>1465</v>
      </c>
      <c r="C126">
        <f>( ( 1000 * CONCTHK21_PP52_WF ))</f>
        <v>439.59999999999997</v>
      </c>
      <c r="D126" s="2" t="s">
        <v>0</v>
      </c>
      <c r="E126">
        <f>(( 1000 * PP52_DI101_WF ) )</f>
        <v>439.59999999999997</v>
      </c>
      <c r="F126" t="b">
        <f t="shared" si="1"/>
        <v>1</v>
      </c>
    </row>
    <row r="127" spans="2:6">
      <c r="B127" t="s">
        <v>1466</v>
      </c>
      <c r="C127">
        <f>( ( 1000 * CONCTHK22_PP53_CF ))</f>
        <v>-1845.2204804600917</v>
      </c>
      <c r="D127" s="2" t="s">
        <v>0</v>
      </c>
      <c r="E127">
        <f>(( 1000 * PP53_DI104_CF ) )</f>
        <v>-1845.2204804600915</v>
      </c>
      <c r="F127" t="b">
        <f t="shared" si="1"/>
        <v>1</v>
      </c>
    </row>
    <row r="128" spans="2:6">
      <c r="B128" t="s">
        <v>1467</v>
      </c>
      <c r="C128">
        <f>( ( 1000 * CONCTHK22_PP53_CF ))</f>
        <v>-1845.2204804600917</v>
      </c>
      <c r="D128" s="2" t="s">
        <v>0</v>
      </c>
      <c r="E128">
        <f>(( 1000 * PP53_DI101_CF ) )</f>
        <v>-1845.2204804600917</v>
      </c>
      <c r="F128" t="b">
        <f t="shared" si="1"/>
        <v>1</v>
      </c>
    </row>
    <row r="129" spans="2:6">
      <c r="B129" t="s">
        <v>1468</v>
      </c>
      <c r="C129">
        <f>( ( 1000 * CONCTHK22_PP53_WF ))</f>
        <v>520.20000000000005</v>
      </c>
      <c r="D129" s="2" t="s">
        <v>0</v>
      </c>
      <c r="E129">
        <f>(( 1000 * PP53_DI104_WF ) )</f>
        <v>520.20000000000005</v>
      </c>
      <c r="F129" t="b">
        <f t="shared" si="1"/>
        <v>1</v>
      </c>
    </row>
    <row r="130" spans="2:6">
      <c r="B130" t="s">
        <v>1469</v>
      </c>
      <c r="C130">
        <f>( ( 1000 * CONCTHK22_PP53_WF ))</f>
        <v>520.20000000000005</v>
      </c>
      <c r="D130" s="2" t="s">
        <v>0</v>
      </c>
      <c r="E130">
        <f>(( 1000 * PP53_DI101_WF ) )</f>
        <v>520.20000000000005</v>
      </c>
      <c r="F130" t="b">
        <f t="shared" si="1"/>
        <v>1</v>
      </c>
    </row>
    <row r="131" spans="2:6">
      <c r="B131" t="s">
        <v>1470</v>
      </c>
      <c r="C131">
        <f>( ( 1000 * CONCTHK22_PP54_CF ))</f>
        <v>-1845.2204804600915</v>
      </c>
      <c r="D131" s="2" t="s">
        <v>0</v>
      </c>
      <c r="E131">
        <f>(( 1000 * PP54_DI104_CF ) )</f>
        <v>-1845.2204804600915</v>
      </c>
      <c r="F131" t="b">
        <f t="shared" si="1"/>
        <v>1</v>
      </c>
    </row>
    <row r="132" spans="2:6">
      <c r="B132" t="s">
        <v>1471</v>
      </c>
      <c r="C132">
        <f>( ( 1000 * CONCTHK22_PP54_CF ))</f>
        <v>-1845.2204804600915</v>
      </c>
      <c r="D132" s="2" t="s">
        <v>0</v>
      </c>
      <c r="E132">
        <f>(( 1000 * PP54_DI101_CF ) )</f>
        <v>-1845.2204804600915</v>
      </c>
      <c r="F132" t="b">
        <f t="shared" ref="F132:F148" si="2">C132=E132</f>
        <v>1</v>
      </c>
    </row>
    <row r="133" spans="2:6">
      <c r="B133" t="s">
        <v>1472</v>
      </c>
      <c r="C133">
        <f>( ( 1000 * CONCTHK22_PP54_WF ))</f>
        <v>18.898700000000002</v>
      </c>
      <c r="D133" s="2" t="s">
        <v>0</v>
      </c>
      <c r="E133">
        <f>(( 1000 * PP54_DI104_WF ) )</f>
        <v>18.898700000000002</v>
      </c>
      <c r="F133" t="b">
        <f t="shared" si="2"/>
        <v>1</v>
      </c>
    </row>
    <row r="134" spans="2:6">
      <c r="B134" t="s">
        <v>1473</v>
      </c>
      <c r="C134">
        <f>( ( 1000 * CONCTHK22_PP54_WF ))</f>
        <v>18.898700000000002</v>
      </c>
      <c r="D134" s="2" t="s">
        <v>0</v>
      </c>
      <c r="E134">
        <f>(( 1000 * PP54_DI101_WF ) )</f>
        <v>18.898700000000002</v>
      </c>
      <c r="F134" t="b">
        <f t="shared" si="2"/>
        <v>1</v>
      </c>
    </row>
    <row r="135" spans="2:6">
      <c r="B135" t="s">
        <v>1474</v>
      </c>
      <c r="C135">
        <f>( ( TAILTHK6_UNDERFLOW_CF ))</f>
        <v>10695.849372709266</v>
      </c>
      <c r="D135" s="2" t="s">
        <v>0</v>
      </c>
      <c r="E135">
        <f>(( TAILTHK6_CLOSE_CF ) )</f>
        <v>10695.849372709266</v>
      </c>
      <c r="F135" t="b">
        <f t="shared" si="2"/>
        <v>1</v>
      </c>
    </row>
    <row r="136" spans="2:6">
      <c r="B136" t="s">
        <v>1475</v>
      </c>
      <c r="C136">
        <f>( ( TAILTHK6_TOTVOL_CLOSE_Q  ))</f>
        <v>89291.287670000005</v>
      </c>
      <c r="D136" s="2" t="s">
        <v>0</v>
      </c>
      <c r="E136">
        <f>(( TAILTHK6_CLOSE_Q * TAILTHK6_CLOSE_WF + 0.3645 * TAILTHK6_CLOSE_Q  ) )</f>
        <v>89291.286283695998</v>
      </c>
      <c r="F136" t="b">
        <f t="shared" si="2"/>
        <v>0</v>
      </c>
    </row>
    <row r="137" spans="2:6">
      <c r="B137" t="s">
        <v>1476</v>
      </c>
      <c r="C137">
        <f>( ( TAILTHK7_UNDERFLOW_CF ))</f>
        <v>3.0047676034970429E-3</v>
      </c>
      <c r="D137" s="2" t="s">
        <v>0</v>
      </c>
      <c r="E137">
        <f>(( TAILTHK7_CLOSE_CF ) )</f>
        <v>3.0047676034970429E-3</v>
      </c>
      <c r="F137" t="b">
        <f t="shared" si="2"/>
        <v>1</v>
      </c>
    </row>
    <row r="138" spans="2:6">
      <c r="B138" t="s">
        <v>1477</v>
      </c>
      <c r="C138">
        <f>( ( TAILTHK7_TOTVOL_CLOSE_Q  ))</f>
        <v>89291.287670000005</v>
      </c>
      <c r="D138" s="2" t="s">
        <v>0</v>
      </c>
      <c r="E138">
        <f>(( TAILTHK7_CLOSE_Q * TAILTHK7_CLOSE_WF + 0.3645 * TAILTHK7_CLOSE_Q  ) )</f>
        <v>89291.286527146745</v>
      </c>
      <c r="F138" t="b">
        <f t="shared" si="2"/>
        <v>0</v>
      </c>
    </row>
    <row r="139" spans="2:6">
      <c r="B139" t="s">
        <v>1478</v>
      </c>
      <c r="C139">
        <f>( ( TAILTHK8_UNDERFLOW_CF ))</f>
        <v>228.6599215084116</v>
      </c>
      <c r="D139" s="2" t="s">
        <v>0</v>
      </c>
      <c r="E139">
        <f>(( TAILTHK8_CLOSE_CF ) )</f>
        <v>228.6599215084116</v>
      </c>
      <c r="F139" t="b">
        <f t="shared" si="2"/>
        <v>1</v>
      </c>
    </row>
    <row r="140" spans="2:6">
      <c r="B140" t="s">
        <v>1479</v>
      </c>
      <c r="C140">
        <f>( ( TAILTHK8_TOTVOL_CLOSE_Q  ))</f>
        <v>89291.287670000005</v>
      </c>
      <c r="D140" s="2" t="s">
        <v>0</v>
      </c>
      <c r="E140">
        <f>(( TAILTHK8_CLOSE_Q * TAILTHK8_CLOSE_WF + 0.3645 * TAILTHK8_CLOSE_Q  ) )</f>
        <v>89291.286501131501</v>
      </c>
      <c r="F140" t="b">
        <f t="shared" si="2"/>
        <v>0</v>
      </c>
    </row>
    <row r="141" spans="2:6">
      <c r="B141" t="s">
        <v>1480</v>
      </c>
      <c r="C141">
        <f>( ( TK23_DI105_CF ))</f>
        <v>0.3216</v>
      </c>
      <c r="D141" s="2" t="s">
        <v>0</v>
      </c>
      <c r="E141">
        <f>(( TK23_CLOSE_CF ) )</f>
        <v>0.3216</v>
      </c>
      <c r="F141" t="b">
        <f t="shared" si="2"/>
        <v>1</v>
      </c>
    </row>
    <row r="142" spans="2:6">
      <c r="B142" t="s">
        <v>1481</v>
      </c>
      <c r="C142">
        <f>( ( TK23_DI105_WF ))</f>
        <v>0.53920000000000001</v>
      </c>
      <c r="D142" s="2" t="s">
        <v>0</v>
      </c>
      <c r="E142">
        <f>(( TK23_CLOSE_WF ) )</f>
        <v>0.53920000000000001</v>
      </c>
      <c r="F142" t="b">
        <f t="shared" si="2"/>
        <v>1</v>
      </c>
    </row>
    <row r="143" spans="2:6">
      <c r="B143" t="s">
        <v>1482</v>
      </c>
      <c r="C143">
        <f>( ( TK24_DI105_CF ))</f>
        <v>0.30489257452865021</v>
      </c>
      <c r="D143" s="2" t="s">
        <v>0</v>
      </c>
      <c r="E143">
        <f>(( TK24_CLOSE_CF ) )</f>
        <v>0.30489257452865021</v>
      </c>
      <c r="F143" t="b">
        <f t="shared" si="2"/>
        <v>1</v>
      </c>
    </row>
    <row r="144" spans="2:6">
      <c r="B144" t="s">
        <v>1483</v>
      </c>
      <c r="C144">
        <f>( ( TK24_DI105_WF ))</f>
        <v>0.51060000000000005</v>
      </c>
      <c r="D144" s="2" t="s">
        <v>0</v>
      </c>
      <c r="E144">
        <f>(( TK24_CLOSE_WF ) )</f>
        <v>0.51060000000000005</v>
      </c>
      <c r="F144" t="b">
        <f t="shared" si="2"/>
        <v>1</v>
      </c>
    </row>
    <row r="145" spans="2:10">
      <c r="B145" t="s">
        <v>1484</v>
      </c>
      <c r="C145">
        <f>( ( TK25_DI105_CF ))</f>
        <v>0.36070925753956201</v>
      </c>
      <c r="D145" s="2" t="s">
        <v>0</v>
      </c>
      <c r="E145">
        <f>(( TK25_CLOSE_CF ) )</f>
        <v>0.36070925753956201</v>
      </c>
      <c r="F145" t="b">
        <f t="shared" si="2"/>
        <v>1</v>
      </c>
    </row>
    <row r="146" spans="2:10">
      <c r="B146" t="s">
        <v>1485</v>
      </c>
      <c r="C146">
        <f>( ( TK25_DI105_WF ))</f>
        <v>0.46510277578034059</v>
      </c>
      <c r="D146" s="2" t="s">
        <v>0</v>
      </c>
      <c r="E146">
        <f>(( TK25_CLOSE_WF ) )</f>
        <v>0.46510277578034059</v>
      </c>
      <c r="F146" t="b">
        <f t="shared" si="2"/>
        <v>1</v>
      </c>
    </row>
    <row r="147" spans="2:10">
      <c r="B147" t="s">
        <v>1486</v>
      </c>
      <c r="C147">
        <f>( ( TK26_DI105_CF ))</f>
        <v>0.33854772668182698</v>
      </c>
      <c r="D147" s="2" t="s">
        <v>0</v>
      </c>
      <c r="E147">
        <f>(( TK26_CLOSE_CF ) )</f>
        <v>0.33854772668182698</v>
      </c>
      <c r="F147" t="b">
        <f t="shared" si="2"/>
        <v>1</v>
      </c>
    </row>
    <row r="148" spans="2:10">
      <c r="B148" t="s">
        <v>1487</v>
      </c>
      <c r="C148">
        <f>( ( TK26_DI105_WF ))</f>
        <v>0.47438246687684626</v>
      </c>
      <c r="D148" s="2" t="s">
        <v>0</v>
      </c>
      <c r="E148">
        <f>(( TK26_CLOSE_WF ) )</f>
        <v>0.47438246687684626</v>
      </c>
      <c r="F148" t="b">
        <f t="shared" si="2"/>
        <v>1</v>
      </c>
    </row>
    <row r="149" spans="2:10" ht="26.25">
      <c r="B149" s="68" t="s">
        <v>46</v>
      </c>
      <c r="C149" s="68"/>
      <c r="D149" s="68"/>
      <c r="E149" s="68"/>
      <c r="F149" s="68"/>
      <c r="G149" s="68" t="s">
        <v>2409</v>
      </c>
      <c r="H149" s="68"/>
      <c r="I149" s="68" t="s">
        <v>2410</v>
      </c>
      <c r="J149" s="68"/>
    </row>
    <row r="150" spans="2:10" s="48" customFormat="1" ht="12.75">
      <c r="B150" s="49" t="s">
        <v>461</v>
      </c>
      <c r="C150" s="50" t="s">
        <v>57</v>
      </c>
      <c r="D150" s="50" t="s">
        <v>25</v>
      </c>
      <c r="E150" s="50" t="s">
        <v>26</v>
      </c>
      <c r="F150" s="50" t="s">
        <v>30</v>
      </c>
      <c r="G150" s="50" t="s">
        <v>26</v>
      </c>
      <c r="H150" s="50" t="s">
        <v>30</v>
      </c>
      <c r="I150" s="50" t="s">
        <v>26</v>
      </c>
      <c r="J150" s="50" t="s">
        <v>30</v>
      </c>
    </row>
    <row r="151" spans="2:10">
      <c r="B151" t="s">
        <v>1760</v>
      </c>
      <c r="C151">
        <f t="array" ref="C151">D151:F151</f>
        <v>6745.2459998203158</v>
      </c>
      <c r="D151" s="22">
        <v>6745.2459998203158</v>
      </c>
      <c r="E151" s="22">
        <v>337.26229999999998</v>
      </c>
      <c r="F151" s="22">
        <v>6745.2460000000001</v>
      </c>
      <c r="G151" s="22">
        <v>673.15353420999998</v>
      </c>
      <c r="H151" s="22">
        <v>6731.5353421</v>
      </c>
      <c r="I151" s="22">
        <v>337.26229999999998</v>
      </c>
      <c r="J151" s="22">
        <v>6745.2460000000001</v>
      </c>
    </row>
    <row r="152" spans="2:10">
      <c r="B152" t="s">
        <v>1761</v>
      </c>
      <c r="C152">
        <f t="array" ref="C152">D152:F152</f>
        <v>-1407.7930585701301</v>
      </c>
      <c r="D152" s="22">
        <v>-1407.7930585701301</v>
      </c>
      <c r="E152" s="22"/>
      <c r="F152" s="22"/>
      <c r="G152" s="22">
        <v>7.6660853500000004</v>
      </c>
      <c r="H152" s="22">
        <v>76.660853500000002</v>
      </c>
      <c r="I152" s="22"/>
      <c r="J152" s="22"/>
    </row>
    <row r="153" spans="2:10">
      <c r="B153" t="s">
        <v>1762</v>
      </c>
      <c r="C153">
        <f t="array" ref="C153">D153:F153</f>
        <v>-0.3918007</v>
      </c>
      <c r="D153" s="22">
        <v>-0.3918007</v>
      </c>
      <c r="E153" s="22"/>
      <c r="F153" s="22"/>
      <c r="G153" s="22">
        <v>3.8985899999999997E-2</v>
      </c>
      <c r="H153" s="22">
        <v>0.38985900000000001</v>
      </c>
      <c r="I153" s="22"/>
      <c r="J153" s="22"/>
    </row>
    <row r="154" spans="2:10">
      <c r="B154" t="s">
        <v>1763</v>
      </c>
      <c r="C154">
        <f t="array" ref="C154">D154:F154</f>
        <v>-724.07654786354669</v>
      </c>
      <c r="D154" s="22">
        <v>-724.07654786354669</v>
      </c>
      <c r="E154" s="22">
        <v>470.56</v>
      </c>
      <c r="F154" s="22">
        <v>1176.4000000000001</v>
      </c>
      <c r="G154" s="22">
        <v>99.562795320000006</v>
      </c>
      <c r="H154" s="22">
        <v>995.62795319999998</v>
      </c>
      <c r="I154" s="22">
        <v>470.56</v>
      </c>
      <c r="J154" s="22">
        <v>1176.4000000000001</v>
      </c>
    </row>
    <row r="155" spans="2:10">
      <c r="B155" t="s">
        <v>1764</v>
      </c>
      <c r="C155">
        <f t="array" ref="C155">D155:F155</f>
        <v>-7.2631192186552518</v>
      </c>
      <c r="D155" s="22">
        <v>-7.2631192186552518</v>
      </c>
      <c r="E155" s="22"/>
      <c r="F155" s="22"/>
      <c r="G155" s="22">
        <v>0.48693339000000002</v>
      </c>
      <c r="H155" s="22">
        <v>4.8693339</v>
      </c>
      <c r="I155" s="22"/>
      <c r="J155" s="22"/>
    </row>
    <row r="156" spans="2:10">
      <c r="B156" t="s">
        <v>1765</v>
      </c>
      <c r="C156">
        <f t="array" ref="C156">D156:F156</f>
        <v>0.3918007</v>
      </c>
      <c r="D156" s="22">
        <v>0.3918007</v>
      </c>
      <c r="E156" s="22">
        <v>0</v>
      </c>
      <c r="F156" s="22">
        <v>0.3918007</v>
      </c>
      <c r="G156" s="22">
        <v>0</v>
      </c>
      <c r="H156" s="22">
        <v>0.3918007</v>
      </c>
      <c r="I156" s="22">
        <v>0</v>
      </c>
      <c r="J156" s="22">
        <v>0.3918007</v>
      </c>
    </row>
    <row r="157" spans="2:10">
      <c r="B157" t="s">
        <v>1766</v>
      </c>
      <c r="C157">
        <f t="array" ref="C157">D157:F157</f>
        <v>1287.6652647000001</v>
      </c>
      <c r="D157" s="22">
        <v>1287.6652647000001</v>
      </c>
      <c r="E157" s="22">
        <v>0</v>
      </c>
      <c r="F157" s="22">
        <v>1287.6652647000001</v>
      </c>
      <c r="G157" s="22">
        <v>0</v>
      </c>
      <c r="H157" s="22">
        <v>1287.6652647000001</v>
      </c>
      <c r="I157" s="22">
        <v>0</v>
      </c>
      <c r="J157" s="22">
        <v>1287.6652647000001</v>
      </c>
    </row>
    <row r="158" spans="2:10">
      <c r="B158" t="s">
        <v>1767</v>
      </c>
      <c r="C158">
        <f t="array" ref="C158">D158:F158</f>
        <v>3.7107842999999998</v>
      </c>
      <c r="D158" s="22">
        <v>3.7107842999999998</v>
      </c>
      <c r="E158" s="22">
        <v>0</v>
      </c>
      <c r="F158" s="22">
        <v>3.7107842999999998</v>
      </c>
      <c r="G158" s="22">
        <v>0</v>
      </c>
      <c r="H158" s="22">
        <v>3.7107842999999998</v>
      </c>
      <c r="I158" s="22">
        <v>0</v>
      </c>
      <c r="J158" s="22">
        <v>3.7107842999999998</v>
      </c>
    </row>
    <row r="159" spans="2:10">
      <c r="B159" t="s">
        <v>1768</v>
      </c>
      <c r="C159">
        <f t="array" ref="C159">D159:F159</f>
        <v>-3.3195960467221399E-35</v>
      </c>
      <c r="D159" s="22">
        <v>-3.3195960467221399E-35</v>
      </c>
      <c r="E159" s="22"/>
      <c r="F159" s="22"/>
      <c r="G159" s="22">
        <v>3.9082989999999998E-2</v>
      </c>
      <c r="H159" s="22">
        <v>0.39082990000000001</v>
      </c>
      <c r="I159" s="22"/>
      <c r="J159" s="22"/>
    </row>
    <row r="160" spans="2:10">
      <c r="B160" t="s">
        <v>1769</v>
      </c>
      <c r="C160">
        <f t="array" ref="C160">D160:F160</f>
        <v>0.40776172813470779</v>
      </c>
      <c r="D160" s="22">
        <v>0.40776172813470779</v>
      </c>
      <c r="E160" s="22"/>
      <c r="F160" s="22"/>
      <c r="G160" s="22">
        <v>0</v>
      </c>
      <c r="H160" s="22">
        <v>0</v>
      </c>
      <c r="I160" s="22"/>
      <c r="J160" s="22"/>
    </row>
    <row r="161" spans="2:10">
      <c r="B161" t="s">
        <v>1770</v>
      </c>
      <c r="C161">
        <f t="array" ref="C161">D161:F161</f>
        <v>0</v>
      </c>
      <c r="D161" s="22">
        <v>0</v>
      </c>
      <c r="E161" s="22"/>
      <c r="F161" s="22"/>
      <c r="G161" s="22">
        <v>36.139702900000003</v>
      </c>
      <c r="H161" s="22">
        <v>361.39702899999997</v>
      </c>
      <c r="I161" s="22"/>
      <c r="J161" s="22"/>
    </row>
    <row r="162" spans="2:10">
      <c r="B162" t="s">
        <v>1771</v>
      </c>
      <c r="C162">
        <f t="array" ref="C162">D162:F162</f>
        <v>3.5199002841022577E-34</v>
      </c>
      <c r="D162" s="22">
        <v>3.5199002841022577E-34</v>
      </c>
      <c r="E162" s="22"/>
      <c r="F162" s="22"/>
      <c r="G162" s="22">
        <v>3.9082989999999998E-2</v>
      </c>
      <c r="H162" s="22">
        <v>0.39082990000000001</v>
      </c>
      <c r="I162" s="22"/>
      <c r="J162" s="22"/>
    </row>
    <row r="163" spans="2:10">
      <c r="B163" t="s">
        <v>1772</v>
      </c>
      <c r="C163">
        <f t="array" ref="C163">D163:F163</f>
        <v>2105.2852009476715</v>
      </c>
      <c r="D163" s="22">
        <v>2105.2852009476715</v>
      </c>
      <c r="E163" s="22"/>
      <c r="F163" s="22"/>
      <c r="G163" s="22">
        <v>41.559362999999998</v>
      </c>
      <c r="H163" s="22">
        <v>415.59363000000002</v>
      </c>
      <c r="I163" s="22"/>
      <c r="J163" s="22"/>
    </row>
    <row r="164" spans="2:10">
      <c r="B164" t="s">
        <v>1773</v>
      </c>
      <c r="C164">
        <f t="array" ref="C164">D164:F164</f>
        <v>0.43959999999999999</v>
      </c>
      <c r="D164" s="22">
        <v>0.43959999999999999</v>
      </c>
      <c r="E164" s="22"/>
      <c r="F164" s="22"/>
      <c r="G164" s="22">
        <v>4.1959999999999997E-2</v>
      </c>
      <c r="H164" s="22">
        <v>0.41959999999999997</v>
      </c>
      <c r="I164" s="22"/>
      <c r="J164" s="22"/>
    </row>
    <row r="165" spans="2:10">
      <c r="B165" t="s">
        <v>1774</v>
      </c>
      <c r="C165">
        <f t="array" ref="C165">D165:F165</f>
        <v>5086</v>
      </c>
      <c r="D165" s="22">
        <v>5086</v>
      </c>
      <c r="E165" s="22">
        <v>0</v>
      </c>
      <c r="F165" s="22">
        <v>5086</v>
      </c>
      <c r="G165" s="22">
        <v>0</v>
      </c>
      <c r="H165" s="22">
        <v>5086</v>
      </c>
      <c r="I165" s="22">
        <v>0</v>
      </c>
      <c r="J165" s="22">
        <v>5086</v>
      </c>
    </row>
    <row r="166" spans="2:10">
      <c r="B166" t="s">
        <v>1775</v>
      </c>
      <c r="C166">
        <f t="array" ref="C166">D166:F166</f>
        <v>5086</v>
      </c>
      <c r="D166" s="22">
        <v>5086</v>
      </c>
      <c r="E166" s="22"/>
      <c r="F166" s="22"/>
      <c r="G166" s="22">
        <v>508.6</v>
      </c>
      <c r="H166" s="22">
        <v>5086</v>
      </c>
      <c r="I166" s="22"/>
      <c r="J166" s="22"/>
    </row>
    <row r="167" spans="2:10">
      <c r="B167" t="s">
        <v>1776</v>
      </c>
      <c r="C167">
        <f t="array" ref="C167">D167:F167</f>
        <v>-4.0649629609201829</v>
      </c>
      <c r="D167" s="22">
        <v>-4.0649629609201829</v>
      </c>
      <c r="E167" s="22"/>
      <c r="F167" s="22"/>
      <c r="G167" s="22">
        <v>3.7390590000000001E-2</v>
      </c>
      <c r="H167" s="22">
        <v>0.37390590000000001</v>
      </c>
      <c r="I167" s="22"/>
      <c r="J167" s="22"/>
    </row>
    <row r="168" spans="2:10">
      <c r="B168" t="s">
        <v>1777</v>
      </c>
      <c r="C168">
        <f t="array" ref="C168">D168:F168</f>
        <v>5229.1994203962604</v>
      </c>
      <c r="D168" s="22">
        <v>5229.1994203962604</v>
      </c>
      <c r="E168" s="22">
        <v>1594.6371999999999</v>
      </c>
      <c r="F168" s="22">
        <v>3986.5929999999998</v>
      </c>
      <c r="G168" s="22">
        <v>553.72619653000004</v>
      </c>
      <c r="H168" s="22">
        <v>5537.2619653000002</v>
      </c>
      <c r="I168" s="22">
        <v>1594.6371999999999</v>
      </c>
      <c r="J168" s="22">
        <v>3986.5929999999998</v>
      </c>
    </row>
    <row r="169" spans="2:10">
      <c r="B169" t="s">
        <v>1778</v>
      </c>
      <c r="C169">
        <f t="array" ref="C169">D169:F169</f>
        <v>0.73361542180973993</v>
      </c>
      <c r="D169" s="22">
        <v>0.73361542180973993</v>
      </c>
      <c r="E169" s="22"/>
      <c r="F169" s="22"/>
      <c r="G169" s="22">
        <v>6.7950449999999996E-2</v>
      </c>
      <c r="H169" s="22">
        <v>0.67950449999999996</v>
      </c>
      <c r="I169" s="22"/>
      <c r="J169" s="22"/>
    </row>
    <row r="170" spans="2:10">
      <c r="B170" t="s">
        <v>1779</v>
      </c>
      <c r="C170">
        <f t="array" ref="C170">D170:F170</f>
        <v>0.37452200000000002</v>
      </c>
      <c r="D170" s="22">
        <v>0.37452200000000002</v>
      </c>
      <c r="E170" s="22">
        <v>0</v>
      </c>
      <c r="F170" s="22">
        <v>0.37452200000000002</v>
      </c>
      <c r="G170" s="22">
        <v>0</v>
      </c>
      <c r="H170" s="22">
        <v>0.37452200000000002</v>
      </c>
      <c r="I170" s="22">
        <v>0</v>
      </c>
      <c r="J170" s="22">
        <v>0.37452200000000002</v>
      </c>
    </row>
    <row r="171" spans="2:10">
      <c r="B171" t="s">
        <v>1780</v>
      </c>
      <c r="C171">
        <f t="array" ref="C171">D171:F171</f>
        <v>4700.4379387999998</v>
      </c>
      <c r="D171" s="22">
        <v>4700.4379387999998</v>
      </c>
      <c r="E171" s="22">
        <v>0</v>
      </c>
      <c r="F171" s="22">
        <v>4700.4379387999998</v>
      </c>
      <c r="G171" s="22">
        <v>0</v>
      </c>
      <c r="H171" s="22">
        <v>4700.4379387999998</v>
      </c>
      <c r="I171" s="22">
        <v>0</v>
      </c>
      <c r="J171" s="22">
        <v>4700.4379387999998</v>
      </c>
    </row>
    <row r="172" spans="2:10">
      <c r="B172" t="s">
        <v>1781</v>
      </c>
      <c r="C172">
        <f t="array" ref="C172">D172:F172</f>
        <v>0.84302679999999997</v>
      </c>
      <c r="D172" s="22">
        <v>0.84302679999999997</v>
      </c>
      <c r="E172" s="22">
        <v>0</v>
      </c>
      <c r="F172" s="22">
        <v>0.84302679999999997</v>
      </c>
      <c r="G172" s="22">
        <v>0</v>
      </c>
      <c r="H172" s="22">
        <v>0.84302679999999997</v>
      </c>
      <c r="I172" s="22">
        <v>0</v>
      </c>
      <c r="J172" s="22">
        <v>0.84302679999999997</v>
      </c>
    </row>
    <row r="173" spans="2:10">
      <c r="B173" t="s">
        <v>1782</v>
      </c>
      <c r="C173">
        <f t="array" ref="C173">D173:F173</f>
        <v>-1.8452204804600918</v>
      </c>
      <c r="D173" s="22">
        <v>-1.8452204804600918</v>
      </c>
      <c r="E173" s="22"/>
      <c r="F173" s="22"/>
      <c r="G173" s="22">
        <v>3.74214E-2</v>
      </c>
      <c r="H173" s="22">
        <v>0.37421399999999999</v>
      </c>
      <c r="I173" s="22"/>
      <c r="J173" s="22"/>
    </row>
    <row r="174" spans="2:10">
      <c r="B174" t="s">
        <v>1783</v>
      </c>
      <c r="C174">
        <f t="array" ref="C174">D174:F174</f>
        <v>8.3917198671429531E-30</v>
      </c>
      <c r="D174" s="22">
        <v>8.3917198671429531E-30</v>
      </c>
      <c r="E174" s="22"/>
      <c r="F174" s="22"/>
      <c r="G174" s="22">
        <v>154.41572060999999</v>
      </c>
      <c r="H174" s="22">
        <v>1544.1572060999999</v>
      </c>
      <c r="I174" s="22"/>
      <c r="J174" s="22"/>
    </row>
    <row r="175" spans="2:10">
      <c r="B175" t="s">
        <v>1784</v>
      </c>
      <c r="C175">
        <f t="array" ref="C175">D175:F175</f>
        <v>0.5202</v>
      </c>
      <c r="D175" s="22">
        <v>0.5202</v>
      </c>
      <c r="E175" s="22"/>
      <c r="F175" s="22"/>
      <c r="G175" s="22">
        <v>4.3959999999999999E-2</v>
      </c>
      <c r="H175" s="22">
        <v>0.43959999999999999</v>
      </c>
      <c r="I175" s="22"/>
      <c r="J175" s="22"/>
    </row>
    <row r="176" spans="2:10">
      <c r="B176" t="s">
        <v>1785</v>
      </c>
      <c r="C176">
        <f t="array" ref="C176">D176:F176</f>
        <v>-1.8452204804600916</v>
      </c>
      <c r="D176" s="22">
        <v>-1.8452204804600916</v>
      </c>
      <c r="E176" s="22"/>
      <c r="F176" s="22"/>
      <c r="G176" s="22">
        <v>3.74214E-2</v>
      </c>
      <c r="H176" s="22">
        <v>0.37421399999999999</v>
      </c>
      <c r="I176" s="22"/>
      <c r="J176" s="22"/>
    </row>
    <row r="177" spans="2:10">
      <c r="B177" t="s">
        <v>1786</v>
      </c>
      <c r="C177">
        <f t="array" ref="C177">D177:F177</f>
        <v>13007.602171334236</v>
      </c>
      <c r="D177" s="22">
        <v>13007.602171334236</v>
      </c>
      <c r="E177" s="22"/>
      <c r="F177" s="22"/>
      <c r="G177" s="22">
        <v>0</v>
      </c>
      <c r="H177" s="22">
        <v>0</v>
      </c>
      <c r="I177" s="22"/>
      <c r="J177" s="22"/>
    </row>
    <row r="178" spans="2:10">
      <c r="B178" t="s">
        <v>1787</v>
      </c>
      <c r="C178">
        <f t="array" ref="C178">D178:F178</f>
        <v>1.8898700000000001E-2</v>
      </c>
      <c r="D178" s="22">
        <v>1.8898700000000001E-2</v>
      </c>
      <c r="E178" s="22"/>
      <c r="F178" s="22"/>
      <c r="G178" s="22">
        <v>5.2019999999999997E-2</v>
      </c>
      <c r="H178" s="22">
        <v>0.5202</v>
      </c>
      <c r="I178" s="22"/>
      <c r="J178" s="22"/>
    </row>
    <row r="179" spans="2:10">
      <c r="B179" t="s">
        <v>1788</v>
      </c>
      <c r="C179">
        <f t="array" ref="C179">D179:F179</f>
        <v>5086</v>
      </c>
      <c r="D179" s="22">
        <v>5086</v>
      </c>
      <c r="E179" s="22">
        <v>0</v>
      </c>
      <c r="F179" s="22">
        <v>5086</v>
      </c>
      <c r="G179" s="22">
        <v>0</v>
      </c>
      <c r="H179" s="22">
        <v>5086</v>
      </c>
      <c r="I179" s="22">
        <v>0</v>
      </c>
      <c r="J179" s="22">
        <v>5086</v>
      </c>
    </row>
    <row r="180" spans="2:10">
      <c r="B180" t="s">
        <v>1789</v>
      </c>
      <c r="C180">
        <f t="array" ref="C180">D180:F180</f>
        <v>5086</v>
      </c>
      <c r="D180" s="22">
        <v>5086</v>
      </c>
      <c r="E180" s="22"/>
      <c r="F180" s="22"/>
      <c r="G180" s="22">
        <v>508.6</v>
      </c>
      <c r="H180" s="22">
        <v>5086</v>
      </c>
      <c r="I180" s="22"/>
      <c r="J180" s="22"/>
    </row>
    <row r="181" spans="2:10">
      <c r="B181" t="s">
        <v>1790</v>
      </c>
      <c r="C181">
        <f t="array" ref="C181">D181:F181</f>
        <v>833.08743354088438</v>
      </c>
      <c r="D181" s="22">
        <v>833.08743354088438</v>
      </c>
      <c r="E181" s="22"/>
      <c r="F181" s="22"/>
      <c r="G181" s="22">
        <v>570.39251413</v>
      </c>
      <c r="H181" s="22">
        <v>5703.9251413000002</v>
      </c>
      <c r="I181" s="22"/>
      <c r="J181" s="22"/>
    </row>
    <row r="182" spans="2:10">
      <c r="B182" t="s">
        <v>1791</v>
      </c>
      <c r="C182">
        <f t="array" ref="C182">D182:F182</f>
        <v>-574.70562502924565</v>
      </c>
      <c r="D182" s="22">
        <v>-574.70562502924565</v>
      </c>
      <c r="E182" s="22"/>
      <c r="F182" s="22"/>
      <c r="G182" s="22">
        <v>578.05859948</v>
      </c>
      <c r="H182" s="22">
        <v>5780.5859947999998</v>
      </c>
      <c r="I182" s="22"/>
      <c r="J182" s="22"/>
    </row>
    <row r="183" spans="2:10">
      <c r="B183" t="s">
        <v>1792</v>
      </c>
      <c r="C183">
        <f t="array" ref="C183">D183:F183</f>
        <v>0.30691830920299673</v>
      </c>
      <c r="D183" s="22">
        <v>0.30691830920299673</v>
      </c>
      <c r="E183" s="22"/>
      <c r="F183" s="22"/>
      <c r="G183" s="22">
        <v>3.7773760000000003E-2</v>
      </c>
      <c r="H183" s="22">
        <v>0.37773760000000001</v>
      </c>
      <c r="I183" s="22"/>
      <c r="J183" s="22"/>
    </row>
    <row r="184" spans="2:10">
      <c r="B184" t="s">
        <v>1793</v>
      </c>
      <c r="C184">
        <f t="array" ref="C184">D184:F184</f>
        <v>0</v>
      </c>
      <c r="D184" s="22">
        <v>0</v>
      </c>
      <c r="E184" s="22">
        <v>0</v>
      </c>
      <c r="F184" s="22">
        <v>0</v>
      </c>
      <c r="G184" s="22">
        <v>0</v>
      </c>
      <c r="H184" s="22">
        <v>0</v>
      </c>
      <c r="I184" s="22">
        <v>0</v>
      </c>
      <c r="J184" s="22">
        <v>0</v>
      </c>
    </row>
    <row r="185" spans="2:10">
      <c r="B185" t="s">
        <v>1794</v>
      </c>
      <c r="C185">
        <f t="array" ref="C185">D185:F185</f>
        <v>0.50159045914399059</v>
      </c>
      <c r="D185" s="22">
        <v>0.50159045914399059</v>
      </c>
      <c r="E185" s="22">
        <v>4.938E-2</v>
      </c>
      <c r="F185" s="22">
        <v>0.49380000000000002</v>
      </c>
      <c r="G185" s="22">
        <v>4.3535869999999997E-2</v>
      </c>
      <c r="H185" s="22">
        <v>0.43535869999999999</v>
      </c>
      <c r="I185" s="22">
        <v>4.938E-2</v>
      </c>
      <c r="J185" s="22">
        <v>0.49380000000000002</v>
      </c>
    </row>
    <row r="186" spans="2:10">
      <c r="B186" t="s">
        <v>1795</v>
      </c>
      <c r="C186">
        <f t="array" ref="C186">D186:F186</f>
        <v>0.30691830920299673</v>
      </c>
      <c r="D186" s="22">
        <v>0.30691830920299673</v>
      </c>
      <c r="E186" s="22"/>
      <c r="F186" s="22"/>
      <c r="G186" s="22">
        <v>3.7773760000000003E-2</v>
      </c>
      <c r="H186" s="22">
        <v>0.37773760000000001</v>
      </c>
      <c r="I186" s="22"/>
      <c r="J186" s="22"/>
    </row>
    <row r="187" spans="2:10">
      <c r="B187" t="s">
        <v>1796</v>
      </c>
      <c r="C187">
        <f t="array" ref="C187">D187:F187</f>
        <v>0</v>
      </c>
      <c r="D187" s="22">
        <v>0</v>
      </c>
      <c r="E187" s="22">
        <v>0</v>
      </c>
      <c r="F187" s="22">
        <v>0</v>
      </c>
      <c r="G187" s="22">
        <v>0</v>
      </c>
      <c r="H187" s="22">
        <v>0</v>
      </c>
      <c r="I187" s="22">
        <v>0</v>
      </c>
      <c r="J187" s="22">
        <v>0</v>
      </c>
    </row>
    <row r="188" spans="2:10">
      <c r="B188" t="s">
        <v>1797</v>
      </c>
      <c r="C188">
        <f t="array" ref="C188">D188:F188</f>
        <v>0.50159045914399059</v>
      </c>
      <c r="D188" s="22">
        <v>0.50159045914399059</v>
      </c>
      <c r="E188" s="22">
        <v>4.938E-2</v>
      </c>
      <c r="F188" s="22">
        <v>0.49380000000000002</v>
      </c>
      <c r="G188" s="22">
        <v>4.3535869999999997E-2</v>
      </c>
      <c r="H188" s="22">
        <v>0.43535869999999999</v>
      </c>
      <c r="I188" s="22">
        <v>4.938E-2</v>
      </c>
      <c r="J188" s="22">
        <v>0.49380000000000002</v>
      </c>
    </row>
    <row r="189" spans="2:10">
      <c r="B189" t="s">
        <v>1798</v>
      </c>
      <c r="C189">
        <f t="array" ref="C189">D189:F189</f>
        <v>0.30691830920299673</v>
      </c>
      <c r="D189" s="22">
        <v>0.30691830920299673</v>
      </c>
      <c r="E189" s="22"/>
      <c r="F189" s="22"/>
      <c r="G189" s="22">
        <v>3.7773760000000003E-2</v>
      </c>
      <c r="H189" s="22">
        <v>0.37773760000000001</v>
      </c>
      <c r="I189" s="22"/>
      <c r="J189" s="22"/>
    </row>
    <row r="190" spans="2:10">
      <c r="B190" t="s">
        <v>1799</v>
      </c>
      <c r="C190">
        <f t="array" ref="C190">D190:F190</f>
        <v>576.35279184570743</v>
      </c>
      <c r="D190" s="22">
        <v>576.35279184570743</v>
      </c>
      <c r="E190" s="22">
        <v>130.67006000000001</v>
      </c>
      <c r="F190" s="22">
        <v>653.35029999999995</v>
      </c>
      <c r="G190" s="22">
        <v>66.731095499999995</v>
      </c>
      <c r="H190" s="22">
        <v>667.31095500000004</v>
      </c>
      <c r="I190" s="22">
        <v>130.67006000000001</v>
      </c>
      <c r="J190" s="22">
        <v>653.35029999999995</v>
      </c>
    </row>
    <row r="191" spans="2:10">
      <c r="B191" t="s">
        <v>1800</v>
      </c>
      <c r="C191">
        <f t="array" ref="C191">D191:F191</f>
        <v>0.50159045914399059</v>
      </c>
      <c r="D191" s="22">
        <v>0.50159045914399059</v>
      </c>
      <c r="E191" s="22">
        <v>3.8890000000000001E-2</v>
      </c>
      <c r="F191" s="22">
        <v>0.38890000000000002</v>
      </c>
      <c r="G191" s="22">
        <v>4.3535869999999997E-2</v>
      </c>
      <c r="H191" s="22">
        <v>0.43535869999999999</v>
      </c>
      <c r="I191" s="22">
        <v>3.8890000000000001E-2</v>
      </c>
      <c r="J191" s="22">
        <v>0.38890000000000002</v>
      </c>
    </row>
    <row r="192" spans="2:10">
      <c r="B192" t="s">
        <v>1801</v>
      </c>
      <c r="C192">
        <f t="array" ref="C192">D192:F192</f>
        <v>0.30691830920299673</v>
      </c>
      <c r="D192" s="22">
        <v>0.30691830920299673</v>
      </c>
      <c r="E192" s="22"/>
      <c r="F192" s="22"/>
      <c r="G192" s="22">
        <v>3.7773760000000003E-2</v>
      </c>
      <c r="H192" s="22">
        <v>0.37773760000000001</v>
      </c>
      <c r="I192" s="22"/>
      <c r="J192" s="22"/>
    </row>
    <row r="193" spans="2:10">
      <c r="B193" t="s">
        <v>1802</v>
      </c>
      <c r="C193">
        <f t="array" ref="C193">D193:F193</f>
        <v>1256.2072486590932</v>
      </c>
      <c r="D193" s="22">
        <v>1256.2072486590932</v>
      </c>
      <c r="E193" s="22">
        <v>253.26859999999999</v>
      </c>
      <c r="F193" s="22">
        <v>1266.3430000000001</v>
      </c>
      <c r="G193" s="22">
        <v>129.24398811</v>
      </c>
      <c r="H193" s="22">
        <v>1292.4398811000001</v>
      </c>
      <c r="I193" s="22">
        <v>253.26859999999999</v>
      </c>
      <c r="J193" s="22">
        <v>1266.3430000000001</v>
      </c>
    </row>
    <row r="194" spans="2:10">
      <c r="B194" t="s">
        <v>1803</v>
      </c>
      <c r="C194">
        <f t="array" ref="C194">D194:F194</f>
        <v>0.50159045914399059</v>
      </c>
      <c r="D194" s="22">
        <v>0.50159045914399059</v>
      </c>
      <c r="E194" s="22">
        <v>4.5879999999999997E-2</v>
      </c>
      <c r="F194" s="22">
        <v>0.45879999999999999</v>
      </c>
      <c r="G194" s="22">
        <v>4.3535869999999997E-2</v>
      </c>
      <c r="H194" s="22">
        <v>0.43535869999999999</v>
      </c>
      <c r="I194" s="22">
        <v>4.5879999999999997E-2</v>
      </c>
      <c r="J194" s="22">
        <v>0.45879999999999999</v>
      </c>
    </row>
    <row r="195" spans="2:10">
      <c r="B195" t="s">
        <v>1804</v>
      </c>
      <c r="C195">
        <f t="array" ref="C195">D195:F195</f>
        <v>0.30691830920299673</v>
      </c>
      <c r="D195" s="22">
        <v>0.30691830920299673</v>
      </c>
      <c r="E195" s="22">
        <v>3.8280000000000002E-2</v>
      </c>
      <c r="F195" s="22">
        <v>0.38279999999999997</v>
      </c>
      <c r="G195" s="22">
        <v>3.7773760000000003E-2</v>
      </c>
      <c r="H195" s="22">
        <v>0.37773760000000001</v>
      </c>
      <c r="I195" s="22">
        <v>3.8280000000000002E-2</v>
      </c>
      <c r="J195" s="22">
        <v>0.38279999999999997</v>
      </c>
    </row>
    <row r="196" spans="2:10">
      <c r="B196" t="s">
        <v>1805</v>
      </c>
      <c r="C196">
        <f t="array" ref="C196">D196:F196</f>
        <v>1832.5600405048006</v>
      </c>
      <c r="D196" s="22">
        <v>1832.5600405048006</v>
      </c>
      <c r="E196" s="22"/>
      <c r="F196" s="22"/>
      <c r="G196" s="22">
        <v>195.97508361000001</v>
      </c>
      <c r="H196" s="22">
        <v>1959.7508361</v>
      </c>
      <c r="I196" s="22"/>
      <c r="J196" s="22"/>
    </row>
    <row r="197" spans="2:10">
      <c r="B197" t="s">
        <v>1806</v>
      </c>
      <c r="C197">
        <f t="array" ref="C197">D197:F197</f>
        <v>0.50159045914399059</v>
      </c>
      <c r="D197" s="22">
        <v>0.50159045914399059</v>
      </c>
      <c r="E197" s="22">
        <v>4.2950000000000002E-2</v>
      </c>
      <c r="F197" s="22">
        <v>0.42949999999999999</v>
      </c>
      <c r="G197" s="22">
        <v>4.3535869999999997E-2</v>
      </c>
      <c r="H197" s="22">
        <v>0.43535869999999999</v>
      </c>
      <c r="I197" s="22">
        <v>4.2950000000000002E-2</v>
      </c>
      <c r="J197" s="22">
        <v>0.42949999999999999</v>
      </c>
    </row>
    <row r="198" spans="2:10">
      <c r="B198" t="s">
        <v>1807</v>
      </c>
      <c r="C198">
        <f t="array" ref="C198">D198:F198</f>
        <v>-2.8754088366121833</v>
      </c>
      <c r="D198" s="22">
        <v>-2.8754088366121833</v>
      </c>
      <c r="E198" s="22"/>
      <c r="F198" s="22"/>
      <c r="G198" s="22">
        <v>3.7288929999999998E-2</v>
      </c>
      <c r="H198" s="22">
        <v>0.37288929999999998</v>
      </c>
      <c r="I198" s="22"/>
      <c r="J198" s="22"/>
    </row>
    <row r="199" spans="2:10">
      <c r="B199" t="s">
        <v>1808</v>
      </c>
      <c r="C199">
        <f t="array" ref="C199">D199:F199</f>
        <v>93.951150112259413</v>
      </c>
      <c r="D199" s="22">
        <v>93.951150112259413</v>
      </c>
      <c r="E199" s="22">
        <v>69.375540000000001</v>
      </c>
      <c r="F199" s="22">
        <v>115.6259</v>
      </c>
      <c r="G199" s="22">
        <v>12.355631839999999</v>
      </c>
      <c r="H199" s="22">
        <v>123.55631839999999</v>
      </c>
      <c r="I199" s="22">
        <v>69.375540000000001</v>
      </c>
      <c r="J199" s="22">
        <v>115.6259</v>
      </c>
    </row>
    <row r="200" spans="2:10">
      <c r="B200" t="s">
        <v>1809</v>
      </c>
      <c r="C200">
        <f t="array" ref="C200">D200:F200</f>
        <v>7.0609263141655859E-2</v>
      </c>
      <c r="D200" s="22">
        <v>7.0609263141655859E-2</v>
      </c>
      <c r="E200" s="22"/>
      <c r="F200" s="22"/>
      <c r="G200" s="22">
        <v>0.25967174999999998</v>
      </c>
      <c r="H200" s="22">
        <v>2.5967175</v>
      </c>
      <c r="I200" s="22"/>
      <c r="J200" s="22"/>
    </row>
    <row r="201" spans="2:10">
      <c r="B201" t="s">
        <v>1810</v>
      </c>
      <c r="C201">
        <f t="array" ref="C201">D201:F201</f>
        <v>-2.8754088366121837</v>
      </c>
      <c r="D201" s="22">
        <v>-2.8754088366121837</v>
      </c>
      <c r="E201" s="22">
        <v>1416.1554000000001</v>
      </c>
      <c r="F201" s="22">
        <v>2360.259</v>
      </c>
      <c r="G201" s="22">
        <v>3.7288929999999998E-2</v>
      </c>
      <c r="H201" s="22">
        <v>0.37288929999999998</v>
      </c>
      <c r="I201" s="22">
        <v>1416.1554000000001</v>
      </c>
      <c r="J201" s="22">
        <v>2360.259</v>
      </c>
    </row>
    <row r="202" spans="2:10">
      <c r="B202" t="s">
        <v>1811</v>
      </c>
      <c r="C202">
        <f t="array" ref="C202">D202:F202</f>
        <v>13536.363652930497</v>
      </c>
      <c r="D202" s="22">
        <v>13536.363652930497</v>
      </c>
      <c r="E202" s="22"/>
      <c r="F202" s="22"/>
      <c r="G202" s="22">
        <v>238.09812327</v>
      </c>
      <c r="H202" s="22">
        <v>2380.9812327</v>
      </c>
      <c r="I202" s="22"/>
      <c r="J202" s="22"/>
    </row>
    <row r="203" spans="2:10">
      <c r="B203" t="s">
        <v>1812</v>
      </c>
      <c r="C203">
        <f t="array" ref="C203">D203:F203</f>
        <v>7.0609263141655859E-2</v>
      </c>
      <c r="D203" s="22">
        <v>7.0609263141655859E-2</v>
      </c>
      <c r="E203" s="22"/>
      <c r="F203" s="22"/>
      <c r="G203" s="22">
        <v>0.25967174999999998</v>
      </c>
      <c r="H203" s="22">
        <v>2.5967175</v>
      </c>
      <c r="I203" s="22"/>
      <c r="J203" s="22"/>
    </row>
    <row r="204" spans="2:10">
      <c r="B204" t="s">
        <v>1813</v>
      </c>
      <c r="C204">
        <f t="array" ref="C204">D204:F204</f>
        <v>-2.8754088366121833</v>
      </c>
      <c r="D204" s="22">
        <v>-2.8754088366121833</v>
      </c>
      <c r="E204" s="22"/>
      <c r="F204" s="22"/>
      <c r="G204" s="22">
        <v>3.7288929999999998E-2</v>
      </c>
      <c r="H204" s="22">
        <v>0.37288929999999998</v>
      </c>
      <c r="I204" s="22"/>
      <c r="J204" s="22"/>
    </row>
    <row r="205" spans="2:10">
      <c r="B205" t="s">
        <v>1814</v>
      </c>
      <c r="C205">
        <f t="array" ref="C205">D205:F205</f>
        <v>13630.314803042756</v>
      </c>
      <c r="D205" s="22">
        <v>13630.314803042756</v>
      </c>
      <c r="E205" s="22"/>
      <c r="F205" s="22"/>
      <c r="G205" s="22">
        <v>250.45375511</v>
      </c>
      <c r="H205" s="22">
        <v>2504.5375511000002</v>
      </c>
      <c r="I205" s="22"/>
      <c r="J205" s="22"/>
    </row>
    <row r="206" spans="2:10">
      <c r="B206" t="s">
        <v>1815</v>
      </c>
      <c r="C206">
        <f t="array" ref="C206">D206:F206</f>
        <v>7.0609263141655859E-2</v>
      </c>
      <c r="D206" s="22">
        <v>7.0609263141655859E-2</v>
      </c>
      <c r="E206" s="22"/>
      <c r="F206" s="22"/>
      <c r="G206" s="22">
        <v>0.25967174999999998</v>
      </c>
      <c r="H206" s="22">
        <v>2.5967175</v>
      </c>
      <c r="I206" s="22"/>
      <c r="J206" s="22"/>
    </row>
    <row r="207" spans="2:10">
      <c r="B207" t="s">
        <v>1816</v>
      </c>
      <c r="C207">
        <f t="array" ref="C207">D207:F207</f>
        <v>3.0994999999999998E-3</v>
      </c>
      <c r="D207" s="22">
        <v>3.0994999999999998E-3</v>
      </c>
      <c r="E207" s="22">
        <v>1114.2654</v>
      </c>
      <c r="F207" s="22">
        <v>5571.3270000000002</v>
      </c>
      <c r="G207" s="22">
        <v>3.0995000000000003E-4</v>
      </c>
      <c r="H207" s="22">
        <v>3.0994999999999998E-3</v>
      </c>
      <c r="I207" s="22">
        <v>1114.2654</v>
      </c>
      <c r="J207" s="22">
        <v>5571.3270000000002</v>
      </c>
    </row>
    <row r="208" spans="2:10">
      <c r="B208" t="s">
        <v>1817</v>
      </c>
      <c r="C208">
        <f t="array" ref="C208">D208:F208</f>
        <v>-15162.263650328514</v>
      </c>
      <c r="D208" s="22">
        <v>-15162.263650328514</v>
      </c>
      <c r="E208" s="22"/>
      <c r="F208" s="22"/>
      <c r="G208" s="22">
        <v>638.66891825000005</v>
      </c>
      <c r="H208" s="22">
        <v>6386.6891825000002</v>
      </c>
      <c r="I208" s="22"/>
      <c r="J208" s="22"/>
    </row>
    <row r="209" spans="2:10">
      <c r="B209" t="s">
        <v>1818</v>
      </c>
      <c r="C209">
        <f t="array" ref="C209">D209:F209</f>
        <v>2.8759999896832453</v>
      </c>
      <c r="D209" s="22">
        <v>2.8759999896832453</v>
      </c>
      <c r="E209" s="22"/>
      <c r="F209" s="22"/>
      <c r="G209" s="22">
        <v>0.28654911999999999</v>
      </c>
      <c r="H209" s="22">
        <v>2.8654912000000001</v>
      </c>
      <c r="I209" s="22"/>
      <c r="J209" s="22"/>
    </row>
    <row r="210" spans="2:10">
      <c r="B210" t="s">
        <v>1819</v>
      </c>
      <c r="C210">
        <f t="array" ref="C210">D210:F210</f>
        <v>3.0994999999999998E-3</v>
      </c>
      <c r="D210" s="22">
        <v>3.0994999999999998E-3</v>
      </c>
      <c r="E210" s="22">
        <v>3928.0540000000001</v>
      </c>
      <c r="F210" s="22">
        <v>19640.27</v>
      </c>
      <c r="G210" s="22">
        <v>3.0995000000000003E-4</v>
      </c>
      <c r="H210" s="22">
        <v>3.0994999999999998E-3</v>
      </c>
      <c r="I210" s="22">
        <v>3928.0540000000001</v>
      </c>
      <c r="J210" s="22">
        <v>19640.27</v>
      </c>
    </row>
    <row r="211" spans="2:10">
      <c r="B211" t="s">
        <v>1820</v>
      </c>
      <c r="C211">
        <f t="array" ref="C211">D211:F211</f>
        <v>63768.370598353635</v>
      </c>
      <c r="D211" s="22">
        <v>63768.370598353635</v>
      </c>
      <c r="E211" s="22"/>
      <c r="F211" s="22"/>
      <c r="G211" s="22">
        <v>2768.9391790999998</v>
      </c>
      <c r="H211" s="22">
        <v>27689.391790999998</v>
      </c>
      <c r="I211" s="22"/>
      <c r="J211" s="22"/>
    </row>
    <row r="212" spans="2:10">
      <c r="B212" t="s">
        <v>1821</v>
      </c>
      <c r="C212">
        <f t="array" ref="C212">D212:F212</f>
        <v>2.8759999896832453</v>
      </c>
      <c r="D212" s="22">
        <v>2.8759999896832453</v>
      </c>
      <c r="E212" s="22"/>
      <c r="F212" s="22"/>
      <c r="G212" s="22">
        <v>0.28654911999999999</v>
      </c>
      <c r="H212" s="22">
        <v>2.8654912000000001</v>
      </c>
      <c r="I212" s="22"/>
      <c r="J212" s="22"/>
    </row>
    <row r="213" spans="2:10">
      <c r="B213" t="s">
        <v>1822</v>
      </c>
      <c r="C213">
        <f t="array" ref="C213">D213:F213</f>
        <v>3.0994999999999998E-3</v>
      </c>
      <c r="D213" s="22">
        <v>3.0994999999999998E-3</v>
      </c>
      <c r="E213" s="22"/>
      <c r="F213" s="22"/>
      <c r="G213" s="22">
        <v>3.0995000000000003E-4</v>
      </c>
      <c r="H213" s="22">
        <v>3.0994999999999998E-3</v>
      </c>
      <c r="I213" s="22"/>
      <c r="J213" s="22"/>
    </row>
    <row r="214" spans="2:10">
      <c r="B214" t="s">
        <v>1823</v>
      </c>
      <c r="C214">
        <f t="array" ref="C214">D214:F214</f>
        <v>9023.9402227999926</v>
      </c>
      <c r="D214" s="22">
        <v>9023.9402227999926</v>
      </c>
      <c r="E214" s="22">
        <v>3395.748</v>
      </c>
      <c r="F214" s="22">
        <v>16978.740000000002</v>
      </c>
      <c r="G214" s="22">
        <v>2203.95212842</v>
      </c>
      <c r="H214" s="22">
        <v>22039.5212842</v>
      </c>
      <c r="I214" s="22">
        <v>3395.748</v>
      </c>
      <c r="J214" s="22">
        <v>16978.740000000002</v>
      </c>
    </row>
    <row r="215" spans="2:10">
      <c r="B215" t="s">
        <v>1824</v>
      </c>
      <c r="C215">
        <f t="array" ref="C215">D215:F215</f>
        <v>2.8759999896832453</v>
      </c>
      <c r="D215" s="22">
        <v>2.8759999896832453</v>
      </c>
      <c r="E215" s="22"/>
      <c r="F215" s="22"/>
      <c r="G215" s="22">
        <v>0.28654911999999999</v>
      </c>
      <c r="H215" s="22">
        <v>2.8654912000000001</v>
      </c>
      <c r="I215" s="22"/>
      <c r="J215" s="22"/>
    </row>
    <row r="216" spans="2:10">
      <c r="B216" t="s">
        <v>1825</v>
      </c>
      <c r="C216">
        <f t="array" ref="C216">D216:F216</f>
        <v>1.0357359131528918E-2</v>
      </c>
      <c r="D216" s="22">
        <v>1.0357359131528918E-2</v>
      </c>
      <c r="E216" s="22">
        <v>3.7797E-3</v>
      </c>
      <c r="F216" s="22">
        <v>1.8898700000000001E-2</v>
      </c>
      <c r="G216" s="22">
        <v>1.8898700000000001E-3</v>
      </c>
      <c r="H216" s="22">
        <v>1.8898700000000001E-2</v>
      </c>
      <c r="I216" s="22">
        <v>3.7797E-3</v>
      </c>
      <c r="J216" s="22">
        <v>1.8898700000000001E-2</v>
      </c>
    </row>
    <row r="217" spans="2:10">
      <c r="B217" t="s">
        <v>1826</v>
      </c>
      <c r="C217">
        <f t="array" ref="C217">D217:F217</f>
        <v>57979.626880362637</v>
      </c>
      <c r="D217" s="22">
        <v>57979.626880362637</v>
      </c>
      <c r="E217" s="22">
        <v>293.21480000000003</v>
      </c>
      <c r="F217" s="22">
        <v>58642.96</v>
      </c>
      <c r="G217" s="22">
        <v>5862.0139808699996</v>
      </c>
      <c r="H217" s="22">
        <v>58620.139808699998</v>
      </c>
      <c r="I217" s="22">
        <v>293.21480000000003</v>
      </c>
      <c r="J217" s="22">
        <v>58642.96</v>
      </c>
    </row>
    <row r="218" spans="2:10">
      <c r="B218" t="s">
        <v>1827</v>
      </c>
      <c r="C218">
        <f t="array" ref="C218">D218:F218</f>
        <v>3.0900000000003338E-2</v>
      </c>
      <c r="D218" s="22">
        <v>3.0900000000003338E-2</v>
      </c>
      <c r="E218" s="22">
        <v>3.0899999999999998E-4</v>
      </c>
      <c r="F218" s="22">
        <v>3.09E-2</v>
      </c>
      <c r="G218" s="22">
        <v>3.0899399999999998E-3</v>
      </c>
      <c r="H218" s="22">
        <v>3.08994E-2</v>
      </c>
      <c r="I218" s="22">
        <v>3.0899999999999998E-4</v>
      </c>
      <c r="J218" s="22">
        <v>3.09E-2</v>
      </c>
    </row>
    <row r="219" spans="2:10">
      <c r="B219" t="s">
        <v>1828</v>
      </c>
      <c r="C219">
        <f t="array" ref="C219">D219:F219</f>
        <v>0.37288929999999998</v>
      </c>
      <c r="D219" s="22">
        <v>0.37288929999999998</v>
      </c>
      <c r="E219" s="22">
        <v>0</v>
      </c>
      <c r="F219" s="22">
        <v>0.37288929999999998</v>
      </c>
      <c r="G219" s="22">
        <v>0</v>
      </c>
      <c r="H219" s="22">
        <v>0.37288929999999998</v>
      </c>
      <c r="I219" s="22">
        <v>0</v>
      </c>
      <c r="J219" s="22">
        <v>0.37288929999999998</v>
      </c>
    </row>
    <row r="220" spans="2:10">
      <c r="B220" t="s">
        <v>1829</v>
      </c>
      <c r="C220">
        <f t="array" ref="C220">D220:F220</f>
        <v>349.57970953751476</v>
      </c>
      <c r="D220" s="22">
        <v>349.57970953751476</v>
      </c>
      <c r="E220" s="22"/>
      <c r="F220" s="22"/>
      <c r="G220" s="22">
        <v>250.45375511</v>
      </c>
      <c r="H220" s="22">
        <v>2504.5375511000002</v>
      </c>
      <c r="I220" s="22"/>
      <c r="J220" s="22"/>
    </row>
    <row r="221" spans="2:10">
      <c r="B221" t="s">
        <v>1830</v>
      </c>
      <c r="C221">
        <f t="array" ref="C221">D221:F221</f>
        <v>2.5970999999893238</v>
      </c>
      <c r="D221" s="22">
        <v>2.5970999999893238</v>
      </c>
      <c r="E221" s="22">
        <v>5.1942000000000002E-2</v>
      </c>
      <c r="F221" s="22">
        <v>2.5971000000000002</v>
      </c>
      <c r="G221" s="22">
        <v>0.25967174999999998</v>
      </c>
      <c r="H221" s="22">
        <v>2.5967175</v>
      </c>
      <c r="I221" s="22">
        <v>5.1942000000000002E-2</v>
      </c>
      <c r="J221" s="22">
        <v>2.5971000000000002</v>
      </c>
    </row>
    <row r="222" spans="2:10">
      <c r="B222" t="s">
        <v>1831</v>
      </c>
      <c r="C222">
        <f t="array" ref="C222">D222:F222</f>
        <v>0</v>
      </c>
      <c r="D222" s="22">
        <v>0</v>
      </c>
      <c r="E222" s="22">
        <v>0</v>
      </c>
      <c r="F222" s="22">
        <v>0</v>
      </c>
      <c r="G222" s="22">
        <v>0</v>
      </c>
      <c r="H222" s="22">
        <v>0</v>
      </c>
      <c r="I222" s="22">
        <v>0</v>
      </c>
      <c r="J222" s="22">
        <v>0</v>
      </c>
    </row>
    <row r="223" spans="2:10">
      <c r="B223" t="s">
        <v>1832</v>
      </c>
      <c r="C223">
        <f t="array" ref="C223">D223:F223</f>
        <v>-9051.8499043205193</v>
      </c>
      <c r="D223" s="22">
        <v>-9051.8499043205193</v>
      </c>
      <c r="E223" s="22"/>
      <c r="F223" s="22"/>
      <c r="G223" s="22">
        <v>2236.2388009800002</v>
      </c>
      <c r="H223" s="22">
        <v>22362.388009800001</v>
      </c>
      <c r="I223" s="22"/>
      <c r="J223" s="22"/>
    </row>
    <row r="224" spans="2:10">
      <c r="B224" t="s">
        <v>1833</v>
      </c>
      <c r="C224">
        <f t="array" ref="C224">D224:F224</f>
        <v>148427.61958271312</v>
      </c>
      <c r="D224" s="22">
        <v>148427.61958271312</v>
      </c>
      <c r="E224" s="22"/>
      <c r="F224" s="22"/>
      <c r="G224" s="22">
        <v>16361.282689899999</v>
      </c>
      <c r="H224" s="22">
        <v>163612.82689900001</v>
      </c>
      <c r="I224" s="22"/>
      <c r="J224" s="22"/>
    </row>
    <row r="225" spans="2:10">
      <c r="B225" t="s">
        <v>1834</v>
      </c>
      <c r="C225">
        <f t="array" ref="C225">D225:F225</f>
        <v>247.99740000088988</v>
      </c>
      <c r="D225" s="22">
        <v>247.99740000088988</v>
      </c>
      <c r="E225" s="22">
        <v>24.79974</v>
      </c>
      <c r="F225" s="22">
        <v>247.9974</v>
      </c>
      <c r="G225" s="22">
        <v>24.813664710000001</v>
      </c>
      <c r="H225" s="22">
        <v>248.1366471</v>
      </c>
      <c r="I225" s="22">
        <v>24.79974</v>
      </c>
      <c r="J225" s="22">
        <v>247.9974</v>
      </c>
    </row>
    <row r="226" spans="2:10">
      <c r="B226" t="s">
        <v>1835</v>
      </c>
      <c r="C226">
        <f t="array" ref="C226">D226:F226</f>
        <v>157.65990000035964</v>
      </c>
      <c r="D226" s="22">
        <v>157.65990000035964</v>
      </c>
      <c r="E226" s="22">
        <v>15.76599</v>
      </c>
      <c r="F226" s="22">
        <v>157.65989999999999</v>
      </c>
      <c r="G226" s="22">
        <v>15.77161774</v>
      </c>
      <c r="H226" s="22">
        <v>157.71617739999999</v>
      </c>
      <c r="I226" s="22">
        <v>15.76599</v>
      </c>
      <c r="J226" s="22">
        <v>157.65989999999999</v>
      </c>
    </row>
    <row r="227" spans="2:10">
      <c r="B227" t="s">
        <v>1836</v>
      </c>
      <c r="C227">
        <f t="array" ref="C227">D227:F227</f>
        <v>16431.899487635455</v>
      </c>
      <c r="D227" s="22">
        <v>16431.899487635455</v>
      </c>
      <c r="E227" s="22"/>
      <c r="F227" s="22"/>
      <c r="G227" s="22">
        <v>187.81868692</v>
      </c>
      <c r="H227" s="22">
        <v>1878.1868692</v>
      </c>
      <c r="I227" s="22"/>
      <c r="J227" s="22"/>
    </row>
    <row r="228" spans="2:10">
      <c r="B228" t="s">
        <v>1837</v>
      </c>
      <c r="C228">
        <f t="array" ref="C228">D228:F228</f>
        <v>253.77280000093185</v>
      </c>
      <c r="D228" s="22">
        <v>253.77280000093185</v>
      </c>
      <c r="E228" s="22">
        <v>25.377279999999999</v>
      </c>
      <c r="F228" s="22">
        <v>253.77279999999999</v>
      </c>
      <c r="G228" s="22">
        <v>25.391860820000002</v>
      </c>
      <c r="H228" s="22">
        <v>253.91860819999999</v>
      </c>
      <c r="I228" s="22">
        <v>25.377279999999999</v>
      </c>
      <c r="J228" s="22">
        <v>253.77279999999999</v>
      </c>
    </row>
    <row r="229" spans="2:10">
      <c r="B229" t="s">
        <v>1838</v>
      </c>
      <c r="C229">
        <f t="array" ref="C229">D229:F229</f>
        <v>463.41070000310737</v>
      </c>
      <c r="D229" s="22">
        <v>463.41070000310737</v>
      </c>
      <c r="E229" s="22">
        <v>46.341070000000002</v>
      </c>
      <c r="F229" s="22">
        <v>463.41070000000002</v>
      </c>
      <c r="G229" s="22">
        <v>46.38969101</v>
      </c>
      <c r="H229" s="22">
        <v>463.89691010000001</v>
      </c>
      <c r="I229" s="22">
        <v>46.341070000000002</v>
      </c>
      <c r="J229" s="22">
        <v>463.41070000000002</v>
      </c>
    </row>
    <row r="230" spans="2:10">
      <c r="B230" t="s">
        <v>1839</v>
      </c>
      <c r="C230">
        <f t="array" ref="C230">D230:F230</f>
        <v>173007.07544610626</v>
      </c>
      <c r="D230" s="22">
        <v>173007.07544610626</v>
      </c>
      <c r="E230" s="22"/>
      <c r="F230" s="22"/>
      <c r="G230" s="22">
        <v>14236.7829067</v>
      </c>
      <c r="H230" s="22">
        <v>142367.82906700001</v>
      </c>
      <c r="I230" s="22"/>
      <c r="J230" s="22"/>
    </row>
    <row r="231" spans="2:10">
      <c r="B231" t="s">
        <v>1840</v>
      </c>
      <c r="C231">
        <f t="array" ref="C231">D231:F231</f>
        <v>8.7158626099110258E-3</v>
      </c>
      <c r="D231" s="22">
        <v>8.7158626099110258E-3</v>
      </c>
      <c r="E231" s="22"/>
      <c r="F231" s="22"/>
      <c r="G231" s="22">
        <v>1.8898700000000001E-3</v>
      </c>
      <c r="H231" s="22">
        <v>1.8898700000000001E-2</v>
      </c>
      <c r="I231" s="22"/>
      <c r="J231" s="22"/>
    </row>
    <row r="232" spans="2:10">
      <c r="B232" t="s">
        <v>1841</v>
      </c>
      <c r="C232">
        <f t="array" ref="C232">D232:F232</f>
        <v>57979.626880362637</v>
      </c>
      <c r="D232" s="22">
        <v>57979.626880362637</v>
      </c>
      <c r="E232" s="22"/>
      <c r="F232" s="22"/>
      <c r="G232" s="22">
        <v>5862.0139808699996</v>
      </c>
      <c r="H232" s="22">
        <v>58620.139808699998</v>
      </c>
      <c r="I232" s="22"/>
      <c r="J232" s="22"/>
    </row>
    <row r="233" spans="2:10">
      <c r="B233" t="s">
        <v>1842</v>
      </c>
      <c r="C233">
        <f t="array" ref="C233">D233:F233</f>
        <v>1.8868056662048551</v>
      </c>
      <c r="D233" s="22">
        <v>1.8868056662048551</v>
      </c>
      <c r="E233" s="22"/>
      <c r="F233" s="22"/>
      <c r="G233" s="22">
        <v>0.16232733999999999</v>
      </c>
      <c r="H233" s="22">
        <v>1.6232734</v>
      </c>
      <c r="I233" s="22"/>
      <c r="J233" s="22"/>
    </row>
    <row r="234" spans="2:10">
      <c r="B234" t="s">
        <v>1843</v>
      </c>
      <c r="C234">
        <f t="array" ref="C234">D234:F234</f>
        <v>0.36152700729932896</v>
      </c>
      <c r="D234" s="22">
        <v>0.36152700729932896</v>
      </c>
      <c r="E234" s="22">
        <v>1.9820000000000001E-2</v>
      </c>
      <c r="F234" s="22">
        <v>0.39639999999999997</v>
      </c>
      <c r="G234" s="22">
        <v>3.7064399999999997E-2</v>
      </c>
      <c r="H234" s="22">
        <v>0.37064399999999997</v>
      </c>
      <c r="I234" s="22">
        <v>1.9820000000000001E-2</v>
      </c>
      <c r="J234" s="22">
        <v>0.39639999999999997</v>
      </c>
    </row>
    <row r="235" spans="2:10">
      <c r="B235" t="s">
        <v>1844</v>
      </c>
      <c r="C235">
        <f t="array" ref="C235">D235:F235</f>
        <v>700</v>
      </c>
      <c r="D235" s="22">
        <v>700</v>
      </c>
      <c r="E235" s="22">
        <v>0</v>
      </c>
      <c r="F235" s="22">
        <v>700</v>
      </c>
      <c r="G235" s="22">
        <v>70</v>
      </c>
      <c r="H235" s="22">
        <v>700</v>
      </c>
      <c r="I235" s="22">
        <v>0</v>
      </c>
      <c r="J235" s="22">
        <v>700</v>
      </c>
    </row>
    <row r="236" spans="2:10">
      <c r="B236" t="s">
        <v>1845</v>
      </c>
      <c r="C236">
        <f t="array" ref="C236">D236:F236</f>
        <v>0.46177965094751749</v>
      </c>
      <c r="D236" s="22">
        <v>0.46177965094751749</v>
      </c>
      <c r="E236" s="22">
        <v>4.793E-2</v>
      </c>
      <c r="F236" s="22">
        <v>0.4793</v>
      </c>
      <c r="G236" s="22">
        <v>4.5308670000000002E-2</v>
      </c>
      <c r="H236" s="22">
        <v>0.45308670000000001</v>
      </c>
      <c r="I236" s="22">
        <v>4.793E-2</v>
      </c>
      <c r="J236" s="22">
        <v>0.4793</v>
      </c>
    </row>
    <row r="237" spans="2:10">
      <c r="B237" t="s">
        <v>1846</v>
      </c>
      <c r="C237">
        <f t="array" ref="C237">D237:F237</f>
        <v>0.36297600000000002</v>
      </c>
      <c r="D237" s="22">
        <v>0.36297600000000002</v>
      </c>
      <c r="E237" s="22">
        <v>0</v>
      </c>
      <c r="F237" s="22">
        <v>0.36297600000000002</v>
      </c>
      <c r="G237" s="22">
        <v>0</v>
      </c>
      <c r="H237" s="22">
        <v>0.36297600000000002</v>
      </c>
      <c r="I237" s="22">
        <v>0</v>
      </c>
      <c r="J237" s="22">
        <v>0.36297600000000002</v>
      </c>
    </row>
    <row r="238" spans="2:10">
      <c r="B238" t="s">
        <v>1847</v>
      </c>
      <c r="C238">
        <f t="array" ref="C238">D238:F238</f>
        <v>700</v>
      </c>
      <c r="D238" s="22">
        <v>700</v>
      </c>
      <c r="E238" s="22">
        <v>0</v>
      </c>
      <c r="F238" s="22">
        <v>700</v>
      </c>
      <c r="G238" s="22">
        <v>0</v>
      </c>
      <c r="H238" s="22">
        <v>700</v>
      </c>
      <c r="I238" s="22">
        <v>0</v>
      </c>
      <c r="J238" s="22">
        <v>700</v>
      </c>
    </row>
    <row r="239" spans="2:10">
      <c r="B239" t="s">
        <v>1848</v>
      </c>
      <c r="C239">
        <f t="array" ref="C239">D239:F239</f>
        <v>0.4538432</v>
      </c>
      <c r="D239" s="22">
        <v>0.4538432</v>
      </c>
      <c r="E239" s="22">
        <v>0</v>
      </c>
      <c r="F239" s="22">
        <v>0.4538432</v>
      </c>
      <c r="G239" s="22">
        <v>0</v>
      </c>
      <c r="H239" s="22">
        <v>0.4538432</v>
      </c>
      <c r="I239" s="22">
        <v>0</v>
      </c>
      <c r="J239" s="22">
        <v>0.4538432</v>
      </c>
    </row>
    <row r="240" spans="2:10">
      <c r="B240" t="s">
        <v>1849</v>
      </c>
      <c r="C240">
        <f t="array" ref="C240">D240:F240</f>
        <v>0.36152700729932896</v>
      </c>
      <c r="D240" s="22">
        <v>0.36152700729932896</v>
      </c>
      <c r="E240" s="22">
        <v>3.9640000000000002E-2</v>
      </c>
      <c r="F240" s="22">
        <v>0.39639999999999997</v>
      </c>
      <c r="G240" s="22">
        <v>3.7064399999999997E-2</v>
      </c>
      <c r="H240" s="22">
        <v>0.37064399999999997</v>
      </c>
      <c r="I240" s="22">
        <v>3.9640000000000002E-2</v>
      </c>
      <c r="J240" s="22">
        <v>0.39639999999999997</v>
      </c>
    </row>
    <row r="241" spans="2:10">
      <c r="B241" t="s">
        <v>1850</v>
      </c>
      <c r="C241">
        <f t="array" ref="C241">D241:F241</f>
        <v>1689.0166771432591</v>
      </c>
      <c r="D241" s="22">
        <v>1689.0166771432591</v>
      </c>
      <c r="E241" s="22">
        <v>88.077349999999996</v>
      </c>
      <c r="F241" s="22">
        <v>1761.547</v>
      </c>
      <c r="G241" s="22">
        <v>177.13037405</v>
      </c>
      <c r="H241" s="22">
        <v>1771.3037405</v>
      </c>
      <c r="I241" s="22">
        <v>88.077349999999996</v>
      </c>
      <c r="J241" s="22">
        <v>1761.547</v>
      </c>
    </row>
    <row r="242" spans="2:10">
      <c r="B242" t="s">
        <v>1851</v>
      </c>
      <c r="C242">
        <f t="array" ref="C242">D242:F242</f>
        <v>0.46177965094751749</v>
      </c>
      <c r="D242" s="22">
        <v>0.46177965094751749</v>
      </c>
      <c r="E242" s="22">
        <v>0.10126</v>
      </c>
      <c r="F242" s="22">
        <v>0.50629999999999997</v>
      </c>
      <c r="G242" s="22">
        <v>4.5308670000000002E-2</v>
      </c>
      <c r="H242" s="22">
        <v>0.45308670000000001</v>
      </c>
      <c r="I242" s="22">
        <v>0.10126</v>
      </c>
      <c r="J242" s="22">
        <v>0.50629999999999997</v>
      </c>
    </row>
    <row r="243" spans="2:10">
      <c r="B243" t="s">
        <v>1852</v>
      </c>
      <c r="C243">
        <f t="array" ref="C243">D243:F243</f>
        <v>0</v>
      </c>
      <c r="D243" s="22">
        <v>0</v>
      </c>
      <c r="E243" s="22">
        <v>0</v>
      </c>
      <c r="F243" s="22">
        <v>0</v>
      </c>
      <c r="G243" s="22">
        <v>0</v>
      </c>
      <c r="H243" s="22">
        <v>0</v>
      </c>
      <c r="I243" s="22">
        <v>0</v>
      </c>
      <c r="J243" s="22">
        <v>0</v>
      </c>
    </row>
    <row r="244" spans="2:10">
      <c r="B244" t="s">
        <v>1853</v>
      </c>
      <c r="C244">
        <f t="array" ref="C244">D244:F244</f>
        <v>26849.40981859613</v>
      </c>
      <c r="D244" s="22">
        <v>26849.40981859613</v>
      </c>
      <c r="E244" s="22">
        <v>2684.9409999999998</v>
      </c>
      <c r="F244" s="22">
        <v>26849.41</v>
      </c>
      <c r="G244" s="22">
        <v>2598.0465189500001</v>
      </c>
      <c r="H244" s="22">
        <v>25980.465189499999</v>
      </c>
      <c r="I244" s="22">
        <v>2684.9409999999998</v>
      </c>
      <c r="J244" s="22">
        <v>26849.41</v>
      </c>
    </row>
    <row r="245" spans="2:10">
      <c r="B245" t="s">
        <v>1854</v>
      </c>
      <c r="C245">
        <f t="array" ref="C245">D245:F245</f>
        <v>0</v>
      </c>
      <c r="D245" s="22">
        <v>0</v>
      </c>
      <c r="E245" s="22">
        <v>0</v>
      </c>
      <c r="F245" s="22">
        <v>0</v>
      </c>
      <c r="G245" s="22">
        <v>0</v>
      </c>
      <c r="H245" s="22">
        <v>0</v>
      </c>
      <c r="I245" s="22">
        <v>0</v>
      </c>
      <c r="J245" s="22">
        <v>0</v>
      </c>
    </row>
    <row r="246" spans="2:10">
      <c r="B246" t="s">
        <v>1855</v>
      </c>
      <c r="C246">
        <f t="array" ref="C246">D246:F246</f>
        <v>5133.4779976126429</v>
      </c>
      <c r="D246" s="22">
        <v>5133.4779976126429</v>
      </c>
      <c r="E246" s="22">
        <v>513.34780000000001</v>
      </c>
      <c r="F246" s="22">
        <v>5133.4780000000001</v>
      </c>
      <c r="G246" s="22">
        <v>514.83941000000004</v>
      </c>
      <c r="H246" s="22">
        <v>5148.3941000000004</v>
      </c>
      <c r="I246" s="22">
        <v>513.34780000000001</v>
      </c>
      <c r="J246" s="22">
        <v>5133.4780000000001</v>
      </c>
    </row>
    <row r="247" spans="2:10">
      <c r="B247" t="s">
        <v>1856</v>
      </c>
      <c r="C247">
        <f t="array" ref="C247">D247:F247</f>
        <v>0</v>
      </c>
      <c r="D247" s="22">
        <v>0</v>
      </c>
      <c r="E247" s="22">
        <v>0</v>
      </c>
      <c r="F247" s="22">
        <v>0</v>
      </c>
      <c r="G247" s="22">
        <v>0</v>
      </c>
      <c r="H247" s="22">
        <v>0</v>
      </c>
      <c r="I247" s="22">
        <v>0</v>
      </c>
      <c r="J247" s="22">
        <v>0</v>
      </c>
    </row>
    <row r="248" spans="2:10">
      <c r="B248" t="s">
        <v>1857</v>
      </c>
      <c r="C248">
        <f t="array" ref="C248">D248:F248</f>
        <v>0</v>
      </c>
      <c r="D248" s="22">
        <v>0</v>
      </c>
      <c r="E248" s="22">
        <v>0</v>
      </c>
      <c r="F248" s="22">
        <v>0</v>
      </c>
      <c r="G248" s="22">
        <v>0</v>
      </c>
      <c r="H248" s="22">
        <v>0</v>
      </c>
      <c r="I248" s="22">
        <v>0</v>
      </c>
      <c r="J248" s="22">
        <v>0</v>
      </c>
    </row>
    <row r="249" spans="2:10">
      <c r="B249" t="s">
        <v>1858</v>
      </c>
      <c r="C249">
        <f t="array" ref="C249">D249:F249</f>
        <v>0</v>
      </c>
      <c r="D249" s="22">
        <v>0</v>
      </c>
      <c r="E249" s="22">
        <v>0</v>
      </c>
      <c r="F249" s="22">
        <v>0</v>
      </c>
      <c r="G249" s="22">
        <v>0</v>
      </c>
      <c r="H249" s="22">
        <v>0</v>
      </c>
      <c r="I249" s="22">
        <v>0</v>
      </c>
      <c r="J249" s="22">
        <v>0</v>
      </c>
    </row>
    <row r="250" spans="2:10">
      <c r="B250" t="s">
        <v>1859</v>
      </c>
      <c r="C250">
        <f t="array" ref="C250">D250:F250</f>
        <v>2399.9999994781847</v>
      </c>
      <c r="D250" s="22">
        <v>2399.9999994781847</v>
      </c>
      <c r="E250" s="22">
        <v>240</v>
      </c>
      <c r="F250" s="22">
        <v>2400</v>
      </c>
      <c r="G250" s="22">
        <v>248.15068986</v>
      </c>
      <c r="H250" s="22">
        <v>2481.5068986000001</v>
      </c>
      <c r="I250" s="22">
        <v>240</v>
      </c>
      <c r="J250" s="22">
        <v>2400</v>
      </c>
    </row>
    <row r="251" spans="2:10">
      <c r="B251" t="s">
        <v>1860</v>
      </c>
      <c r="C251">
        <f t="array" ref="C251">D251:F251</f>
        <v>18119.219970257804</v>
      </c>
      <c r="D251" s="22">
        <v>18119.219970257804</v>
      </c>
      <c r="E251" s="22">
        <v>1811.922</v>
      </c>
      <c r="F251" s="22">
        <v>18119.22</v>
      </c>
      <c r="G251" s="22">
        <v>1816.2221668499999</v>
      </c>
      <c r="H251" s="22">
        <v>18162.221668499998</v>
      </c>
      <c r="I251" s="22">
        <v>1811.922</v>
      </c>
      <c r="J251" s="22">
        <v>18119.22</v>
      </c>
    </row>
    <row r="252" spans="2:10">
      <c r="B252" t="s">
        <v>1861</v>
      </c>
      <c r="C252">
        <f t="array" ref="C252">D252:F252</f>
        <v>14623.819980626156</v>
      </c>
      <c r="D252" s="22">
        <v>14623.819980626156</v>
      </c>
      <c r="E252" s="22">
        <v>1462.3820000000001</v>
      </c>
      <c r="F252" s="22">
        <v>14623.82</v>
      </c>
      <c r="G252" s="22">
        <v>1465.18309589</v>
      </c>
      <c r="H252" s="22">
        <v>14651.8309589</v>
      </c>
      <c r="I252" s="22">
        <v>1462.3820000000001</v>
      </c>
      <c r="J252" s="22">
        <v>14623.82</v>
      </c>
    </row>
    <row r="253" spans="2:10">
      <c r="B253" t="s">
        <v>1862</v>
      </c>
      <c r="C253">
        <f t="array" ref="C253">D253:F253</f>
        <v>28797.77992487021</v>
      </c>
      <c r="D253" s="22">
        <v>28797.77992487021</v>
      </c>
      <c r="E253" s="22">
        <v>2879.7779999999998</v>
      </c>
      <c r="F253" s="22">
        <v>28797.78</v>
      </c>
      <c r="G253" s="22">
        <v>2890.6403634500002</v>
      </c>
      <c r="H253" s="22">
        <v>28906.403634499999</v>
      </c>
      <c r="I253" s="22">
        <v>2879.7779999999998</v>
      </c>
      <c r="J253" s="22">
        <v>28797.78</v>
      </c>
    </row>
    <row r="254" spans="2:10">
      <c r="B254" t="s">
        <v>1863</v>
      </c>
      <c r="C254">
        <f t="array" ref="C254">D254:F254</f>
        <v>29860.139919224832</v>
      </c>
      <c r="D254" s="22">
        <v>29860.139919224832</v>
      </c>
      <c r="E254" s="22">
        <v>2986.0140000000001</v>
      </c>
      <c r="F254" s="22">
        <v>29860.14</v>
      </c>
      <c r="G254" s="22">
        <v>2997.6925786500001</v>
      </c>
      <c r="H254" s="22">
        <v>29976.9257865</v>
      </c>
      <c r="I254" s="22">
        <v>2986.0140000000001</v>
      </c>
      <c r="J254" s="22">
        <v>29860.14</v>
      </c>
    </row>
    <row r="255" spans="2:10">
      <c r="B255" t="s">
        <v>1864</v>
      </c>
      <c r="C255">
        <f t="array" ref="C255">D255:F255</f>
        <v>47999.999790748188</v>
      </c>
      <c r="D255" s="22">
        <v>47999.999790748188</v>
      </c>
      <c r="E255" s="22">
        <v>4800</v>
      </c>
      <c r="F255" s="22">
        <v>48000</v>
      </c>
      <c r="G255" s="22">
        <v>6278.7163178199999</v>
      </c>
      <c r="H255" s="22">
        <v>62787.163178199997</v>
      </c>
      <c r="I255" s="22">
        <v>4800</v>
      </c>
      <c r="J255" s="22">
        <v>48000</v>
      </c>
    </row>
    <row r="256" spans="2:10">
      <c r="B256" t="s">
        <v>1865</v>
      </c>
      <c r="C256">
        <f t="array" ref="C256">D256:F256</f>
        <v>599.99999996738654</v>
      </c>
      <c r="D256" s="22">
        <v>599.99999996738654</v>
      </c>
      <c r="E256" s="22">
        <v>60</v>
      </c>
      <c r="F256" s="22">
        <v>600</v>
      </c>
      <c r="G256" s="22">
        <v>60.509418119999999</v>
      </c>
      <c r="H256" s="22">
        <v>605.09418119999998</v>
      </c>
      <c r="I256" s="22">
        <v>60</v>
      </c>
      <c r="J256" s="22">
        <v>600</v>
      </c>
    </row>
    <row r="257" spans="2:10">
      <c r="B257" t="s">
        <v>1866</v>
      </c>
      <c r="C257">
        <f t="array" ref="C257">D257:F257</f>
        <v>0</v>
      </c>
      <c r="D257" s="22">
        <v>0</v>
      </c>
      <c r="E257" s="22">
        <v>0</v>
      </c>
      <c r="F257" s="22">
        <v>0</v>
      </c>
      <c r="G257" s="22">
        <v>0</v>
      </c>
      <c r="H257" s="22">
        <v>0</v>
      </c>
      <c r="I257" s="22">
        <v>0</v>
      </c>
      <c r="J257" s="22">
        <v>0</v>
      </c>
    </row>
    <row r="258" spans="2:10">
      <c r="B258" t="s">
        <v>1867</v>
      </c>
      <c r="C258">
        <f t="array" ref="C258">D258:F258</f>
        <v>893.18199992772759</v>
      </c>
      <c r="D258" s="22">
        <v>893.18199992772759</v>
      </c>
      <c r="E258" s="22">
        <v>89.318200000000004</v>
      </c>
      <c r="F258" s="22">
        <v>893.18200000000002</v>
      </c>
      <c r="G258" s="22">
        <v>89.328649279999993</v>
      </c>
      <c r="H258" s="22">
        <v>893.28649280000002</v>
      </c>
      <c r="I258" s="22">
        <v>89.318200000000004</v>
      </c>
      <c r="J258" s="22">
        <v>893.18200000000002</v>
      </c>
    </row>
    <row r="259" spans="2:10">
      <c r="B259" t="s">
        <v>1868</v>
      </c>
      <c r="C259">
        <f t="array" ref="C259">D259:F259</f>
        <v>0</v>
      </c>
      <c r="D259" s="22">
        <v>0</v>
      </c>
      <c r="E259" s="22">
        <v>0</v>
      </c>
      <c r="F259" s="22">
        <v>0</v>
      </c>
      <c r="G259" s="22">
        <v>0</v>
      </c>
      <c r="H259" s="22">
        <v>0</v>
      </c>
      <c r="I259" s="22">
        <v>0</v>
      </c>
      <c r="J259" s="22">
        <v>0</v>
      </c>
    </row>
    <row r="260" spans="2:10">
      <c r="B260" t="s">
        <v>1869</v>
      </c>
      <c r="C260">
        <f t="array" ref="C260">D260:F260</f>
        <v>0</v>
      </c>
      <c r="D260" s="22">
        <v>0</v>
      </c>
      <c r="E260" s="22">
        <v>0</v>
      </c>
      <c r="F260" s="22">
        <v>0</v>
      </c>
      <c r="G260" s="22">
        <v>0</v>
      </c>
      <c r="H260" s="22">
        <v>0</v>
      </c>
      <c r="I260" s="22">
        <v>0</v>
      </c>
      <c r="J260" s="22">
        <v>0</v>
      </c>
    </row>
    <row r="261" spans="2:10">
      <c r="B261" t="s">
        <v>1870</v>
      </c>
      <c r="C261">
        <f t="array" ref="C261">D261:F261</f>
        <v>0</v>
      </c>
      <c r="D261" s="22">
        <v>0</v>
      </c>
      <c r="E261" s="22">
        <v>0</v>
      </c>
      <c r="F261" s="22">
        <v>0</v>
      </c>
      <c r="G261" s="22">
        <v>3.9082989999999998E-2</v>
      </c>
      <c r="H261" s="22">
        <v>0.39082990000000001</v>
      </c>
      <c r="I261" s="22">
        <v>0</v>
      </c>
      <c r="J261" s="22">
        <v>0</v>
      </c>
    </row>
    <row r="262" spans="2:10">
      <c r="B262" t="s">
        <v>1871</v>
      </c>
      <c r="C262">
        <f t="array" ref="C262">D262:F262</f>
        <v>0</v>
      </c>
      <c r="D262" s="22">
        <v>0</v>
      </c>
      <c r="E262" s="22">
        <v>0</v>
      </c>
      <c r="F262" s="22">
        <v>0</v>
      </c>
      <c r="G262" s="22">
        <v>0</v>
      </c>
      <c r="H262" s="22">
        <v>0</v>
      </c>
      <c r="I262" s="22">
        <v>0</v>
      </c>
      <c r="J262" s="22">
        <v>0</v>
      </c>
    </row>
    <row r="263" spans="2:10">
      <c r="B263" t="s">
        <v>1872</v>
      </c>
      <c r="C263">
        <f t="array" ref="C263">D263:F263</f>
        <v>0</v>
      </c>
      <c r="D263" s="22">
        <v>0</v>
      </c>
      <c r="E263" s="22">
        <v>0</v>
      </c>
      <c r="F263" s="22">
        <v>0</v>
      </c>
      <c r="G263" s="22">
        <v>36.139702900000003</v>
      </c>
      <c r="H263" s="22">
        <v>361.39702899999997</v>
      </c>
      <c r="I263" s="22">
        <v>0</v>
      </c>
      <c r="J263" s="22">
        <v>0</v>
      </c>
    </row>
    <row r="264" spans="2:10">
      <c r="B264" t="s">
        <v>1873</v>
      </c>
      <c r="C264">
        <f t="array" ref="C264">D264:F264</f>
        <v>0.41959999999999997</v>
      </c>
      <c r="D264" s="22">
        <v>0.41959999999999997</v>
      </c>
      <c r="E264" s="22">
        <v>0</v>
      </c>
      <c r="F264" s="22">
        <v>0.41959999999999997</v>
      </c>
      <c r="G264" s="22">
        <v>3.9082989999999998E-2</v>
      </c>
      <c r="H264" s="22">
        <v>0.39082990000000001</v>
      </c>
      <c r="I264" s="22">
        <v>0</v>
      </c>
      <c r="J264" s="22">
        <v>0.41959999999999997</v>
      </c>
    </row>
    <row r="265" spans="2:10">
      <c r="B265" t="s">
        <v>1874</v>
      </c>
      <c r="C265">
        <f t="array" ref="C265">D265:F265</f>
        <v>0.40776172813470779</v>
      </c>
      <c r="D265" s="22">
        <v>0.40776172813470779</v>
      </c>
      <c r="E265" s="22">
        <v>118.54192500000001</v>
      </c>
      <c r="F265" s="22">
        <v>474.16770000000002</v>
      </c>
      <c r="G265" s="22">
        <v>0</v>
      </c>
      <c r="H265" s="22">
        <v>0</v>
      </c>
      <c r="I265" s="22">
        <v>118.54192500000001</v>
      </c>
      <c r="J265" s="22">
        <v>474.16770000000002</v>
      </c>
    </row>
    <row r="266" spans="2:10">
      <c r="B266" t="s">
        <v>1875</v>
      </c>
      <c r="C266">
        <f t="array" ref="C266">D266:F266</f>
        <v>3.8036782780499559E-49</v>
      </c>
      <c r="D266" s="22">
        <v>3.8036782780499559E-49</v>
      </c>
      <c r="E266" s="22">
        <v>4.6039999999999998E-2</v>
      </c>
      <c r="F266" s="22">
        <v>0.46039999999999998</v>
      </c>
      <c r="G266" s="22">
        <v>36.139702900000003</v>
      </c>
      <c r="H266" s="22">
        <v>361.39702899999997</v>
      </c>
      <c r="I266" s="22">
        <v>4.6039999999999998E-2</v>
      </c>
      <c r="J266" s="22">
        <v>0.46039999999999998</v>
      </c>
    </row>
    <row r="267" spans="2:10">
      <c r="B267" t="s">
        <v>1876</v>
      </c>
      <c r="C267">
        <f t="array" ref="C267">D267:F267</f>
        <v>1.0731793225267156E-33</v>
      </c>
      <c r="D267" s="22">
        <v>1.0731793225267156E-33</v>
      </c>
      <c r="E267" s="22"/>
      <c r="F267" s="22"/>
      <c r="G267" s="22">
        <v>3.9082989999999998E-2</v>
      </c>
      <c r="H267" s="22">
        <v>0.39082990000000001</v>
      </c>
      <c r="I267" s="22"/>
      <c r="J267" s="22"/>
    </row>
    <row r="268" spans="2:10">
      <c r="B268" t="s">
        <v>1877</v>
      </c>
      <c r="C268">
        <f t="array" ref="C268">D268:F268</f>
        <v>0</v>
      </c>
      <c r="D268" s="22">
        <v>0</v>
      </c>
      <c r="E268" s="22">
        <v>0</v>
      </c>
      <c r="F268" s="22">
        <v>0</v>
      </c>
      <c r="G268" s="22">
        <v>0</v>
      </c>
      <c r="H268" s="22">
        <v>0</v>
      </c>
      <c r="I268" s="22">
        <v>0</v>
      </c>
      <c r="J268" s="22">
        <v>0</v>
      </c>
    </row>
    <row r="269" spans="2:10">
      <c r="B269" t="s">
        <v>1878</v>
      </c>
      <c r="C269">
        <f t="array" ref="C269">D269:F269</f>
        <v>0.43959999999999999</v>
      </c>
      <c r="D269" s="22">
        <v>0.43959999999999999</v>
      </c>
      <c r="E269" s="22">
        <v>0</v>
      </c>
      <c r="F269" s="22">
        <v>0.43959999999999999</v>
      </c>
      <c r="G269" s="22">
        <v>0</v>
      </c>
      <c r="H269" s="22">
        <v>0.41959999999999997</v>
      </c>
      <c r="I269" s="22">
        <v>0</v>
      </c>
      <c r="J269" s="22">
        <v>0.43959999999999999</v>
      </c>
    </row>
    <row r="270" spans="2:10">
      <c r="B270" t="s">
        <v>1879</v>
      </c>
      <c r="C270">
        <f t="array" ref="C270">D270:F270</f>
        <v>-2.2578895490594498E-34</v>
      </c>
      <c r="D270" s="22">
        <v>-2.2578895490594498E-34</v>
      </c>
      <c r="E270" s="22"/>
      <c r="F270" s="22"/>
      <c r="G270" s="22">
        <v>3.9082989999999998E-2</v>
      </c>
      <c r="H270" s="22">
        <v>0.39082990000000001</v>
      </c>
      <c r="I270" s="22"/>
      <c r="J270" s="22"/>
    </row>
    <row r="271" spans="2:10">
      <c r="B271" t="s">
        <v>1880</v>
      </c>
      <c r="C271">
        <f t="array" ref="C271">D271:F271</f>
        <v>2105.2852009476715</v>
      </c>
      <c r="D271" s="22">
        <v>2105.2852009476715</v>
      </c>
      <c r="E271" s="22">
        <v>435.24225000000001</v>
      </c>
      <c r="F271" s="22">
        <v>1740.9690000000001</v>
      </c>
      <c r="G271" s="22">
        <v>41.559362999999998</v>
      </c>
      <c r="H271" s="22">
        <v>415.59363000000002</v>
      </c>
      <c r="I271" s="22">
        <v>435.24225000000001</v>
      </c>
      <c r="J271" s="22">
        <v>1740.9690000000001</v>
      </c>
    </row>
    <row r="272" spans="2:10">
      <c r="B272" t="s">
        <v>1881</v>
      </c>
      <c r="C272">
        <f t="array" ref="C272">D272:F272</f>
        <v>0.43959999999999999</v>
      </c>
      <c r="D272" s="22">
        <v>0.43959999999999999</v>
      </c>
      <c r="E272" s="22">
        <v>4.2130000000000001E-2</v>
      </c>
      <c r="F272" s="22">
        <v>0.42130000000000001</v>
      </c>
      <c r="G272" s="22">
        <v>4.1959999999999997E-2</v>
      </c>
      <c r="H272" s="22">
        <v>0.41959999999999997</v>
      </c>
      <c r="I272" s="22">
        <v>4.2130000000000001E-2</v>
      </c>
      <c r="J272" s="22">
        <v>0.42130000000000001</v>
      </c>
    </row>
    <row r="273" spans="2:10">
      <c r="B273" t="s">
        <v>1882</v>
      </c>
      <c r="C273">
        <f t="array" ref="C273">D273:F273</f>
        <v>-1.8452204804600918</v>
      </c>
      <c r="D273" s="22">
        <v>-1.8452204804600918</v>
      </c>
      <c r="E273" s="22"/>
      <c r="F273" s="22"/>
      <c r="G273" s="22">
        <v>3.74214E-2</v>
      </c>
      <c r="H273" s="22">
        <v>0.37421399999999999</v>
      </c>
      <c r="I273" s="22"/>
      <c r="J273" s="22"/>
    </row>
    <row r="274" spans="2:10">
      <c r="B274" t="s">
        <v>1883</v>
      </c>
      <c r="C274">
        <f t="array" ref="C274">D274:F274</f>
        <v>0</v>
      </c>
      <c r="D274" s="22">
        <v>0</v>
      </c>
      <c r="E274" s="22">
        <v>0</v>
      </c>
      <c r="F274" s="22">
        <v>0</v>
      </c>
      <c r="G274" s="22">
        <v>0</v>
      </c>
      <c r="H274" s="22">
        <v>0</v>
      </c>
      <c r="I274" s="22">
        <v>0</v>
      </c>
      <c r="J274" s="22">
        <v>0</v>
      </c>
    </row>
    <row r="275" spans="2:10">
      <c r="B275" t="s">
        <v>1884</v>
      </c>
      <c r="C275">
        <f t="array" ref="C275">D275:F275</f>
        <v>0.5202</v>
      </c>
      <c r="D275" s="22">
        <v>0.5202</v>
      </c>
      <c r="E275" s="22">
        <v>0</v>
      </c>
      <c r="F275" s="22">
        <v>0.5202</v>
      </c>
      <c r="G275" s="22">
        <v>0</v>
      </c>
      <c r="H275" s="22">
        <v>0.43959999999999999</v>
      </c>
      <c r="I275" s="22">
        <v>0</v>
      </c>
      <c r="J275" s="22">
        <v>0.5202</v>
      </c>
    </row>
    <row r="276" spans="2:10">
      <c r="B276" t="s">
        <v>1885</v>
      </c>
      <c r="C276">
        <f t="array" ref="C276">D276:F276</f>
        <v>-1.8452204804600916</v>
      </c>
      <c r="D276" s="22">
        <v>-1.8452204804600916</v>
      </c>
      <c r="E276" s="22"/>
      <c r="F276" s="22"/>
      <c r="G276" s="22">
        <v>3.74214E-2</v>
      </c>
      <c r="H276" s="22">
        <v>0.37421399999999999</v>
      </c>
      <c r="I276" s="22"/>
      <c r="J276" s="22"/>
    </row>
    <row r="277" spans="2:10">
      <c r="B277" t="s">
        <v>1886</v>
      </c>
      <c r="C277">
        <f t="array" ref="C277">D277:F277</f>
        <v>0</v>
      </c>
      <c r="D277" s="22">
        <v>0</v>
      </c>
      <c r="E277" s="22">
        <v>0</v>
      </c>
      <c r="F277" s="22">
        <v>0</v>
      </c>
      <c r="G277" s="22">
        <v>154.41572060999999</v>
      </c>
      <c r="H277" s="22">
        <v>1544.1572060999999</v>
      </c>
      <c r="I277" s="22">
        <v>0</v>
      </c>
      <c r="J277" s="22">
        <v>0</v>
      </c>
    </row>
    <row r="278" spans="2:10">
      <c r="B278" t="s">
        <v>1887</v>
      </c>
      <c r="C278">
        <f t="array" ref="C278">D278:F278</f>
        <v>0.5202</v>
      </c>
      <c r="D278" s="22">
        <v>0.5202</v>
      </c>
      <c r="E278" s="22">
        <v>0</v>
      </c>
      <c r="F278" s="22">
        <v>0.5202</v>
      </c>
      <c r="G278" s="22">
        <v>4.3959999999999999E-2</v>
      </c>
      <c r="H278" s="22">
        <v>0.43959999999999999</v>
      </c>
      <c r="I278" s="22">
        <v>0</v>
      </c>
      <c r="J278" s="22">
        <v>0.5202</v>
      </c>
    </row>
    <row r="279" spans="2:10">
      <c r="B279" t="s">
        <v>1888</v>
      </c>
      <c r="C279">
        <f t="array" ref="C279">D279:F279</f>
        <v>-1.8452204804600916</v>
      </c>
      <c r="D279" s="22">
        <v>-1.8452204804600916</v>
      </c>
      <c r="E279" s="22"/>
      <c r="F279" s="22"/>
      <c r="G279" s="22">
        <v>3.74214E-2</v>
      </c>
      <c r="H279" s="22">
        <v>0.37421399999999999</v>
      </c>
      <c r="I279" s="22"/>
      <c r="J279" s="22"/>
    </row>
    <row r="280" spans="2:10">
      <c r="B280" t="s">
        <v>1889</v>
      </c>
      <c r="C280">
        <f t="array" ref="C280">D280:F280</f>
        <v>13280.73509350524</v>
      </c>
      <c r="D280" s="22">
        <v>13280.73509350524</v>
      </c>
      <c r="E280" s="22">
        <v>785.25900000000001</v>
      </c>
      <c r="F280" s="22">
        <v>15705.18</v>
      </c>
      <c r="G280" s="22">
        <v>0</v>
      </c>
      <c r="H280" s="22">
        <v>0</v>
      </c>
      <c r="I280" s="22">
        <v>785.25900000000001</v>
      </c>
      <c r="J280" s="22">
        <v>15705.18</v>
      </c>
    </row>
    <row r="281" spans="2:10">
      <c r="B281" t="s">
        <v>1890</v>
      </c>
      <c r="C281">
        <f t="array" ref="C281">D281:F281</f>
        <v>1.8898700000000001E-2</v>
      </c>
      <c r="D281" s="22">
        <v>1.8898700000000001E-2</v>
      </c>
      <c r="E281" s="22">
        <v>0</v>
      </c>
      <c r="F281" s="22">
        <v>1.8898700000000001E-2</v>
      </c>
      <c r="G281" s="22">
        <v>0</v>
      </c>
      <c r="H281" s="22">
        <v>0.5202</v>
      </c>
      <c r="I281" s="22">
        <v>0</v>
      </c>
      <c r="J281" s="22">
        <v>1.8898700000000001E-2</v>
      </c>
    </row>
    <row r="282" spans="2:10">
      <c r="B282" t="s">
        <v>1891</v>
      </c>
      <c r="C282">
        <f t="array" ref="C282">D282:F282</f>
        <v>-1.8452204804600916</v>
      </c>
      <c r="D282" s="22">
        <v>-1.8452204804600916</v>
      </c>
      <c r="E282" s="22"/>
      <c r="F282" s="22"/>
      <c r="G282" s="22">
        <v>3.74214E-2</v>
      </c>
      <c r="H282" s="22">
        <v>0.37421399999999999</v>
      </c>
      <c r="I282" s="22"/>
      <c r="J282" s="22"/>
    </row>
    <row r="283" spans="2:10">
      <c r="B283" t="s">
        <v>1892</v>
      </c>
      <c r="C283">
        <f t="array" ref="C283">D283:F283</f>
        <v>-273.13292217100536</v>
      </c>
      <c r="D283" s="22">
        <v>-273.13292217100536</v>
      </c>
      <c r="E283" s="22"/>
      <c r="F283" s="22"/>
      <c r="G283" s="22">
        <v>0</v>
      </c>
      <c r="H283" s="22">
        <v>0</v>
      </c>
      <c r="I283" s="22"/>
      <c r="J283" s="22"/>
    </row>
    <row r="284" spans="2:10">
      <c r="B284" t="s">
        <v>1893</v>
      </c>
      <c r="C284">
        <f t="array" ref="C284">D284:F284</f>
        <v>1.8898700000000001E-2</v>
      </c>
      <c r="D284" s="22">
        <v>1.8898700000000001E-2</v>
      </c>
      <c r="E284" s="22"/>
      <c r="F284" s="22"/>
      <c r="G284" s="22">
        <v>0</v>
      </c>
      <c r="H284" s="22">
        <v>0.5202</v>
      </c>
      <c r="I284" s="22"/>
      <c r="J284" s="22"/>
    </row>
    <row r="285" spans="2:10">
      <c r="B285" t="s">
        <v>1894</v>
      </c>
      <c r="C285">
        <f t="array" ref="C285">D285:F285</f>
        <v>-15797.095904140835</v>
      </c>
      <c r="D285" s="22">
        <v>-15797.095904140835</v>
      </c>
      <c r="E285" s="22"/>
      <c r="F285" s="22"/>
      <c r="G285" s="22">
        <v>1563.0852667700001</v>
      </c>
      <c r="H285" s="22">
        <v>15630.852667700001</v>
      </c>
      <c r="I285" s="22"/>
      <c r="J285" s="22"/>
    </row>
    <row r="286" spans="2:10">
      <c r="B286" t="s">
        <v>1895</v>
      </c>
      <c r="C286">
        <f t="array" ref="C286">D286:F286</f>
        <v>7.0139646618698004E-3</v>
      </c>
      <c r="D286" s="22">
        <v>7.0139646618698004E-3</v>
      </c>
      <c r="E286" s="22">
        <v>5.2991999999999997E-2</v>
      </c>
      <c r="F286" s="22">
        <v>2.6496</v>
      </c>
      <c r="G286" s="22">
        <v>0</v>
      </c>
      <c r="H286" s="22">
        <v>1.8898700000000001E-2</v>
      </c>
      <c r="I286" s="22">
        <v>5.2991999999999997E-2</v>
      </c>
      <c r="J286" s="22">
        <v>2.6496</v>
      </c>
    </row>
    <row r="287" spans="2:10">
      <c r="B287" t="s">
        <v>1896</v>
      </c>
      <c r="C287">
        <f t="array" ref="C287">D287:F287</f>
        <v>57979.626880362637</v>
      </c>
      <c r="D287" s="22">
        <v>57979.626880362637</v>
      </c>
      <c r="E287" s="22"/>
      <c r="F287" s="22"/>
      <c r="G287" s="22">
        <v>5862.0139808699996</v>
      </c>
      <c r="H287" s="22">
        <v>58620.139808699998</v>
      </c>
      <c r="I287" s="22"/>
      <c r="J287" s="22"/>
    </row>
    <row r="288" spans="2:10">
      <c r="B288" t="s">
        <v>1897</v>
      </c>
      <c r="C288">
        <f t="array" ref="C288">D288:F288</f>
        <v>2.7146317349723086</v>
      </c>
      <c r="D288" s="22">
        <v>2.7146317349723086</v>
      </c>
      <c r="E288" s="22"/>
      <c r="F288" s="22"/>
      <c r="G288" s="22">
        <v>0.26943586000000003</v>
      </c>
      <c r="H288" s="22">
        <v>2.6943586000000002</v>
      </c>
      <c r="I288" s="22"/>
      <c r="J288" s="22"/>
    </row>
    <row r="289" spans="2:10">
      <c r="B289" t="s">
        <v>1898</v>
      </c>
      <c r="C289">
        <f t="array" ref="C289">D289:F289</f>
        <v>0</v>
      </c>
      <c r="D289" s="22">
        <v>0</v>
      </c>
      <c r="E289" s="22"/>
      <c r="F289" s="22"/>
      <c r="G289" s="22">
        <v>0</v>
      </c>
      <c r="H289" s="22">
        <v>0</v>
      </c>
      <c r="I289" s="22"/>
      <c r="J289" s="22"/>
    </row>
    <row r="290" spans="2:10">
      <c r="B290" t="s">
        <v>1899</v>
      </c>
      <c r="C290">
        <f t="array" ref="C290">D290:F290</f>
        <v>0</v>
      </c>
      <c r="D290" s="22">
        <v>0</v>
      </c>
      <c r="E290" s="22">
        <v>0</v>
      </c>
      <c r="F290" s="22">
        <v>0</v>
      </c>
      <c r="G290" s="22">
        <v>0</v>
      </c>
      <c r="H290" s="22">
        <v>0</v>
      </c>
      <c r="I290" s="22">
        <v>0</v>
      </c>
      <c r="J290" s="22">
        <v>0</v>
      </c>
    </row>
    <row r="291" spans="2:10">
      <c r="B291" t="s">
        <v>1900</v>
      </c>
      <c r="C291">
        <f t="array" ref="C291">D291:F291</f>
        <v>-5902.8326271468159</v>
      </c>
      <c r="D291" s="22">
        <v>-5902.8326271468159</v>
      </c>
      <c r="E291" s="22"/>
      <c r="F291" s="22"/>
      <c r="G291" s="22">
        <v>2.8589000000000002E-4</v>
      </c>
      <c r="H291" s="22">
        <v>2.8589000000000002E-3</v>
      </c>
      <c r="I291" s="22"/>
      <c r="J291" s="22"/>
    </row>
    <row r="292" spans="2:10">
      <c r="B292" t="s">
        <v>1901</v>
      </c>
      <c r="C292">
        <f t="array" ref="C292">D292:F292</f>
        <v>39913.594305772909</v>
      </c>
      <c r="D292" s="22">
        <v>39913.594305772909</v>
      </c>
      <c r="E292" s="22"/>
      <c r="F292" s="22"/>
      <c r="G292" s="22">
        <v>5569.53069314</v>
      </c>
      <c r="H292" s="22">
        <v>55695.306931400002</v>
      </c>
      <c r="I292" s="22"/>
      <c r="J292" s="22"/>
    </row>
    <row r="293" spans="2:10">
      <c r="B293" t="s">
        <v>1902</v>
      </c>
      <c r="C293">
        <f t="array" ref="C293">D293:F293</f>
        <v>0.63810988398640855</v>
      </c>
      <c r="D293" s="22">
        <v>0.63810988398640855</v>
      </c>
      <c r="E293" s="22"/>
      <c r="F293" s="22"/>
      <c r="G293" s="22">
        <v>9.0393940000000006E-2</v>
      </c>
      <c r="H293" s="22">
        <v>0.90393939999999995</v>
      </c>
      <c r="I293" s="22"/>
      <c r="J293" s="22"/>
    </row>
    <row r="294" spans="2:10">
      <c r="B294" t="s">
        <v>1903</v>
      </c>
      <c r="C294">
        <f t="array" ref="C294">D294:F294</f>
        <v>3.0994999999999998E-3</v>
      </c>
      <c r="D294" s="22">
        <v>3.0994999999999998E-3</v>
      </c>
      <c r="E294" s="22">
        <v>0</v>
      </c>
      <c r="F294" s="22">
        <v>3.0994999999999998E-3</v>
      </c>
      <c r="G294" s="22">
        <v>0</v>
      </c>
      <c r="H294" s="22">
        <v>3.0994999999999998E-3</v>
      </c>
      <c r="I294" s="22">
        <v>0</v>
      </c>
      <c r="J294" s="22">
        <v>3.0994999999999998E-3</v>
      </c>
    </row>
    <row r="295" spans="2:10">
      <c r="B295" t="s">
        <v>1904</v>
      </c>
      <c r="C295">
        <f t="array" ref="C295">D295:F295</f>
        <v>57630.047170825121</v>
      </c>
      <c r="D295" s="22">
        <v>57630.047170825121</v>
      </c>
      <c r="E295" s="22"/>
      <c r="F295" s="22"/>
      <c r="G295" s="22">
        <v>5611.5602257600003</v>
      </c>
      <c r="H295" s="22">
        <v>56115.602257600003</v>
      </c>
      <c r="I295" s="22"/>
      <c r="J295" s="22"/>
    </row>
    <row r="296" spans="2:10">
      <c r="B296" t="s">
        <v>1905</v>
      </c>
      <c r="C296">
        <f t="array" ref="C296">D296:F296</f>
        <v>2.8759999896832453</v>
      </c>
      <c r="D296" s="22">
        <v>2.8759999896832453</v>
      </c>
      <c r="E296" s="22">
        <v>5.7520000000000002E-2</v>
      </c>
      <c r="F296" s="22">
        <v>2.8759999999999999</v>
      </c>
      <c r="G296" s="22">
        <v>0.28654911999999999</v>
      </c>
      <c r="H296" s="22">
        <v>2.8654912000000001</v>
      </c>
      <c r="I296" s="22">
        <v>5.7520000000000002E-2</v>
      </c>
      <c r="J296" s="22">
        <v>2.8759999999999999</v>
      </c>
    </row>
    <row r="297" spans="2:10">
      <c r="B297" t="s">
        <v>1906</v>
      </c>
      <c r="C297">
        <f t="array" ref="C297">D297:F297</f>
        <v>10695.849372709266</v>
      </c>
      <c r="D297" s="22">
        <v>10695.849372709266</v>
      </c>
      <c r="E297" s="22"/>
      <c r="F297" s="22"/>
      <c r="G297" s="22">
        <v>2.6626999999999998E-4</v>
      </c>
      <c r="H297" s="22">
        <v>2.6627E-3</v>
      </c>
      <c r="I297" s="22"/>
      <c r="J297" s="22"/>
    </row>
    <row r="298" spans="2:10">
      <c r="B298" t="s">
        <v>1907</v>
      </c>
      <c r="C298">
        <f t="array" ref="C298">D298:F298</f>
        <v>22158.262690370204</v>
      </c>
      <c r="D298" s="22">
        <v>22158.262690370204</v>
      </c>
      <c r="E298" s="22">
        <v>4431.6540000000005</v>
      </c>
      <c r="F298" s="22">
        <v>22158.27</v>
      </c>
      <c r="G298" s="22">
        <v>1230.52987781</v>
      </c>
      <c r="H298" s="22">
        <v>12305.298778099999</v>
      </c>
      <c r="I298" s="22">
        <v>4431.6540000000005</v>
      </c>
      <c r="J298" s="22">
        <v>22158.27</v>
      </c>
    </row>
    <row r="299" spans="2:10">
      <c r="B299" t="s">
        <v>1908</v>
      </c>
      <c r="C299">
        <f t="array" ref="C299">D299:F299</f>
        <v>3.6652060979650378</v>
      </c>
      <c r="D299" s="22">
        <v>3.6652060979650378</v>
      </c>
      <c r="E299" s="22"/>
      <c r="F299" s="22"/>
      <c r="G299" s="22">
        <v>0.68918283000000002</v>
      </c>
      <c r="H299" s="22">
        <v>6.8918283000000002</v>
      </c>
      <c r="I299" s="22"/>
      <c r="J299" s="22"/>
    </row>
    <row r="300" spans="2:10">
      <c r="B300" t="s">
        <v>1909</v>
      </c>
      <c r="C300">
        <f t="array" ref="C300">D300:F300</f>
        <v>2.4786999999999999E-3</v>
      </c>
      <c r="D300" s="22">
        <v>2.4786999999999999E-3</v>
      </c>
      <c r="E300" s="22">
        <v>0</v>
      </c>
      <c r="F300" s="22">
        <v>2.4786999999999999E-3</v>
      </c>
      <c r="G300" s="22">
        <v>0</v>
      </c>
      <c r="H300" s="22">
        <v>2.4786999999999999E-3</v>
      </c>
      <c r="I300" s="22">
        <v>0</v>
      </c>
      <c r="J300" s="22">
        <v>2.4786999999999999E-3</v>
      </c>
    </row>
    <row r="301" spans="2:10">
      <c r="B301" t="s">
        <v>1910</v>
      </c>
      <c r="C301">
        <f t="array" ref="C301">D301:F301</f>
        <v>15162.240998900001</v>
      </c>
      <c r="D301" s="22">
        <v>15162.240998900001</v>
      </c>
      <c r="E301" s="22">
        <v>0</v>
      </c>
      <c r="F301" s="22">
        <v>15162.240998900001</v>
      </c>
      <c r="G301" s="22">
        <v>0</v>
      </c>
      <c r="H301" s="22">
        <v>15162.240998900001</v>
      </c>
      <c r="I301" s="22">
        <v>0</v>
      </c>
      <c r="J301" s="22">
        <v>15162.240998900001</v>
      </c>
    </row>
    <row r="302" spans="2:10">
      <c r="B302" t="s">
        <v>1911</v>
      </c>
      <c r="C302">
        <f t="array" ref="C302">D302:F302</f>
        <v>5.5245560999999999</v>
      </c>
      <c r="D302" s="22">
        <v>5.5245560999999999</v>
      </c>
      <c r="E302" s="22">
        <v>0</v>
      </c>
      <c r="F302" s="22">
        <v>5.5245560999999999</v>
      </c>
      <c r="G302" s="22">
        <v>0</v>
      </c>
      <c r="H302" s="22">
        <v>5.5245560999999999</v>
      </c>
      <c r="I302" s="22">
        <v>0</v>
      </c>
      <c r="J302" s="22">
        <v>5.5245560999999999</v>
      </c>
    </row>
    <row r="303" spans="2:10">
      <c r="B303" t="s">
        <v>1912</v>
      </c>
      <c r="C303">
        <f t="array" ref="C303">D303:F303</f>
        <v>-21555.11222838458</v>
      </c>
      <c r="D303" s="22">
        <v>-21555.11222838458</v>
      </c>
      <c r="E303" s="22"/>
      <c r="F303" s="22"/>
      <c r="G303" s="22">
        <v>880.52223960000003</v>
      </c>
      <c r="H303" s="22">
        <v>8805.2223959999992</v>
      </c>
      <c r="I303" s="22"/>
      <c r="J303" s="22"/>
    </row>
    <row r="304" spans="2:10">
      <c r="B304" t="s">
        <v>1913</v>
      </c>
      <c r="C304">
        <f t="array" ref="C304">D304:F304</f>
        <v>89291.287670000005</v>
      </c>
      <c r="D304" s="22">
        <v>89291.287670000005</v>
      </c>
      <c r="E304" s="22">
        <v>0</v>
      </c>
      <c r="F304" s="22">
        <v>89291.287670000005</v>
      </c>
      <c r="G304" s="22">
        <v>0</v>
      </c>
      <c r="H304" s="22">
        <v>89291.287670000005</v>
      </c>
      <c r="I304" s="22">
        <v>0</v>
      </c>
      <c r="J304" s="22">
        <v>89291.287670000005</v>
      </c>
    </row>
    <row r="305" spans="2:10">
      <c r="B305" t="s">
        <v>1914</v>
      </c>
      <c r="C305">
        <f t="array" ref="C305">D305:F305</f>
        <v>89291.287670000005</v>
      </c>
      <c r="D305" s="22">
        <v>89291.287670000005</v>
      </c>
      <c r="E305" s="22"/>
      <c r="F305" s="22"/>
      <c r="G305" s="22">
        <v>8929.1287670000002</v>
      </c>
      <c r="H305" s="22">
        <v>89291.287670000005</v>
      </c>
      <c r="I305" s="22"/>
      <c r="J305" s="22"/>
    </row>
    <row r="306" spans="2:10">
      <c r="B306" t="s">
        <v>1915</v>
      </c>
      <c r="C306">
        <f t="array" ref="C306">D306:F306</f>
        <v>10695.849372709266</v>
      </c>
      <c r="D306" s="22">
        <v>10695.849372709266</v>
      </c>
      <c r="E306" s="22">
        <v>2178.6019999999999</v>
      </c>
      <c r="F306" s="22">
        <v>10893.01</v>
      </c>
      <c r="G306" s="22">
        <v>2.6626999999999998E-4</v>
      </c>
      <c r="H306" s="22">
        <v>2.6627E-3</v>
      </c>
      <c r="I306" s="22">
        <v>2178.6019999999999</v>
      </c>
      <c r="J306" s="22">
        <v>10893.01</v>
      </c>
    </row>
    <row r="307" spans="2:10">
      <c r="B307" t="s">
        <v>1916</v>
      </c>
      <c r="C307">
        <f t="array" ref="C307">D307:F307</f>
        <v>-22158.285341798713</v>
      </c>
      <c r="D307" s="22">
        <v>-22158.285341798713</v>
      </c>
      <c r="E307" s="22"/>
      <c r="F307" s="22"/>
      <c r="G307" s="22">
        <v>924.36314031999996</v>
      </c>
      <c r="H307" s="22">
        <v>9243.6314031999991</v>
      </c>
      <c r="I307" s="22"/>
      <c r="J307" s="22"/>
    </row>
    <row r="308" spans="2:10">
      <c r="B308" t="s">
        <v>1917</v>
      </c>
      <c r="C308">
        <f t="array" ref="C308">D308:F308</f>
        <v>0.88009997641088644</v>
      </c>
      <c r="D308" s="22">
        <v>0.88009997641088644</v>
      </c>
      <c r="E308" s="22">
        <v>0.17602000000000001</v>
      </c>
      <c r="F308" s="22">
        <v>0.88009999999999999</v>
      </c>
      <c r="G308" s="22">
        <v>9.1462150000000006E-2</v>
      </c>
      <c r="H308" s="22">
        <v>0.91462149999999998</v>
      </c>
      <c r="I308" s="22">
        <v>0.17602000000000001</v>
      </c>
      <c r="J308" s="22">
        <v>0.88009999999999999</v>
      </c>
    </row>
    <row r="309" spans="2:10">
      <c r="B309" t="s">
        <v>1918</v>
      </c>
      <c r="C309">
        <f t="array" ref="C309">D309:F309</f>
        <v>3.0047676034970429E-3</v>
      </c>
      <c r="D309" s="22">
        <v>3.0047676034970429E-3</v>
      </c>
      <c r="E309" s="22"/>
      <c r="F309" s="22"/>
      <c r="G309" s="22">
        <v>2.9175000000000002E-4</v>
      </c>
      <c r="H309" s="22">
        <v>2.9175E-3</v>
      </c>
      <c r="I309" s="22"/>
      <c r="J309" s="22"/>
    </row>
    <row r="310" spans="2:10">
      <c r="B310" t="s">
        <v>1919</v>
      </c>
      <c r="C310">
        <f t="array" ref="C310">D310:F310</f>
        <v>16350.321428858766</v>
      </c>
      <c r="D310" s="22">
        <v>16350.321428858766</v>
      </c>
      <c r="E310" s="22">
        <v>3157.098</v>
      </c>
      <c r="F310" s="22">
        <v>15785.49</v>
      </c>
      <c r="G310" s="22">
        <v>1213.1012097099999</v>
      </c>
      <c r="H310" s="22">
        <v>12131.0120971</v>
      </c>
      <c r="I310" s="22">
        <v>3157.098</v>
      </c>
      <c r="J310" s="22">
        <v>15785.49</v>
      </c>
    </row>
    <row r="311" spans="2:10">
      <c r="B311" t="s">
        <v>1920</v>
      </c>
      <c r="C311">
        <f t="array" ref="C311">D311:F311</f>
        <v>5.0966334043589612</v>
      </c>
      <c r="D311" s="22">
        <v>5.0966334043589612</v>
      </c>
      <c r="E311" s="22"/>
      <c r="F311" s="22"/>
      <c r="G311" s="22">
        <v>0.69960802</v>
      </c>
      <c r="H311" s="22">
        <v>6.9960801999999997</v>
      </c>
      <c r="I311" s="22"/>
      <c r="J311" s="22"/>
    </row>
    <row r="312" spans="2:10">
      <c r="B312" t="s">
        <v>1921</v>
      </c>
      <c r="C312">
        <f t="array" ref="C312">D312:F312</f>
        <v>2.4872000000000002E-3</v>
      </c>
      <c r="D312" s="22">
        <v>2.4872000000000002E-3</v>
      </c>
      <c r="E312" s="22">
        <v>0</v>
      </c>
      <c r="F312" s="22">
        <v>2.4872000000000002E-3</v>
      </c>
      <c r="G312" s="22">
        <v>0</v>
      </c>
      <c r="H312" s="22">
        <v>2.4872000000000002E-3</v>
      </c>
      <c r="I312" s="22">
        <v>0</v>
      </c>
      <c r="J312" s="22">
        <v>2.4872000000000002E-3</v>
      </c>
    </row>
    <row r="313" spans="2:10">
      <c r="B313" t="s">
        <v>1922</v>
      </c>
      <c r="C313">
        <f t="array" ref="C313">D313:F313</f>
        <v>11711.9118354</v>
      </c>
      <c r="D313" s="22">
        <v>11711.9118354</v>
      </c>
      <c r="E313" s="22">
        <v>0</v>
      </c>
      <c r="F313" s="22">
        <v>11711.9118354</v>
      </c>
      <c r="G313" s="22">
        <v>0</v>
      </c>
      <c r="H313" s="22">
        <v>11711.9118354</v>
      </c>
      <c r="I313" s="22">
        <v>0</v>
      </c>
      <c r="J313" s="22">
        <v>11711.9118354</v>
      </c>
    </row>
    <row r="314" spans="2:10">
      <c r="B314" t="s">
        <v>1923</v>
      </c>
      <c r="C314">
        <f t="array" ref="C314">D314:F314</f>
        <v>7.2594719999999997</v>
      </c>
      <c r="D314" s="22">
        <v>7.2594719999999997</v>
      </c>
      <c r="E314" s="22">
        <v>0</v>
      </c>
      <c r="F314" s="22">
        <v>7.2594719999999997</v>
      </c>
      <c r="G314" s="22">
        <v>0</v>
      </c>
      <c r="H314" s="22">
        <v>7.2594719999999997</v>
      </c>
      <c r="I314" s="22">
        <v>0</v>
      </c>
      <c r="J314" s="22">
        <v>7.2594719999999997</v>
      </c>
    </row>
    <row r="315" spans="2:10">
      <c r="B315" t="s">
        <v>1924</v>
      </c>
      <c r="C315">
        <f t="array" ref="C315">D315:F315</f>
        <v>143023.46701714606</v>
      </c>
      <c r="D315" s="22">
        <v>143023.46701714606</v>
      </c>
      <c r="E315" s="22"/>
      <c r="F315" s="22"/>
      <c r="G315" s="22">
        <v>5828.1747225199997</v>
      </c>
      <c r="H315" s="22">
        <v>58281.747225200001</v>
      </c>
      <c r="I315" s="22"/>
      <c r="J315" s="22"/>
    </row>
    <row r="316" spans="2:10">
      <c r="B316" t="s">
        <v>1925</v>
      </c>
      <c r="C316">
        <f t="array" ref="C316">D316:F316</f>
        <v>89291.287670000005</v>
      </c>
      <c r="D316" s="22">
        <v>89291.287670000005</v>
      </c>
      <c r="E316" s="22">
        <v>0</v>
      </c>
      <c r="F316" s="22">
        <v>89291.287670000005</v>
      </c>
      <c r="G316" s="22">
        <v>0</v>
      </c>
      <c r="H316" s="22">
        <v>89291.287670000005</v>
      </c>
      <c r="I316" s="22">
        <v>0</v>
      </c>
      <c r="J316" s="22">
        <v>89291.287670000005</v>
      </c>
    </row>
    <row r="317" spans="2:10">
      <c r="B317" t="s">
        <v>1926</v>
      </c>
      <c r="C317">
        <f t="array" ref="C317">D317:F317</f>
        <v>89291.287670000005</v>
      </c>
      <c r="D317" s="22">
        <v>89291.287670000005</v>
      </c>
      <c r="E317" s="22"/>
      <c r="F317" s="22"/>
      <c r="G317" s="22">
        <v>8929.1287670000002</v>
      </c>
      <c r="H317" s="22">
        <v>89291.287670000005</v>
      </c>
      <c r="I317" s="22"/>
      <c r="J317" s="22"/>
    </row>
    <row r="318" spans="2:10">
      <c r="B318" t="s">
        <v>1927</v>
      </c>
      <c r="C318">
        <f t="array" ref="C318">D318:F318</f>
        <v>3.0047676034970429E-3</v>
      </c>
      <c r="D318" s="22">
        <v>3.0047676034970429E-3</v>
      </c>
      <c r="E318" s="22"/>
      <c r="F318" s="22"/>
      <c r="G318" s="22">
        <v>2.9175000000000002E-4</v>
      </c>
      <c r="H318" s="22">
        <v>2.9175E-3</v>
      </c>
      <c r="I318" s="22"/>
      <c r="J318" s="22"/>
    </row>
    <row r="319" spans="2:10">
      <c r="B319" t="s">
        <v>1928</v>
      </c>
      <c r="C319">
        <f t="array" ref="C319">D319:F319</f>
        <v>59129.961004894867</v>
      </c>
      <c r="D319" s="22">
        <v>59129.961004894867</v>
      </c>
      <c r="E319" s="22">
        <v>10561.69</v>
      </c>
      <c r="F319" s="22">
        <v>52808.45</v>
      </c>
      <c r="G319" s="22">
        <v>2727.0291529299998</v>
      </c>
      <c r="H319" s="22">
        <v>27270.291529300001</v>
      </c>
      <c r="I319" s="22">
        <v>10561.69</v>
      </c>
      <c r="J319" s="22">
        <v>52808.45</v>
      </c>
    </row>
    <row r="320" spans="2:10">
      <c r="B320" t="s">
        <v>1929</v>
      </c>
      <c r="C320">
        <f t="array" ref="C320">D320:F320</f>
        <v>0.71140005449046695</v>
      </c>
      <c r="D320" s="22">
        <v>0.71140005449046695</v>
      </c>
      <c r="E320" s="22">
        <v>0.14227999999999999</v>
      </c>
      <c r="F320" s="22">
        <v>0.71140000000000003</v>
      </c>
      <c r="G320" s="22">
        <v>7.7794269999999999E-2</v>
      </c>
      <c r="H320" s="22">
        <v>0.77794269999999999</v>
      </c>
      <c r="I320" s="22">
        <v>0.14227999999999999</v>
      </c>
      <c r="J320" s="22">
        <v>0.71140000000000003</v>
      </c>
    </row>
    <row r="321" spans="2:10">
      <c r="B321" t="s">
        <v>1930</v>
      </c>
      <c r="C321">
        <f t="array" ref="C321">D321:F321</f>
        <v>228.6599215084116</v>
      </c>
      <c r="D321" s="22">
        <v>228.6599215084116</v>
      </c>
      <c r="E321" s="22"/>
      <c r="F321" s="22"/>
      <c r="G321" s="22">
        <v>2.8702000000000003E-4</v>
      </c>
      <c r="H321" s="22">
        <v>2.8701999999999998E-3</v>
      </c>
      <c r="I321" s="22"/>
      <c r="J321" s="22"/>
    </row>
    <row r="322" spans="2:10">
      <c r="B322" t="s">
        <v>1931</v>
      </c>
      <c r="C322">
        <f t="array" ref="C322">D322:F322</f>
        <v>16850.270391123235</v>
      </c>
      <c r="D322" s="22">
        <v>16850.270391123235</v>
      </c>
      <c r="E322" s="22">
        <v>3370.056</v>
      </c>
      <c r="F322" s="22">
        <v>16850.28</v>
      </c>
      <c r="G322" s="22">
        <v>1362.63860963</v>
      </c>
      <c r="H322" s="22">
        <v>13626.386096300001</v>
      </c>
      <c r="I322" s="22">
        <v>3370.056</v>
      </c>
      <c r="J322" s="22">
        <v>16850.28</v>
      </c>
    </row>
    <row r="323" spans="2:10">
      <c r="B323" t="s">
        <v>1932</v>
      </c>
      <c r="C323">
        <f t="array" ref="C323">D323:F323</f>
        <v>4.9346011080849115</v>
      </c>
      <c r="D323" s="22">
        <v>4.9346011080849115</v>
      </c>
      <c r="E323" s="22"/>
      <c r="F323" s="22"/>
      <c r="G323" s="22">
        <v>0.61883224000000003</v>
      </c>
      <c r="H323" s="22">
        <v>6.1883223999999997</v>
      </c>
      <c r="I323" s="22"/>
      <c r="J323" s="22"/>
    </row>
    <row r="324" spans="2:10">
      <c r="B324" t="s">
        <v>1933</v>
      </c>
      <c r="C324">
        <f t="array" ref="C324">D324:F324</f>
        <v>2.4009999999999999E-3</v>
      </c>
      <c r="D324" s="22">
        <v>2.4009999999999999E-3</v>
      </c>
      <c r="E324" s="22">
        <v>0</v>
      </c>
      <c r="F324" s="22">
        <v>2.4009999999999999E-3</v>
      </c>
      <c r="G324" s="22">
        <v>0</v>
      </c>
      <c r="H324" s="22">
        <v>2.4009999999999999E-3</v>
      </c>
      <c r="I324" s="22">
        <v>0</v>
      </c>
      <c r="J324" s="22">
        <v>2.4009999999999999E-3</v>
      </c>
    </row>
    <row r="325" spans="2:10">
      <c r="B325" t="s">
        <v>1934</v>
      </c>
      <c r="C325">
        <f t="array" ref="C325">D325:F325</f>
        <v>10768.248810999999</v>
      </c>
      <c r="D325" s="22">
        <v>10768.248810999999</v>
      </c>
      <c r="E325" s="22">
        <v>0</v>
      </c>
      <c r="F325" s="22">
        <v>10768.248810999999</v>
      </c>
      <c r="G325" s="22">
        <v>0</v>
      </c>
      <c r="H325" s="22">
        <v>10768.248810999999</v>
      </c>
      <c r="I325" s="22">
        <v>0</v>
      </c>
      <c r="J325" s="22">
        <v>10768.248810999999</v>
      </c>
    </row>
    <row r="326" spans="2:10">
      <c r="B326" t="s">
        <v>1935</v>
      </c>
      <c r="C326">
        <f t="array" ref="C326">D326:F326</f>
        <v>7.9275899000000001</v>
      </c>
      <c r="D326" s="22">
        <v>7.9275899000000001</v>
      </c>
      <c r="E326" s="22">
        <v>0</v>
      </c>
      <c r="F326" s="22">
        <v>7.9275899000000001</v>
      </c>
      <c r="G326" s="22">
        <v>0</v>
      </c>
      <c r="H326" s="22">
        <v>7.9275899000000001</v>
      </c>
      <c r="I326" s="22">
        <v>0</v>
      </c>
      <c r="J326" s="22">
        <v>7.9275899000000001</v>
      </c>
    </row>
    <row r="327" spans="2:10">
      <c r="B327" t="s">
        <v>1936</v>
      </c>
      <c r="C327">
        <f t="array" ref="C327">D327:F327</f>
        <v>25264.016463777898</v>
      </c>
      <c r="D327" s="22">
        <v>25264.016463777898</v>
      </c>
      <c r="E327" s="22"/>
      <c r="F327" s="22"/>
      <c r="G327" s="22">
        <v>4351.9808261300004</v>
      </c>
      <c r="H327" s="22">
        <v>43519.808261300001</v>
      </c>
      <c r="I327" s="22"/>
      <c r="J327" s="22"/>
    </row>
    <row r="328" spans="2:10">
      <c r="B328" t="s">
        <v>1937</v>
      </c>
      <c r="C328">
        <f t="array" ref="C328">D328:F328</f>
        <v>89291.287670000005</v>
      </c>
      <c r="D328" s="22">
        <v>89291.287670000005</v>
      </c>
      <c r="E328" s="22">
        <v>0</v>
      </c>
      <c r="F328" s="22">
        <v>89291.287670000005</v>
      </c>
      <c r="G328" s="22">
        <v>0</v>
      </c>
      <c r="H328" s="22">
        <v>89291.287670000005</v>
      </c>
      <c r="I328" s="22">
        <v>0</v>
      </c>
      <c r="J328" s="22">
        <v>89291.287670000005</v>
      </c>
    </row>
    <row r="329" spans="2:10">
      <c r="B329" t="s">
        <v>1938</v>
      </c>
      <c r="C329">
        <f t="array" ref="C329">D329:F329</f>
        <v>89291.287670000005</v>
      </c>
      <c r="D329" s="22">
        <v>89291.287670000005</v>
      </c>
      <c r="E329" s="22"/>
      <c r="F329" s="22"/>
      <c r="G329" s="22">
        <v>8929.1287670000002</v>
      </c>
      <c r="H329" s="22">
        <v>89291.287670000005</v>
      </c>
      <c r="I329" s="22"/>
      <c r="J329" s="22"/>
    </row>
    <row r="330" spans="2:10">
      <c r="B330" t="s">
        <v>1939</v>
      </c>
      <c r="C330">
        <f t="array" ref="C330">D330:F330</f>
        <v>228.6599215084116</v>
      </c>
      <c r="D330" s="22">
        <v>228.6599215084116</v>
      </c>
      <c r="E330" s="22">
        <v>4229.8819999999996</v>
      </c>
      <c r="F330" s="22">
        <v>21149.41</v>
      </c>
      <c r="G330" s="22">
        <v>2.8702000000000003E-4</v>
      </c>
      <c r="H330" s="22">
        <v>2.8701999999999998E-3</v>
      </c>
      <c r="I330" s="22">
        <v>4229.8819999999996</v>
      </c>
      <c r="J330" s="22">
        <v>21149.41</v>
      </c>
    </row>
    <row r="331" spans="2:10">
      <c r="B331" t="s">
        <v>1940</v>
      </c>
      <c r="C331">
        <f t="array" ref="C331">D331:F331</f>
        <v>2941.9186426767583</v>
      </c>
      <c r="D331" s="22">
        <v>2941.9186426767583</v>
      </c>
      <c r="E331" s="22"/>
      <c r="F331" s="22"/>
      <c r="G331" s="22">
        <v>1918.1383998900001</v>
      </c>
      <c r="H331" s="22">
        <v>19181.383998900001</v>
      </c>
      <c r="I331" s="22"/>
      <c r="J331" s="22"/>
    </row>
    <row r="332" spans="2:10">
      <c r="B332" t="s">
        <v>1941</v>
      </c>
      <c r="C332">
        <f t="array" ref="C332">D332:F332</f>
        <v>0.98770001793564588</v>
      </c>
      <c r="D332" s="22">
        <v>0.98770001793564588</v>
      </c>
      <c r="E332" s="22">
        <v>0.19753999999999999</v>
      </c>
      <c r="F332" s="22">
        <v>0.98770000000000002</v>
      </c>
      <c r="G332" s="22">
        <v>0.10779221</v>
      </c>
      <c r="H332" s="22">
        <v>1.0779221000000001</v>
      </c>
      <c r="I332" s="22">
        <v>0.19753999999999999</v>
      </c>
      <c r="J332" s="22">
        <v>0.98770000000000002</v>
      </c>
    </row>
    <row r="333" spans="2:10">
      <c r="B333" t="s">
        <v>1942</v>
      </c>
      <c r="C333">
        <f t="array" ref="C333">D333:F333</f>
        <v>146732.37125253942</v>
      </c>
      <c r="D333" s="22">
        <v>146732.37125253942</v>
      </c>
      <c r="E333" s="22"/>
      <c r="F333" s="22"/>
      <c r="G333" s="22">
        <v>11060.6777883</v>
      </c>
      <c r="H333" s="22">
        <v>110606.777883</v>
      </c>
      <c r="I333" s="22"/>
      <c r="J333" s="22"/>
    </row>
    <row r="334" spans="2:10">
      <c r="B334" t="s">
        <v>1943</v>
      </c>
      <c r="C334">
        <f t="array" ref="C334">D334:F334</f>
        <v>54321.490006111984</v>
      </c>
      <c r="D334" s="22">
        <v>54321.490006111984</v>
      </c>
      <c r="E334" s="22">
        <v>1086.4297999999999</v>
      </c>
      <c r="F334" s="22">
        <v>54321.49</v>
      </c>
      <c r="G334" s="22">
        <v>5446.3764162999996</v>
      </c>
      <c r="H334" s="22">
        <v>54463.764163</v>
      </c>
      <c r="I334" s="22">
        <v>1086.4297999999999</v>
      </c>
      <c r="J334" s="22">
        <v>54321.49</v>
      </c>
    </row>
    <row r="335" spans="2:10">
      <c r="B335" t="s">
        <v>1944</v>
      </c>
      <c r="C335">
        <f t="array" ref="C335">D335:F335</f>
        <v>56675.082796800001</v>
      </c>
      <c r="D335" s="22">
        <v>56675.082796800001</v>
      </c>
      <c r="E335" s="22">
        <v>0</v>
      </c>
      <c r="F335" s="22">
        <v>56675.082796800001</v>
      </c>
      <c r="G335" s="22">
        <v>0</v>
      </c>
      <c r="H335" s="22">
        <v>56675.082796800001</v>
      </c>
      <c r="I335" s="22">
        <v>0</v>
      </c>
      <c r="J335" s="22">
        <v>56675.082796800001</v>
      </c>
    </row>
    <row r="336" spans="2:10">
      <c r="B336" t="s">
        <v>1945</v>
      </c>
      <c r="C336">
        <f t="array" ref="C336">D336:F336</f>
        <v>26849.40981859613</v>
      </c>
      <c r="D336" s="22">
        <v>26849.40981859613</v>
      </c>
      <c r="E336" s="22"/>
      <c r="F336" s="22"/>
      <c r="G336" s="22">
        <v>2598.0465189500001</v>
      </c>
      <c r="H336" s="22">
        <v>25980.465189499999</v>
      </c>
      <c r="I336" s="22"/>
      <c r="J336" s="22"/>
    </row>
    <row r="337" spans="2:10">
      <c r="B337" t="s">
        <v>1946</v>
      </c>
      <c r="C337">
        <f t="array" ref="C337">D337:F337</f>
        <v>16.444604839846395</v>
      </c>
      <c r="D337" s="22">
        <v>16.444604839846395</v>
      </c>
      <c r="E337" s="22"/>
      <c r="F337" s="22"/>
      <c r="G337" s="22">
        <v>2.898E-4</v>
      </c>
      <c r="H337" s="22">
        <v>2.898E-3</v>
      </c>
      <c r="I337" s="22"/>
      <c r="J337" s="22"/>
    </row>
    <row r="338" spans="2:10">
      <c r="B338" t="s">
        <v>1947</v>
      </c>
      <c r="C338">
        <f t="array" ref="C338">D338:F338</f>
        <v>62071.879647571623</v>
      </c>
      <c r="D338" s="22">
        <v>62071.879647571623</v>
      </c>
      <c r="E338" s="22"/>
      <c r="F338" s="22"/>
      <c r="G338" s="22">
        <v>4645.1675528200003</v>
      </c>
      <c r="H338" s="22">
        <v>46451.675528200001</v>
      </c>
      <c r="I338" s="22"/>
      <c r="J338" s="22"/>
    </row>
    <row r="339" spans="2:10">
      <c r="B339" t="s">
        <v>1948</v>
      </c>
      <c r="C339">
        <f t="array" ref="C339">D339:F339</f>
        <v>0.72450465073435577</v>
      </c>
      <c r="D339" s="22">
        <v>0.72450465073435577</v>
      </c>
      <c r="E339" s="22"/>
      <c r="F339" s="22"/>
      <c r="G339" s="22">
        <v>9.0181380000000005E-2</v>
      </c>
      <c r="H339" s="22">
        <v>0.9018138</v>
      </c>
      <c r="I339" s="22"/>
      <c r="J339" s="22"/>
    </row>
    <row r="340" spans="2:10">
      <c r="B340" t="s">
        <v>1949</v>
      </c>
      <c r="C340">
        <f t="array" ref="C340">D340:F340</f>
        <v>0.3216</v>
      </c>
      <c r="D340" s="22">
        <v>0.3216</v>
      </c>
      <c r="E340" s="22">
        <v>1.6080000000000001E-2</v>
      </c>
      <c r="F340" s="22">
        <v>0.3216</v>
      </c>
      <c r="G340" s="22">
        <v>3.2160000000000001E-2</v>
      </c>
      <c r="H340" s="22">
        <v>0.3216</v>
      </c>
      <c r="I340" s="22">
        <v>1.6080000000000001E-2</v>
      </c>
      <c r="J340" s="22">
        <v>0.3216</v>
      </c>
    </row>
    <row r="341" spans="2:10">
      <c r="B341" t="s">
        <v>1950</v>
      </c>
      <c r="C341">
        <f t="array" ref="C341">D341:F341</f>
        <v>0</v>
      </c>
      <c r="D341" s="22">
        <v>0</v>
      </c>
      <c r="E341" s="22">
        <v>0</v>
      </c>
      <c r="F341" s="22">
        <v>0</v>
      </c>
      <c r="G341" s="22">
        <v>0</v>
      </c>
      <c r="H341" s="22">
        <v>0</v>
      </c>
      <c r="I341" s="22">
        <v>0</v>
      </c>
      <c r="J341" s="22">
        <v>0</v>
      </c>
    </row>
    <row r="342" spans="2:10">
      <c r="B342" t="s">
        <v>1951</v>
      </c>
      <c r="C342">
        <f t="array" ref="C342">D342:F342</f>
        <v>0.53920000000000001</v>
      </c>
      <c r="D342" s="22">
        <v>0.53920000000000001</v>
      </c>
      <c r="E342" s="22">
        <v>5.3920000000000003E-2</v>
      </c>
      <c r="F342" s="22">
        <v>0.53920000000000001</v>
      </c>
      <c r="G342" s="22">
        <v>5.3920000000000003E-2</v>
      </c>
      <c r="H342" s="22">
        <v>0.53920000000000001</v>
      </c>
      <c r="I342" s="22">
        <v>5.3920000000000003E-2</v>
      </c>
      <c r="J342" s="22">
        <v>0.53920000000000001</v>
      </c>
    </row>
    <row r="343" spans="2:10">
      <c r="B343" t="s">
        <v>1952</v>
      </c>
      <c r="C343">
        <f t="array" ref="C343">D343:F343</f>
        <v>0.3216</v>
      </c>
      <c r="D343" s="22">
        <v>0.3216</v>
      </c>
      <c r="E343" s="22">
        <v>3.2160000000000001E-2</v>
      </c>
      <c r="F343" s="22">
        <v>0.3216</v>
      </c>
      <c r="G343" s="22">
        <v>3.2160000000000001E-2</v>
      </c>
      <c r="H343" s="22">
        <v>0.3216</v>
      </c>
      <c r="I343" s="22">
        <v>3.2160000000000001E-2</v>
      </c>
      <c r="J343" s="22">
        <v>0.3216</v>
      </c>
    </row>
    <row r="344" spans="2:10">
      <c r="B344" t="s">
        <v>1953</v>
      </c>
      <c r="C344">
        <f t="array" ref="C344">D344:F344</f>
        <v>0</v>
      </c>
      <c r="D344" s="22">
        <v>0</v>
      </c>
      <c r="E344" s="22">
        <v>0</v>
      </c>
      <c r="F344" s="22">
        <v>0</v>
      </c>
      <c r="G344" s="22">
        <v>0</v>
      </c>
      <c r="H344" s="22">
        <v>0</v>
      </c>
      <c r="I344" s="22">
        <v>0</v>
      </c>
      <c r="J344" s="22">
        <v>0</v>
      </c>
    </row>
    <row r="345" spans="2:10">
      <c r="B345" t="s">
        <v>1954</v>
      </c>
      <c r="C345">
        <f t="array" ref="C345">D345:F345</f>
        <v>0.53920000000000001</v>
      </c>
      <c r="D345" s="22">
        <v>0.53920000000000001</v>
      </c>
      <c r="E345" s="22"/>
      <c r="F345" s="22"/>
      <c r="G345" s="22">
        <v>5.3920000000000003E-2</v>
      </c>
      <c r="H345" s="22">
        <v>0.53920000000000001</v>
      </c>
      <c r="I345" s="22"/>
      <c r="J345" s="22"/>
    </row>
    <row r="346" spans="2:10">
      <c r="B346" t="s">
        <v>1955</v>
      </c>
      <c r="C346">
        <f t="array" ref="C346">D346:F346</f>
        <v>0.3216</v>
      </c>
      <c r="D346" s="22">
        <v>0.3216</v>
      </c>
      <c r="E346" s="22">
        <v>0</v>
      </c>
      <c r="F346" s="22">
        <v>0.3216</v>
      </c>
      <c r="G346" s="22">
        <v>0</v>
      </c>
      <c r="H346" s="22">
        <v>0.3216</v>
      </c>
      <c r="I346" s="22">
        <v>0</v>
      </c>
      <c r="J346" s="22">
        <v>0.3216</v>
      </c>
    </row>
    <row r="347" spans="2:10">
      <c r="B347" t="s">
        <v>1956</v>
      </c>
      <c r="C347">
        <f t="array" ref="C347">D347:F347</f>
        <v>0</v>
      </c>
      <c r="D347" s="22">
        <v>0</v>
      </c>
      <c r="E347" s="22">
        <v>0</v>
      </c>
      <c r="F347" s="22">
        <v>0</v>
      </c>
      <c r="G347" s="22">
        <v>0</v>
      </c>
      <c r="H347" s="22">
        <v>0</v>
      </c>
      <c r="I347" s="22">
        <v>0</v>
      </c>
      <c r="J347" s="22">
        <v>0</v>
      </c>
    </row>
    <row r="348" spans="2:10">
      <c r="B348" t="s">
        <v>1957</v>
      </c>
      <c r="C348">
        <f t="array" ref="C348">D348:F348</f>
        <v>0.53920000000000001</v>
      </c>
      <c r="D348" s="22">
        <v>0.53920000000000001</v>
      </c>
      <c r="E348" s="22">
        <v>0</v>
      </c>
      <c r="F348" s="22">
        <v>0.53920000000000001</v>
      </c>
      <c r="G348" s="22">
        <v>0</v>
      </c>
      <c r="H348" s="22">
        <v>0.53920000000000001</v>
      </c>
      <c r="I348" s="22">
        <v>0</v>
      </c>
      <c r="J348" s="22">
        <v>0.53920000000000001</v>
      </c>
    </row>
    <row r="349" spans="2:10">
      <c r="B349" t="s">
        <v>1958</v>
      </c>
      <c r="C349">
        <f t="array" ref="C349">D349:F349</f>
        <v>0.30489257452865021</v>
      </c>
      <c r="D349" s="22">
        <v>0.30489257452865021</v>
      </c>
      <c r="E349" s="22">
        <v>1.4905E-2</v>
      </c>
      <c r="F349" s="22">
        <v>0.29809999999999998</v>
      </c>
      <c r="G349" s="22">
        <v>3.0489260000000001E-2</v>
      </c>
      <c r="H349" s="22">
        <v>0.30489260000000001</v>
      </c>
      <c r="I349" s="22">
        <v>1.4905E-2</v>
      </c>
      <c r="J349" s="22">
        <v>0.29809999999999998</v>
      </c>
    </row>
    <row r="350" spans="2:10">
      <c r="B350" t="s">
        <v>1959</v>
      </c>
      <c r="C350">
        <f t="array" ref="C350">D350:F350</f>
        <v>0</v>
      </c>
      <c r="D350" s="22">
        <v>0</v>
      </c>
      <c r="E350" s="22">
        <v>0</v>
      </c>
      <c r="F350" s="22">
        <v>0</v>
      </c>
      <c r="G350" s="22">
        <v>0</v>
      </c>
      <c r="H350" s="22">
        <v>0</v>
      </c>
      <c r="I350" s="22">
        <v>0</v>
      </c>
      <c r="J350" s="22">
        <v>0</v>
      </c>
    </row>
    <row r="351" spans="2:10">
      <c r="B351" t="s">
        <v>1960</v>
      </c>
      <c r="C351">
        <f t="array" ref="C351">D351:F351</f>
        <v>0.51060000000000005</v>
      </c>
      <c r="D351" s="22">
        <v>0.51060000000000005</v>
      </c>
      <c r="E351" s="22">
        <v>5.1060000000000001E-2</v>
      </c>
      <c r="F351" s="22">
        <v>0.51060000000000005</v>
      </c>
      <c r="G351" s="22">
        <v>5.1060000000000001E-2</v>
      </c>
      <c r="H351" s="22">
        <v>0.51060000000000005</v>
      </c>
      <c r="I351" s="22">
        <v>5.1060000000000001E-2</v>
      </c>
      <c r="J351" s="22">
        <v>0.51060000000000005</v>
      </c>
    </row>
    <row r="352" spans="2:10">
      <c r="B352" t="s">
        <v>1961</v>
      </c>
      <c r="C352">
        <f t="array" ref="C352">D352:F352</f>
        <v>0.30489257452865021</v>
      </c>
      <c r="D352" s="22">
        <v>0.30489257452865021</v>
      </c>
      <c r="E352" s="22">
        <v>3.4029999999999998E-2</v>
      </c>
      <c r="F352" s="22">
        <v>0.34029999999999999</v>
      </c>
      <c r="G352" s="22">
        <v>3.0489260000000001E-2</v>
      </c>
      <c r="H352" s="22">
        <v>0.30489260000000001</v>
      </c>
      <c r="I352" s="22">
        <v>3.4029999999999998E-2</v>
      </c>
      <c r="J352" s="22">
        <v>0.34029999999999999</v>
      </c>
    </row>
    <row r="353" spans="2:10">
      <c r="B353" t="s">
        <v>1962</v>
      </c>
      <c r="C353">
        <f t="array" ref="C353">D353:F353</f>
        <v>0</v>
      </c>
      <c r="D353" s="22">
        <v>0</v>
      </c>
      <c r="E353" s="22">
        <v>0</v>
      </c>
      <c r="F353" s="22">
        <v>0</v>
      </c>
      <c r="G353" s="22">
        <v>0</v>
      </c>
      <c r="H353" s="22">
        <v>0</v>
      </c>
      <c r="I353" s="22">
        <v>0</v>
      </c>
      <c r="J353" s="22">
        <v>0</v>
      </c>
    </row>
    <row r="354" spans="2:10">
      <c r="B354" t="s">
        <v>1963</v>
      </c>
      <c r="C354">
        <f t="array" ref="C354">D354:F354</f>
        <v>0.51060000000000005</v>
      </c>
      <c r="D354" s="22">
        <v>0.51060000000000005</v>
      </c>
      <c r="E354" s="22"/>
      <c r="F354" s="22"/>
      <c r="G354" s="22">
        <v>5.1060000000000001E-2</v>
      </c>
      <c r="H354" s="22">
        <v>0.51060000000000005</v>
      </c>
      <c r="I354" s="22"/>
      <c r="J354" s="22"/>
    </row>
    <row r="355" spans="2:10">
      <c r="B355" t="s">
        <v>1964</v>
      </c>
      <c r="C355">
        <f t="array" ref="C355">D355:F355</f>
        <v>0.30489260000000001</v>
      </c>
      <c r="D355" s="22">
        <v>0.30489260000000001</v>
      </c>
      <c r="E355" s="22">
        <v>0</v>
      </c>
      <c r="F355" s="22">
        <v>0.30489260000000001</v>
      </c>
      <c r="G355" s="22">
        <v>0</v>
      </c>
      <c r="H355" s="22">
        <v>0.30489260000000001</v>
      </c>
      <c r="I355" s="22">
        <v>0</v>
      </c>
      <c r="J355" s="22">
        <v>0.30489260000000001</v>
      </c>
    </row>
    <row r="356" spans="2:10">
      <c r="B356" t="s">
        <v>1965</v>
      </c>
      <c r="C356">
        <f t="array" ref="C356">D356:F356</f>
        <v>0</v>
      </c>
      <c r="D356" s="22">
        <v>0</v>
      </c>
      <c r="E356" s="22">
        <v>0</v>
      </c>
      <c r="F356" s="22">
        <v>0</v>
      </c>
      <c r="G356" s="22">
        <v>0</v>
      </c>
      <c r="H356" s="22">
        <v>0</v>
      </c>
      <c r="I356" s="22">
        <v>0</v>
      </c>
      <c r="J356" s="22">
        <v>0</v>
      </c>
    </row>
    <row r="357" spans="2:10">
      <c r="B357" t="s">
        <v>1966</v>
      </c>
      <c r="C357">
        <f t="array" ref="C357">D357:F357</f>
        <v>0.51060000000000005</v>
      </c>
      <c r="D357" s="22">
        <v>0.51060000000000005</v>
      </c>
      <c r="E357" s="22">
        <v>0</v>
      </c>
      <c r="F357" s="22">
        <v>0.51060000000000005</v>
      </c>
      <c r="G357" s="22">
        <v>0</v>
      </c>
      <c r="H357" s="22">
        <v>0.51060000000000005</v>
      </c>
      <c r="I357" s="22">
        <v>0</v>
      </c>
      <c r="J357" s="22">
        <v>0.51060000000000005</v>
      </c>
    </row>
    <row r="358" spans="2:10">
      <c r="B358" t="s">
        <v>1967</v>
      </c>
      <c r="C358">
        <f t="array" ref="C358">D358:F358</f>
        <v>0.36070925753956201</v>
      </c>
      <c r="D358" s="22">
        <v>0.36070925753956201</v>
      </c>
      <c r="E358" s="22">
        <v>1.7014999999999999E-2</v>
      </c>
      <c r="F358" s="22">
        <v>0.34029999999999999</v>
      </c>
      <c r="G358" s="22">
        <v>3.736743E-2</v>
      </c>
      <c r="H358" s="22">
        <v>0.37367430000000001</v>
      </c>
      <c r="I358" s="22">
        <v>1.7014999999999999E-2</v>
      </c>
      <c r="J358" s="22">
        <v>0.34029999999999999</v>
      </c>
    </row>
    <row r="359" spans="2:10">
      <c r="B359" t="s">
        <v>1968</v>
      </c>
      <c r="C359">
        <f t="array" ref="C359">D359:F359</f>
        <v>1549.9291660024478</v>
      </c>
      <c r="D359" s="22">
        <v>1549.9291660024478</v>
      </c>
      <c r="E359" s="22">
        <v>31.154900000000001</v>
      </c>
      <c r="F359" s="22">
        <v>1557.7449999999999</v>
      </c>
      <c r="G359" s="22">
        <v>155.86002658000001</v>
      </c>
      <c r="H359" s="22">
        <v>1558.6002658</v>
      </c>
      <c r="I359" s="22">
        <v>31.154900000000001</v>
      </c>
      <c r="J359" s="22">
        <v>1557.7449999999999</v>
      </c>
    </row>
    <row r="360" spans="2:10">
      <c r="B360" t="s">
        <v>1969</v>
      </c>
      <c r="C360">
        <f t="array" ref="C360">D360:F360</f>
        <v>0.46510277578034059</v>
      </c>
      <c r="D360" s="22">
        <v>0.46510277578034059</v>
      </c>
      <c r="E360" s="22">
        <v>4.793E-2</v>
      </c>
      <c r="F360" s="22">
        <v>0.4793</v>
      </c>
      <c r="G360" s="22">
        <v>4.5278770000000003E-2</v>
      </c>
      <c r="H360" s="22">
        <v>0.45278770000000002</v>
      </c>
      <c r="I360" s="22">
        <v>4.793E-2</v>
      </c>
      <c r="J360" s="22">
        <v>0.4793</v>
      </c>
    </row>
    <row r="361" spans="2:10">
      <c r="B361" t="s">
        <v>1970</v>
      </c>
      <c r="C361">
        <f t="array" ref="C361">D361:F361</f>
        <v>0.36070925753956201</v>
      </c>
      <c r="D361" s="22">
        <v>0.36070925753956201</v>
      </c>
      <c r="E361" s="22">
        <v>2.981E-2</v>
      </c>
      <c r="F361" s="22">
        <v>0.29810009999999998</v>
      </c>
      <c r="G361" s="22">
        <v>3.736743E-2</v>
      </c>
      <c r="H361" s="22">
        <v>0.37367430000000001</v>
      </c>
      <c r="I361" s="22">
        <v>2.981E-2</v>
      </c>
      <c r="J361" s="22">
        <v>0.29810009999999998</v>
      </c>
    </row>
    <row r="362" spans="2:10">
      <c r="B362" t="s">
        <v>1971</v>
      </c>
      <c r="C362">
        <f t="array" ref="C362">D362:F362</f>
        <v>1689.0166771432596</v>
      </c>
      <c r="D362" s="22">
        <v>1689.0166771432596</v>
      </c>
      <c r="E362" s="22">
        <v>351.80340000000001</v>
      </c>
      <c r="F362" s="22">
        <v>1759.0170000000001</v>
      </c>
      <c r="G362" s="22">
        <v>177.13037405</v>
      </c>
      <c r="H362" s="22">
        <v>1771.3037405</v>
      </c>
      <c r="I362" s="22">
        <v>351.80340000000001</v>
      </c>
      <c r="J362" s="22">
        <v>1759.0170000000001</v>
      </c>
    </row>
    <row r="363" spans="2:10">
      <c r="B363" t="s">
        <v>1972</v>
      </c>
      <c r="C363">
        <f t="array" ref="C363">D363:F363</f>
        <v>0.46510277578034059</v>
      </c>
      <c r="D363" s="22">
        <v>0.46510277578034059</v>
      </c>
      <c r="E363" s="22"/>
      <c r="F363" s="22"/>
      <c r="G363" s="22">
        <v>4.5278770000000003E-2</v>
      </c>
      <c r="H363" s="22">
        <v>0.45278770000000002</v>
      </c>
      <c r="I363" s="22"/>
      <c r="J363" s="22"/>
    </row>
    <row r="364" spans="2:10">
      <c r="B364" t="s">
        <v>1973</v>
      </c>
      <c r="C364">
        <f t="array" ref="C364">D364:F364</f>
        <v>0.37265589999999998</v>
      </c>
      <c r="D364" s="22">
        <v>0.37265589999999998</v>
      </c>
      <c r="E364" s="22">
        <v>0</v>
      </c>
      <c r="F364" s="22">
        <v>0.37265589999999998</v>
      </c>
      <c r="G364" s="22">
        <v>0</v>
      </c>
      <c r="H364" s="22">
        <v>0.37265589999999998</v>
      </c>
      <c r="I364" s="22">
        <v>0</v>
      </c>
      <c r="J364" s="22">
        <v>0.37265589999999998</v>
      </c>
    </row>
    <row r="365" spans="2:10">
      <c r="B365" t="s">
        <v>1974</v>
      </c>
      <c r="C365">
        <f t="array" ref="C365">D365:F365</f>
        <v>2662.5930512999998</v>
      </c>
      <c r="D365" s="22">
        <v>2662.5930512999998</v>
      </c>
      <c r="E365" s="22">
        <v>0</v>
      </c>
      <c r="F365" s="22">
        <v>2662.5930512999998</v>
      </c>
      <c r="G365" s="22">
        <v>0</v>
      </c>
      <c r="H365" s="22">
        <v>2662.5930512999998</v>
      </c>
      <c r="I365" s="22">
        <v>0</v>
      </c>
      <c r="J365" s="22">
        <v>2662.5930512999998</v>
      </c>
    </row>
    <row r="366" spans="2:10">
      <c r="B366" t="s">
        <v>1975</v>
      </c>
      <c r="C366">
        <f t="array" ref="C366">D366:F366</f>
        <v>0.4571559</v>
      </c>
      <c r="D366" s="22">
        <v>0.4571559</v>
      </c>
      <c r="E366" s="22">
        <v>0</v>
      </c>
      <c r="F366" s="22">
        <v>0.4571559</v>
      </c>
      <c r="G366" s="22">
        <v>0</v>
      </c>
      <c r="H366" s="22">
        <v>0.4571559</v>
      </c>
      <c r="I366" s="22">
        <v>0</v>
      </c>
      <c r="J366" s="22">
        <v>0.4571559</v>
      </c>
    </row>
    <row r="367" spans="2:10">
      <c r="B367" t="s">
        <v>1976</v>
      </c>
      <c r="C367">
        <f t="array" ref="C367">D367:F367</f>
        <v>0.33854772668182698</v>
      </c>
      <c r="D367" s="22">
        <v>0.33854772668182698</v>
      </c>
      <c r="E367" s="22">
        <v>1.6310000000000002E-2</v>
      </c>
      <c r="F367" s="22">
        <v>0.32619999999999999</v>
      </c>
      <c r="G367" s="22">
        <v>3.7247660000000002E-2</v>
      </c>
      <c r="H367" s="22">
        <v>0.37247659999999999</v>
      </c>
      <c r="I367" s="22">
        <v>1.6310000000000002E-2</v>
      </c>
      <c r="J367" s="22">
        <v>0.32619999999999999</v>
      </c>
    </row>
    <row r="368" spans="2:10">
      <c r="B368" t="s">
        <v>1977</v>
      </c>
      <c r="C368">
        <f t="array" ref="C368">D368:F368</f>
        <v>2626.660093959093</v>
      </c>
      <c r="D368" s="22">
        <v>2626.660093959093</v>
      </c>
      <c r="E368" s="22">
        <v>53.191400000000002</v>
      </c>
      <c r="F368" s="22">
        <v>2659.57</v>
      </c>
      <c r="G368" s="22">
        <v>266.28927263999998</v>
      </c>
      <c r="H368" s="22">
        <v>2662.8927263999999</v>
      </c>
      <c r="I368" s="22">
        <v>53.191400000000002</v>
      </c>
      <c r="J368" s="22">
        <v>2659.57</v>
      </c>
    </row>
    <row r="369" spans="2:10">
      <c r="B369" t="s">
        <v>1978</v>
      </c>
      <c r="C369">
        <f t="array" ref="C369">D369:F369</f>
        <v>0.47438246687684626</v>
      </c>
      <c r="D369" s="22">
        <v>0.47438246687684626</v>
      </c>
      <c r="E369" s="22">
        <v>5.314E-2</v>
      </c>
      <c r="F369" s="22">
        <v>0.53139999999999998</v>
      </c>
      <c r="G369" s="22">
        <v>4.4257860000000003E-2</v>
      </c>
      <c r="H369" s="22">
        <v>0.44257859999999999</v>
      </c>
      <c r="I369" s="22">
        <v>5.314E-2</v>
      </c>
      <c r="J369" s="22">
        <v>0.53139999999999998</v>
      </c>
    </row>
    <row r="370" spans="2:10">
      <c r="B370" t="s">
        <v>1979</v>
      </c>
      <c r="C370">
        <f t="array" ref="C370">D370:F370</f>
        <v>0.33854772668182698</v>
      </c>
      <c r="D370" s="22">
        <v>0.33854772668182698</v>
      </c>
      <c r="E370" s="22">
        <v>3.2620000000000003E-2</v>
      </c>
      <c r="F370" s="22">
        <v>0.32619999999999999</v>
      </c>
      <c r="G370" s="22">
        <v>3.7247660000000002E-2</v>
      </c>
      <c r="H370" s="22">
        <v>0.37247659999999999</v>
      </c>
      <c r="I370" s="22">
        <v>3.2620000000000003E-2</v>
      </c>
      <c r="J370" s="22">
        <v>0.32619999999999999</v>
      </c>
    </row>
    <row r="371" spans="2:10">
      <c r="B371" t="s">
        <v>1980</v>
      </c>
      <c r="C371">
        <f t="array" ref="C371">D371:F371</f>
        <v>0</v>
      </c>
      <c r="D371" s="22">
        <v>0</v>
      </c>
      <c r="E371" s="22">
        <v>0</v>
      </c>
      <c r="F371" s="22">
        <v>0</v>
      </c>
      <c r="G371" s="22">
        <v>0</v>
      </c>
      <c r="H371" s="22">
        <v>0</v>
      </c>
      <c r="I371" s="22">
        <v>0</v>
      </c>
      <c r="J371" s="22">
        <v>0</v>
      </c>
    </row>
    <row r="372" spans="2:10">
      <c r="B372" t="s">
        <v>1981</v>
      </c>
      <c r="C372">
        <f t="array" ref="C372">D372:F372</f>
        <v>0.47438246687684626</v>
      </c>
      <c r="D372" s="22">
        <v>0.47438246687684626</v>
      </c>
      <c r="E372" s="22"/>
      <c r="F372" s="22"/>
      <c r="G372" s="22">
        <v>4.4257860000000003E-2</v>
      </c>
      <c r="H372" s="22">
        <v>0.44257859999999999</v>
      </c>
      <c r="I372" s="22"/>
      <c r="J372" s="22"/>
    </row>
    <row r="373" spans="2:10">
      <c r="B373" t="s">
        <v>1982</v>
      </c>
      <c r="C373">
        <f t="array" ref="C373">D373:F373</f>
        <v>0.36751499999999998</v>
      </c>
      <c r="D373" s="22">
        <v>0.36751499999999998</v>
      </c>
      <c r="E373" s="22">
        <v>0</v>
      </c>
      <c r="F373" s="22">
        <v>0.36751499999999998</v>
      </c>
      <c r="G373" s="22">
        <v>0</v>
      </c>
      <c r="H373" s="22">
        <v>0.36751499999999998</v>
      </c>
      <c r="I373" s="22">
        <v>0</v>
      </c>
      <c r="J373" s="22">
        <v>0.36751499999999998</v>
      </c>
    </row>
    <row r="374" spans="2:10">
      <c r="B374" t="s">
        <v>1983</v>
      </c>
      <c r="C374">
        <f t="array" ref="C374">D374:F374</f>
        <v>1370.4528453</v>
      </c>
      <c r="D374" s="22">
        <v>1370.4528453</v>
      </c>
      <c r="E374" s="22">
        <v>0</v>
      </c>
      <c r="F374" s="22">
        <v>1370.4528453</v>
      </c>
      <c r="G374" s="22">
        <v>0</v>
      </c>
      <c r="H374" s="22">
        <v>1370.4528453</v>
      </c>
      <c r="I374" s="22">
        <v>0</v>
      </c>
      <c r="J374" s="22">
        <v>1370.4528453</v>
      </c>
    </row>
    <row r="375" spans="2:10">
      <c r="B375" t="s">
        <v>1984</v>
      </c>
      <c r="C375">
        <f t="array" ref="C375">D375:F375</f>
        <v>0.4493876</v>
      </c>
      <c r="D375" s="22">
        <v>0.4493876</v>
      </c>
      <c r="E375" s="22">
        <v>0</v>
      </c>
      <c r="F375" s="22">
        <v>0.4493876</v>
      </c>
      <c r="G375" s="22">
        <v>0</v>
      </c>
      <c r="H375" s="22">
        <v>0.4493876</v>
      </c>
      <c r="I375" s="22">
        <v>0</v>
      </c>
      <c r="J375" s="22">
        <v>0.4493876</v>
      </c>
    </row>
    <row r="376" spans="2:10">
      <c r="B376" t="s">
        <v>1985</v>
      </c>
      <c r="C376">
        <f t="array" ref="C376">D376:F376</f>
        <v>791.99990001558672</v>
      </c>
      <c r="D376" s="22">
        <v>791.99990001558672</v>
      </c>
      <c r="E376" s="22">
        <v>79.19999</v>
      </c>
      <c r="F376" s="22">
        <v>791.99990000000003</v>
      </c>
      <c r="G376" s="22">
        <v>79.275598909999999</v>
      </c>
      <c r="H376" s="22">
        <v>792.75598909999997</v>
      </c>
      <c r="I376" s="22">
        <v>79.19999</v>
      </c>
      <c r="J376" s="22">
        <v>791.99990000000003</v>
      </c>
    </row>
    <row r="377" spans="2:10">
      <c r="B377" t="s">
        <v>1986</v>
      </c>
      <c r="C377">
        <f t="array" ref="C377">D377:F377</f>
        <v>3110.8340000096191</v>
      </c>
      <c r="D377" s="22">
        <v>3110.8340000096191</v>
      </c>
      <c r="E377" s="22">
        <v>62.216679999999997</v>
      </c>
      <c r="F377" s="22">
        <v>3110.8339999999998</v>
      </c>
      <c r="G377" s="22">
        <v>311.13005909999998</v>
      </c>
      <c r="H377" s="22">
        <v>3111.3005910000002</v>
      </c>
      <c r="I377" s="22">
        <v>62.216679999999997</v>
      </c>
      <c r="J377" s="22">
        <v>3110.8339999999998</v>
      </c>
    </row>
    <row r="378" spans="2:10">
      <c r="B378" t="s">
        <v>1987</v>
      </c>
      <c r="C378">
        <f t="array" ref="C378">D378:F378</f>
        <v>14469.768087627554</v>
      </c>
      <c r="D378" s="22">
        <v>14469.768087627554</v>
      </c>
      <c r="E378" s="22"/>
      <c r="F378" s="22"/>
      <c r="G378" s="22">
        <v>-8.4795708199999993</v>
      </c>
      <c r="H378" s="22">
        <v>-84.795708200000007</v>
      </c>
      <c r="I378" s="22"/>
      <c r="J378" s="22"/>
    </row>
    <row r="379" spans="2:10">
      <c r="B379" t="s">
        <v>1988</v>
      </c>
      <c r="C379">
        <f t="array" ref="C379">D379:F379</f>
        <v>194.48070000054727</v>
      </c>
      <c r="D379" s="22">
        <v>194.48070000054727</v>
      </c>
      <c r="E379" s="22">
        <v>19.448070000000001</v>
      </c>
      <c r="F379" s="22">
        <v>194.48070000000001</v>
      </c>
      <c r="G379" s="22">
        <v>19.4485654</v>
      </c>
      <c r="H379" s="22">
        <v>194.48565400000001</v>
      </c>
      <c r="I379" s="22">
        <v>19.448070000000001</v>
      </c>
      <c r="J379" s="22">
        <v>194.48070000000001</v>
      </c>
    </row>
    <row r="380" spans="2:10">
      <c r="B380" t="s">
        <v>1989</v>
      </c>
      <c r="C380">
        <f t="array" ref="C380">D380:F380</f>
        <v>266.75290000102967</v>
      </c>
      <c r="D380" s="22">
        <v>266.75290000102967</v>
      </c>
      <c r="E380" s="22">
        <v>26.67529</v>
      </c>
      <c r="F380" s="22">
        <v>266.75290000000001</v>
      </c>
      <c r="G380" s="22">
        <v>26.676222020000001</v>
      </c>
      <c r="H380" s="22">
        <v>266.7622202</v>
      </c>
      <c r="I380" s="22">
        <v>26.67529</v>
      </c>
      <c r="J380" s="22">
        <v>266.75290000000001</v>
      </c>
    </row>
    <row r="381" spans="2:10">
      <c r="B381" t="s">
        <v>1990</v>
      </c>
      <c r="C381">
        <f t="array" ref="C381">D381:F381</f>
        <v>189.02850000051703</v>
      </c>
      <c r="D381" s="22">
        <v>189.02850000051703</v>
      </c>
      <c r="E381" s="22">
        <v>18.902850000000001</v>
      </c>
      <c r="F381" s="22">
        <v>189.02850000000001</v>
      </c>
      <c r="G381" s="22">
        <v>18.90331802</v>
      </c>
      <c r="H381" s="22">
        <v>189.0331802</v>
      </c>
      <c r="I381" s="22">
        <v>18.902850000000001</v>
      </c>
      <c r="J381" s="22">
        <v>189.02850000000001</v>
      </c>
    </row>
    <row r="382" spans="2:10">
      <c r="B382" t="s">
        <v>1991</v>
      </c>
      <c r="C382">
        <f t="array" ref="C382">D382:F382</f>
        <v>189.02850000051703</v>
      </c>
      <c r="D382" s="22">
        <v>189.02850000051703</v>
      </c>
      <c r="E382" s="22">
        <v>18.902850000000001</v>
      </c>
      <c r="F382" s="22">
        <v>189.02850000000001</v>
      </c>
      <c r="G382" s="22">
        <v>18.90331802</v>
      </c>
      <c r="H382" s="22">
        <v>189.0331802</v>
      </c>
      <c r="I382" s="22">
        <v>18.902850000000001</v>
      </c>
      <c r="J382" s="22">
        <v>189.02850000000001</v>
      </c>
    </row>
    <row r="383" spans="2:10">
      <c r="B383" t="s">
        <v>1992</v>
      </c>
      <c r="C383">
        <f t="array" ref="C383">D383:F383</f>
        <v>2453.5346378999998</v>
      </c>
      <c r="D383" s="22">
        <v>2453.5346378999998</v>
      </c>
      <c r="E383" s="22">
        <v>0</v>
      </c>
      <c r="F383" s="22">
        <v>2453.5346378999998</v>
      </c>
      <c r="G383" s="22">
        <v>0</v>
      </c>
      <c r="H383" s="22">
        <v>2453.5346378999998</v>
      </c>
      <c r="I383" s="22">
        <v>0</v>
      </c>
      <c r="J383" s="22">
        <v>2453.5346378999998</v>
      </c>
    </row>
    <row r="384" spans="2:10">
      <c r="B384" t="s">
        <v>1993</v>
      </c>
      <c r="C384">
        <f t="array" ref="C384">D384:F384</f>
        <v>-26933.048654081176</v>
      </c>
      <c r="D384" s="22">
        <v>-26933.048654081176</v>
      </c>
      <c r="E384" s="22"/>
      <c r="F384" s="22"/>
      <c r="G384" s="22">
        <v>1903.3679198499999</v>
      </c>
      <c r="H384" s="22">
        <v>19033.679198500002</v>
      </c>
      <c r="I384" s="22"/>
      <c r="J384" s="22"/>
    </row>
    <row r="385" spans="2:10">
      <c r="B385" t="s">
        <v>1994</v>
      </c>
      <c r="C385">
        <f t="array" ref="C385">D385:F385</f>
        <v>0.36049293980342656</v>
      </c>
      <c r="D385" s="22">
        <v>0.36049293980342656</v>
      </c>
      <c r="E385" s="22">
        <v>2.981E-2</v>
      </c>
      <c r="F385" s="22">
        <v>0.29810009999999998</v>
      </c>
      <c r="G385" s="22">
        <v>3.736743E-2</v>
      </c>
      <c r="H385" s="22">
        <v>0.37367430000000001</v>
      </c>
      <c r="I385" s="22">
        <v>2.981E-2</v>
      </c>
      <c r="J385" s="22">
        <v>0.29810009999999998</v>
      </c>
    </row>
    <row r="386" spans="2:10">
      <c r="B386" t="s">
        <v>1995</v>
      </c>
      <c r="C386">
        <f t="array" ref="C386">D386:F386</f>
        <v>1689.0166771432596</v>
      </c>
      <c r="D386" s="22">
        <v>1689.0166771432596</v>
      </c>
      <c r="E386" s="22">
        <v>307.17435999999998</v>
      </c>
      <c r="F386" s="22">
        <v>1806.9079999999999</v>
      </c>
      <c r="G386" s="22">
        <v>177.13037405</v>
      </c>
      <c r="H386" s="22">
        <v>1771.3037405</v>
      </c>
      <c r="I386" s="22">
        <v>307.17435999999998</v>
      </c>
      <c r="J386" s="22">
        <v>1806.9079999999999</v>
      </c>
    </row>
    <row r="387" spans="2:10">
      <c r="B387" t="s">
        <v>1996</v>
      </c>
      <c r="C387">
        <f t="array" ref="C387">D387:F387</f>
        <v>0.46507518809914006</v>
      </c>
      <c r="D387" s="22">
        <v>0.46507518809914006</v>
      </c>
      <c r="E387" s="22">
        <v>8.9980000000000004E-2</v>
      </c>
      <c r="F387" s="22">
        <v>0.44990000000000002</v>
      </c>
      <c r="G387" s="22">
        <v>4.5278770000000003E-2</v>
      </c>
      <c r="H387" s="22">
        <v>0.45278770000000002</v>
      </c>
      <c r="I387" s="22">
        <v>8.9980000000000004E-2</v>
      </c>
      <c r="J387" s="22">
        <v>0.44990000000000002</v>
      </c>
    </row>
  </sheetData>
  <mergeCells count="4">
    <mergeCell ref="B149:F149"/>
    <mergeCell ref="B1:F1"/>
    <mergeCell ref="G149:H149"/>
    <mergeCell ref="I149:J149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6"/>
  <dimension ref="A1:J475"/>
  <sheetViews>
    <sheetView topLeftCell="C134" workbookViewId="0">
      <selection activeCell="F386" sqref="E150:F386"/>
    </sheetView>
  </sheetViews>
  <sheetFormatPr defaultColWidth="17.28515625" defaultRowHeight="15"/>
  <cols>
    <col min="1" max="1" width="75.85546875" style="46" customWidth="1"/>
    <col min="2" max="2" width="26.28515625" customWidth="1"/>
    <col min="3" max="3" width="24" customWidth="1"/>
    <col min="4" max="4" width="13" customWidth="1"/>
    <col min="5" max="5" width="41.140625" customWidth="1"/>
    <col min="7" max="7" width="29.5703125" customWidth="1"/>
    <col min="8" max="8" width="45.28515625" customWidth="1"/>
  </cols>
  <sheetData>
    <row r="1" spans="1:9" s="38" customFormat="1" ht="12.75">
      <c r="A1" s="41"/>
      <c r="B1" s="40" t="s">
        <v>808</v>
      </c>
      <c r="C1" s="39" t="s">
        <v>807</v>
      </c>
      <c r="D1" s="39" t="s">
        <v>20</v>
      </c>
      <c r="E1" s="39" t="s">
        <v>807</v>
      </c>
    </row>
    <row r="2" spans="1:9">
      <c r="A2" s="42" t="s">
        <v>1126</v>
      </c>
      <c r="B2" t="s">
        <v>1342</v>
      </c>
      <c r="C2" t="s">
        <v>1488</v>
      </c>
      <c r="D2" s="2" t="s">
        <v>0</v>
      </c>
      <c r="E2" t="s">
        <v>1620</v>
      </c>
      <c r="G2" t="str">
        <f t="shared" ref="G2:G33" si="0">MID(A2,1,FIND(":",A2)-1)</f>
        <v>CONCTHK21_C</v>
      </c>
      <c r="H2" t="str">
        <f>"="&amp;MID(A2,FIND(": (",A2)+2,FIND("=",A2)-FIND(": (",A2)-2)</f>
        <v xml:space="preserve">=(( CONCTHK21_CLOSE_Q * CONCTHK21_CLOSE_CF + CONCTHK21_PP52_Q * CONCTHK21_PP52_CF + CONCTHK21_PP51_Q * CONCTHK21_PP51_CF) </v>
      </c>
      <c r="I2" t="str">
        <f>"="&amp;MID(A2,FIND("=",A2)+1,LEN(A2)-FIND("=",A2)-2)</f>
        <v>= (CONCTHK21_OPEN_Q * CONCTHK21_OPEN_CF + DI101_CONCTHK21_Q * DI101_CONCTHK21_CF )</v>
      </c>
    </row>
    <row r="3" spans="1:9">
      <c r="A3" s="42" t="s">
        <v>1127</v>
      </c>
      <c r="B3" t="s">
        <v>1343</v>
      </c>
      <c r="C3" t="s">
        <v>1489</v>
      </c>
      <c r="D3" s="2" t="s">
        <v>0</v>
      </c>
      <c r="E3" t="s">
        <v>1621</v>
      </c>
      <c r="G3" t="str">
        <f t="shared" si="0"/>
        <v>CONCTHK21_M</v>
      </c>
      <c r="H3" t="str">
        <f t="shared" ref="H3:H8" si="1">"="&amp;MID(A3,FIND(": (",A3)+2,FIND("=",A3)-FIND(": (",A3)-2)</f>
        <v xml:space="preserve">=(( CONCTHK21_CLOSE_Q + CONCTHK21_PP51_Q + CONCTHK21_PP52_Q) </v>
      </c>
      <c r="I3" t="str">
        <f t="shared" ref="I3:I8" si="2">"="&amp;MID(A3,FIND("=",A3)+1,LEN(A3)-FIND("=",A3)-2)</f>
        <v>= (CONCTHK21_OPEN_Q + DI101_CONCTHK21_Q )</v>
      </c>
    </row>
    <row r="4" spans="1:9">
      <c r="A4" s="42" t="s">
        <v>1128</v>
      </c>
      <c r="B4" t="s">
        <v>1344</v>
      </c>
      <c r="C4" t="s">
        <v>1490</v>
      </c>
      <c r="D4" s="2" t="s">
        <v>0</v>
      </c>
      <c r="E4" t="s">
        <v>1622</v>
      </c>
      <c r="G4" t="str">
        <f t="shared" si="0"/>
        <v>CONCTHK21_TOTVOL_W</v>
      </c>
      <c r="H4" t="str">
        <f t="shared" si="1"/>
        <v xml:space="preserve">=(( CONCTHK21_TOTVOL_CLOSE_Q) </v>
      </c>
      <c r="I4" t="str">
        <f t="shared" si="2"/>
        <v>= (CONCTHK21_TOTVOL_OPEN_Q )</v>
      </c>
    </row>
    <row r="5" spans="1:9">
      <c r="A5" s="43" t="s">
        <v>1129</v>
      </c>
      <c r="B5" t="s">
        <v>1345</v>
      </c>
      <c r="C5" t="s">
        <v>1491</v>
      </c>
      <c r="D5" s="2" t="s">
        <v>0</v>
      </c>
      <c r="E5" t="s">
        <v>1623</v>
      </c>
      <c r="G5" t="str">
        <f t="shared" si="0"/>
        <v>CONCTHK21_W</v>
      </c>
      <c r="H5" t="str">
        <f t="shared" si="1"/>
        <v xml:space="preserve">=(( CONCTHK21_CLOSE_Q * CONCTHK21_CLOSE_WF + CONCTHK21_PP52_Q * CONCTHK21_PP52_WF + CONCTHK1_OVERFLOW_Q + CONCTHK21_PP51_Q * CONCTHK21_PP51_WF) </v>
      </c>
      <c r="I5" t="str">
        <f t="shared" si="2"/>
        <v>= (CONCTHK21_OPEN_Q * CONCTHK21_OPEN_WF + DI101_CONCTHK21_Q * DI101_CONCTHK21_WF )</v>
      </c>
    </row>
    <row r="6" spans="1:9">
      <c r="A6" s="43" t="s">
        <v>1130</v>
      </c>
      <c r="B6" t="s">
        <v>1346</v>
      </c>
      <c r="C6" t="s">
        <v>1492</v>
      </c>
      <c r="D6" s="2" t="s">
        <v>0</v>
      </c>
      <c r="E6" t="s">
        <v>1624</v>
      </c>
      <c r="G6" t="str">
        <f t="shared" si="0"/>
        <v>CONCTHK22_C</v>
      </c>
      <c r="H6" t="str">
        <f t="shared" si="1"/>
        <v xml:space="preserve">=(( CONCTHK22_CLOSE_Q * CONCTHK22_CLOSE_CF + CONCTHK22_PP53_Q * CONCTHK22_PP53_CF + CONCTHK22_PP54_Q * CONCTHK22_PP54_CF) </v>
      </c>
      <c r="I6" t="str">
        <f t="shared" si="2"/>
        <v>= (CONCTHK22_OPEN_Q * CONCTHK22_OPEN_CF + DI101_CONCTHK22_Q * DI101_CONCTHK22_CF )</v>
      </c>
    </row>
    <row r="7" spans="1:9">
      <c r="A7" s="43" t="s">
        <v>1131</v>
      </c>
      <c r="B7" t="s">
        <v>1347</v>
      </c>
      <c r="C7" t="s">
        <v>1493</v>
      </c>
      <c r="D7" s="2" t="s">
        <v>0</v>
      </c>
      <c r="E7" t="s">
        <v>1625</v>
      </c>
      <c r="G7" t="str">
        <f t="shared" si="0"/>
        <v>CONCTHK22_M</v>
      </c>
      <c r="H7" t="str">
        <f t="shared" si="1"/>
        <v xml:space="preserve">=(( CONCTHK22_CLOSE_Q + CONCTHK22_PP53_Q + CONCTHK22_PP54_Q) </v>
      </c>
      <c r="I7" t="str">
        <f t="shared" si="2"/>
        <v>= (CONCTHK22_OPEN_Q + DI101_CONCTHK22_Q )</v>
      </c>
    </row>
    <row r="8" spans="1:9">
      <c r="A8" s="42" t="s">
        <v>1132</v>
      </c>
      <c r="B8" t="s">
        <v>1348</v>
      </c>
      <c r="C8" t="s">
        <v>1494</v>
      </c>
      <c r="D8" s="2" t="s">
        <v>0</v>
      </c>
      <c r="E8" t="s">
        <v>1626</v>
      </c>
      <c r="G8" t="str">
        <f t="shared" si="0"/>
        <v>CONCTHK22_TOTVOL_W</v>
      </c>
      <c r="H8" t="str">
        <f t="shared" si="1"/>
        <v xml:space="preserve">=(( CONCTHK22_TOTVOL_CLOSE_Q) </v>
      </c>
      <c r="I8" t="str">
        <f t="shared" si="2"/>
        <v>= (CONCTHK22_TOTVOL_OPEN_Q )</v>
      </c>
    </row>
    <row r="9" spans="1:9">
      <c r="A9" s="43" t="s">
        <v>1133</v>
      </c>
      <c r="B9" t="s">
        <v>1349</v>
      </c>
      <c r="C9" t="s">
        <v>1495</v>
      </c>
      <c r="D9" s="2" t="s">
        <v>0</v>
      </c>
      <c r="E9" t="s">
        <v>1627</v>
      </c>
      <c r="G9" t="str">
        <f t="shared" si="0"/>
        <v>CONCTHK22_W</v>
      </c>
      <c r="H9" t="str">
        <f t="shared" ref="H9:H72" si="3">"="&amp;MID(A9,FIND(": (",A9)+2,FIND("=",A9)-FIND(": (",A9)-2)</f>
        <v xml:space="preserve">=(( CONCTHK22_CLOSE_Q * CONCTHK22_CLOSE_WF + CONCTHK22_PP53_Q * CONCTHK22_PP53_WF + CONCTHK22_PP54_Q * CONCTHK22_PP54_WF + CONCTHK2_OVERFLOW_Q) </v>
      </c>
      <c r="I9" t="str">
        <f t="shared" ref="I9:I72" si="4">"="&amp;MID(A9,FIND("=",A9)+1,LEN(A9)-FIND("=",A9)-2)</f>
        <v>= (CONCTHK22_OPEN_Q * CONCTHK22_OPEN_WF + DI101_CONCTHK22_Q * DI101_CONCTHK22_WF )</v>
      </c>
    </row>
    <row r="10" spans="1:9">
      <c r="A10" s="43" t="s">
        <v>1134</v>
      </c>
      <c r="B10" t="s">
        <v>1350</v>
      </c>
      <c r="C10" t="s">
        <v>1496</v>
      </c>
      <c r="D10" s="2" t="s">
        <v>0</v>
      </c>
      <c r="E10" t="s">
        <v>1628</v>
      </c>
      <c r="G10" t="str">
        <f t="shared" si="0"/>
        <v>CONCTHK_H2OREC_W</v>
      </c>
      <c r="H10" t="str">
        <f t="shared" si="3"/>
        <v xml:space="preserve">=(( CONCTHK_OVERFLOW_Q) </v>
      </c>
      <c r="I10" t="str">
        <f t="shared" si="4"/>
        <v>= (CONCTHK1_OVERFLOW_Q + CONCTHK2_OVERFLOW_Q )</v>
      </c>
    </row>
    <row r="11" spans="1:9">
      <c r="A11" s="43" t="s">
        <v>1135</v>
      </c>
      <c r="B11" t="s">
        <v>1351</v>
      </c>
      <c r="C11" t="s">
        <v>1497</v>
      </c>
      <c r="D11" s="2" t="s">
        <v>0</v>
      </c>
      <c r="E11" t="s">
        <v>1629</v>
      </c>
      <c r="G11" t="str">
        <f t="shared" si="0"/>
        <v>DI101E_C</v>
      </c>
      <c r="H11" t="str">
        <f t="shared" si="3"/>
        <v xml:space="preserve">=(( DI101_CONCTHK21_Q * DI101_CONCTHK21_CF + DI101_CONCTHK22_Q * DI101_CONCTHK22_CF) </v>
      </c>
      <c r="I11" t="str">
        <f t="shared" si="4"/>
        <v>= (DI101_TOTAL_Q * DI101_TOTAL_CF )</v>
      </c>
    </row>
    <row r="12" spans="1:9">
      <c r="A12" s="42" t="s">
        <v>1136</v>
      </c>
      <c r="B12" t="s">
        <v>1352</v>
      </c>
      <c r="C12" t="s">
        <v>1498</v>
      </c>
      <c r="D12" s="2" t="s">
        <v>0</v>
      </c>
      <c r="E12" t="s">
        <v>1630</v>
      </c>
      <c r="G12" t="str">
        <f t="shared" si="0"/>
        <v>DI101E_M</v>
      </c>
      <c r="H12" t="str">
        <f t="shared" si="3"/>
        <v xml:space="preserve">=(( DI101_CONCTHK22_Q + DI101_CONCTHK21_Q) </v>
      </c>
      <c r="I12" t="str">
        <f t="shared" si="4"/>
        <v>= (DI101_TOTAL_Q )</v>
      </c>
    </row>
    <row r="13" spans="1:9">
      <c r="A13" s="42" t="s">
        <v>1137</v>
      </c>
      <c r="B13" t="s">
        <v>1353</v>
      </c>
      <c r="C13" t="s">
        <v>1499</v>
      </c>
      <c r="D13" s="2" t="s">
        <v>0</v>
      </c>
      <c r="E13" t="s">
        <v>1631</v>
      </c>
      <c r="G13" t="str">
        <f t="shared" si="0"/>
        <v>DI101E_W</v>
      </c>
      <c r="H13" t="str">
        <f t="shared" si="3"/>
        <v xml:space="preserve">=(( DI101_CONCTHK21_Q * DI101_CONCTHK21_WF + DI101_CONCTHK22_Q * DI101_CONCTHK22_WF) </v>
      </c>
      <c r="I13" t="str">
        <f t="shared" si="4"/>
        <v>= (DI101_TOTAL_Q * DI101_TOTAL_WF )</v>
      </c>
    </row>
    <row r="14" spans="1:9">
      <c r="A14" s="42" t="s">
        <v>1138</v>
      </c>
      <c r="B14" t="s">
        <v>1354</v>
      </c>
      <c r="C14" t="s">
        <v>1500</v>
      </c>
      <c r="D14" s="2" t="s">
        <v>0</v>
      </c>
      <c r="E14" t="s">
        <v>1632</v>
      </c>
      <c r="G14" t="str">
        <f t="shared" si="0"/>
        <v>DI101_C</v>
      </c>
      <c r="H14" t="str">
        <f t="shared" si="3"/>
        <v xml:space="preserve">=(( DI101_TOTAL_Q * DI101_TOTAL_CF) </v>
      </c>
      <c r="I14" t="str">
        <f t="shared" si="4"/>
        <v>= (FINALCONC_Q * FINALCONC_CF + PP54_DI101_Q * PP54_DI101_CF + PP51_DI101_Q * PP51_DI101_CF + PP53_DI101_Q * PP53_DI101_CF + PP52_DI101_Q * PP52_DI101_CF )</v>
      </c>
    </row>
    <row r="15" spans="1:9">
      <c r="A15" s="42" t="s">
        <v>1139</v>
      </c>
      <c r="B15" t="s">
        <v>1355</v>
      </c>
      <c r="C15" t="s">
        <v>1501</v>
      </c>
      <c r="D15" s="2" t="s">
        <v>0</v>
      </c>
      <c r="E15" t="s">
        <v>1633</v>
      </c>
      <c r="G15" t="str">
        <f t="shared" si="0"/>
        <v>DI101_M</v>
      </c>
      <c r="H15" t="str">
        <f t="shared" si="3"/>
        <v xml:space="preserve">=(( DI101_TOTAL_Q) </v>
      </c>
      <c r="I15" t="str">
        <f t="shared" si="4"/>
        <v>= (FINALCONC_Q + PP51_DI101_Q + PP52_DI101_Q + PP53_DI101_Q + PP54_DI101_Q )</v>
      </c>
    </row>
    <row r="16" spans="1:9">
      <c r="A16" s="42" t="s">
        <v>1140</v>
      </c>
      <c r="B16" t="s">
        <v>1356</v>
      </c>
      <c r="C16" t="s">
        <v>1502</v>
      </c>
      <c r="D16" s="2" t="s">
        <v>0</v>
      </c>
      <c r="E16" t="s">
        <v>1634</v>
      </c>
      <c r="G16" t="str">
        <f t="shared" si="0"/>
        <v>DI101_W</v>
      </c>
      <c r="H16" t="str">
        <f t="shared" si="3"/>
        <v xml:space="preserve">=(( DI101_TOTAL_Q * DI101_TOTAL_WF) </v>
      </c>
      <c r="I16" t="str">
        <f t="shared" si="4"/>
        <v>= (FINALCONC_Q * FINALCONC_WF + PP52_DI101_Q * PP52_DI101_WF + PP54_DI101_Q * PP54_DI101_WF + PP53_DI101_Q * PP53_DI101_WF + PP51_DI101_Q * PP51_DI101_WF )</v>
      </c>
    </row>
    <row r="17" spans="1:9">
      <c r="A17" s="42" t="s">
        <v>1141</v>
      </c>
      <c r="B17" t="s">
        <v>1357</v>
      </c>
      <c r="C17" t="s">
        <v>1503</v>
      </c>
      <c r="D17" s="2" t="s">
        <v>0</v>
      </c>
      <c r="E17" t="s">
        <v>1635</v>
      </c>
      <c r="G17" t="str">
        <f t="shared" si="0"/>
        <v>DI104T_C</v>
      </c>
      <c r="H17" t="str">
        <f t="shared" si="3"/>
        <v xml:space="preserve">=(( CONCTHK_TK23_Q * CONCTHK_TK23_CF + CONCTHK_TK24_Q * CONCTHK_TK24_CF + CONCTHK_TK25_Q * CONCTHK_TK25_CF + CONCTHK_TK26_Q * CONCTHK_TK26_CF) </v>
      </c>
      <c r="I17" t="str">
        <f t="shared" si="4"/>
        <v>= (CONCTHK_TKC_Q * CONCTHK_TKC_CF )</v>
      </c>
    </row>
    <row r="18" spans="1:9">
      <c r="A18" s="42" t="s">
        <v>1142</v>
      </c>
      <c r="B18" t="s">
        <v>1358</v>
      </c>
      <c r="C18" t="s">
        <v>1504</v>
      </c>
      <c r="D18" s="2" t="s">
        <v>0</v>
      </c>
      <c r="E18" t="s">
        <v>1636</v>
      </c>
      <c r="G18" t="str">
        <f t="shared" si="0"/>
        <v>DI104T_M</v>
      </c>
      <c r="H18" t="str">
        <f t="shared" si="3"/>
        <v xml:space="preserve">=(( CONCTHK_TK24_Q + CONCTHK_TK25_Q + CONCTHK_TK26_Q + CONCTHK_TK23_Q) </v>
      </c>
      <c r="I18" t="str">
        <f t="shared" si="4"/>
        <v>= (CONCTHK_TKC_Q )</v>
      </c>
    </row>
    <row r="19" spans="1:9">
      <c r="A19" s="42" t="s">
        <v>1143</v>
      </c>
      <c r="B19" t="s">
        <v>1359</v>
      </c>
      <c r="C19" t="s">
        <v>1505</v>
      </c>
      <c r="D19" s="2" t="s">
        <v>0</v>
      </c>
      <c r="E19" t="s">
        <v>1637</v>
      </c>
      <c r="G19" t="str">
        <f t="shared" si="0"/>
        <v>DI104T_W</v>
      </c>
      <c r="H19" t="str">
        <f t="shared" si="3"/>
        <v xml:space="preserve">=(( CONCTHK_TK23_Q * CONCTHK_TK23_WF + CONCTHK_TK24_Q * CONCTHK_TK24_WF + CONCTHK_TK26_Q * CONCTHK_TK26_WF + CONCTHK_TK25_Q * CONCTHK_TK25_WF) </v>
      </c>
      <c r="I19" t="str">
        <f t="shared" si="4"/>
        <v>= (CONCTHK_TKC_Q * CONCTHK_TKC_WF )</v>
      </c>
    </row>
    <row r="20" spans="1:9">
      <c r="A20" s="42" t="s">
        <v>1144</v>
      </c>
      <c r="B20" t="s">
        <v>1360</v>
      </c>
      <c r="C20" t="s">
        <v>1506</v>
      </c>
      <c r="D20" s="2" t="s">
        <v>0</v>
      </c>
      <c r="E20" t="s">
        <v>1638</v>
      </c>
      <c r="G20" t="str">
        <f t="shared" si="0"/>
        <v>DI104_C</v>
      </c>
      <c r="H20" t="str">
        <f t="shared" si="3"/>
        <v xml:space="preserve">=(( CONCTHK_TKC_Q * CONCTHK_TKC_CF) </v>
      </c>
      <c r="I20" t="str">
        <f t="shared" si="4"/>
        <v>= (PP53_DI104_Q * PP53_DI104_CF + PP51_DI104_Q * PP51_DI104_CF + PP52_DI104_Q * PP52_DI104_CF + PP54_DI104_Q * PP54_DI104_CF )</v>
      </c>
    </row>
    <row r="21" spans="1:9">
      <c r="A21" s="42" t="s">
        <v>1145</v>
      </c>
      <c r="B21" t="s">
        <v>1361</v>
      </c>
      <c r="C21" t="s">
        <v>1507</v>
      </c>
      <c r="D21" s="2" t="s">
        <v>0</v>
      </c>
      <c r="E21" t="s">
        <v>1639</v>
      </c>
      <c r="G21" t="str">
        <f t="shared" si="0"/>
        <v>DI104_M</v>
      </c>
      <c r="H21" t="str">
        <f t="shared" si="3"/>
        <v xml:space="preserve">=(( CONCTHK_TKC_Q) </v>
      </c>
      <c r="I21" t="str">
        <f t="shared" si="4"/>
        <v>= (PP52_DI104_Q + PP53_DI104_Q + PP51_DI104_Q + PP54_DI104_Q )</v>
      </c>
    </row>
    <row r="22" spans="1:9">
      <c r="A22" s="42" t="s">
        <v>1146</v>
      </c>
      <c r="B22" t="s">
        <v>1362</v>
      </c>
      <c r="C22" t="s">
        <v>1508</v>
      </c>
      <c r="D22" s="2" t="s">
        <v>0</v>
      </c>
      <c r="E22" t="s">
        <v>1640</v>
      </c>
      <c r="G22" t="str">
        <f t="shared" si="0"/>
        <v>DI104_W</v>
      </c>
      <c r="H22" t="str">
        <f t="shared" si="3"/>
        <v xml:space="preserve">=(( CONCTHK_TKC_Q * CONCTHK_TKC_WF) </v>
      </c>
      <c r="I22" t="str">
        <f t="shared" si="4"/>
        <v>= (PP51_DI104_Q * PP51_DI104_WF + PP53_DI104_Q * PP53_DI104_WF + PP54_DI104_Q * PP54_DI104_WF + PP52_DI104_Q * PP52_DI104_WF )</v>
      </c>
    </row>
    <row r="23" spans="1:9">
      <c r="A23" s="42" t="s">
        <v>1147</v>
      </c>
      <c r="B23" t="s">
        <v>1363</v>
      </c>
      <c r="C23" t="s">
        <v>1509</v>
      </c>
      <c r="D23" s="2" t="s">
        <v>0</v>
      </c>
      <c r="E23" t="s">
        <v>1641</v>
      </c>
      <c r="G23" t="str">
        <f t="shared" si="0"/>
        <v>DI105_C</v>
      </c>
      <c r="H23" t="str">
        <f t="shared" si="3"/>
        <v xml:space="preserve">=(( TKC_PIPE_Q * TKC_PIPE_CF) </v>
      </c>
      <c r="I23" t="str">
        <f t="shared" si="4"/>
        <v>= (TK24_DI105_Q * TK24_DI105_CF + TK25_DI105_Q * TK25_DI105_CF + TK23_DI105_Q * TK23_DI105_CF + TK26_DI105_Q * TK26_DI105_CF )</v>
      </c>
    </row>
    <row r="24" spans="1:9">
      <c r="A24" s="42" t="s">
        <v>1148</v>
      </c>
      <c r="B24" t="s">
        <v>1364</v>
      </c>
      <c r="C24" t="s">
        <v>1510</v>
      </c>
      <c r="D24" s="2" t="s">
        <v>0</v>
      </c>
      <c r="E24" t="s">
        <v>1642</v>
      </c>
      <c r="G24" t="str">
        <f t="shared" si="0"/>
        <v>DI105_M</v>
      </c>
      <c r="H24" t="str">
        <f t="shared" si="3"/>
        <v xml:space="preserve">=(( TKC_PIPE_Q) </v>
      </c>
      <c r="I24" t="str">
        <f t="shared" si="4"/>
        <v>= (TK24_DI105_Q + TK25_DI105_Q + TK26_DI105_Q + TK23_DI105_Q )</v>
      </c>
    </row>
    <row r="25" spans="1:9">
      <c r="A25" s="42" t="s">
        <v>1149</v>
      </c>
      <c r="B25" t="s">
        <v>1365</v>
      </c>
      <c r="C25" t="s">
        <v>1511</v>
      </c>
      <c r="D25" s="2" t="s">
        <v>0</v>
      </c>
      <c r="E25" t="s">
        <v>1643</v>
      </c>
      <c r="G25" t="str">
        <f t="shared" si="0"/>
        <v>DI105_W</v>
      </c>
      <c r="H25" t="str">
        <f t="shared" si="3"/>
        <v xml:space="preserve">=(( TKC_PIPE_Q * TKC_PIPE_WF) </v>
      </c>
      <c r="I25" t="str">
        <f t="shared" si="4"/>
        <v>= (TK23_DI105_Q * TK23_DI105_WF + TK26_DI105_Q * TK26_DI105_WF + TK24_DI105_Q * TK24_DI105_WF + TK25_DI105_Q * TK25_DI105_WF )</v>
      </c>
    </row>
    <row r="26" spans="1:9">
      <c r="A26" s="42" t="s">
        <v>1150</v>
      </c>
      <c r="B26" t="s">
        <v>1366</v>
      </c>
      <c r="C26" t="s">
        <v>1512</v>
      </c>
      <c r="D26" s="2" t="s">
        <v>0</v>
      </c>
      <c r="E26" t="s">
        <v>1644</v>
      </c>
      <c r="G26" t="str">
        <f t="shared" si="0"/>
        <v>DI150_C</v>
      </c>
      <c r="H26" t="str">
        <f t="shared" si="3"/>
        <v xml:space="preserve">=(( DI150_TAILTHK6_Q * DI150_TAILTHK6_CF + DI150_TAILTHK7_Q * DI150_TAILTHK7_CF + DI150_TAILTHK8_Q * DI150_TAILTHK8_CF) </v>
      </c>
      <c r="I26" t="str">
        <f t="shared" si="4"/>
        <v>= (TAILS_Q * TAILS_CF )</v>
      </c>
    </row>
    <row r="27" spans="1:9">
      <c r="A27" s="42" t="s">
        <v>1151</v>
      </c>
      <c r="B27" t="s">
        <v>1367</v>
      </c>
      <c r="C27" t="s">
        <v>1513</v>
      </c>
      <c r="D27" s="2" t="s">
        <v>0</v>
      </c>
      <c r="E27" t="s">
        <v>1645</v>
      </c>
      <c r="G27" t="str">
        <f t="shared" si="0"/>
        <v>DI150_M</v>
      </c>
      <c r="H27" t="str">
        <f t="shared" si="3"/>
        <v xml:space="preserve">=(( DI150_TAILTHK6_Q + DI150_TAILTHK7_Q + DI150_TAILTHK8_Q) </v>
      </c>
      <c r="I27" t="str">
        <f t="shared" si="4"/>
        <v>= (TAILS_Q )</v>
      </c>
    </row>
    <row r="28" spans="1:9">
      <c r="A28" s="42" t="s">
        <v>1152</v>
      </c>
      <c r="B28" t="s">
        <v>1368</v>
      </c>
      <c r="C28" t="s">
        <v>1514</v>
      </c>
      <c r="D28" s="2" t="s">
        <v>0</v>
      </c>
      <c r="E28" t="s">
        <v>1646</v>
      </c>
      <c r="G28" t="str">
        <f t="shared" si="0"/>
        <v>DI150_W</v>
      </c>
      <c r="H28" t="str">
        <f t="shared" si="3"/>
        <v xml:space="preserve">=(( DI150_TAILTHK6_Q * DI150_TAILTHK6_WF + DI150_TAILTHK8_Q * DI150_TAILTHK8_WF + DI150_TAILTHK7_Q * DI150_TAILTHK7_WF) </v>
      </c>
      <c r="I28" t="str">
        <f t="shared" si="4"/>
        <v>= (TAILS_Q * TAILS_WF )</v>
      </c>
    </row>
    <row r="29" spans="1:9">
      <c r="A29" s="42" t="s">
        <v>1153</v>
      </c>
      <c r="B29" t="s">
        <v>1369</v>
      </c>
      <c r="C29" t="s">
        <v>1515</v>
      </c>
      <c r="D29" s="2" t="s">
        <v>0</v>
      </c>
      <c r="E29" t="s">
        <v>1647</v>
      </c>
      <c r="G29" t="str">
        <f t="shared" si="0"/>
        <v>FLOT_C</v>
      </c>
      <c r="H29" t="str">
        <f t="shared" si="3"/>
        <v xml:space="preserve">=(( FINALCONC_Q * FINALCONC_CF + TAILS_Q * TAILS_CF) </v>
      </c>
      <c r="I29" t="str">
        <f t="shared" si="4"/>
        <v>= (ROUFEED_Q * ROUFEED_CF )</v>
      </c>
    </row>
    <row r="30" spans="1:9">
      <c r="A30" s="42" t="s">
        <v>1154</v>
      </c>
      <c r="B30" t="s">
        <v>1370</v>
      </c>
      <c r="C30" t="s">
        <v>1516</v>
      </c>
      <c r="D30" s="2" t="s">
        <v>0</v>
      </c>
      <c r="E30" t="s">
        <v>1648</v>
      </c>
      <c r="G30" t="str">
        <f t="shared" si="0"/>
        <v>FLOT_M</v>
      </c>
      <c r="H30" t="str">
        <f t="shared" si="3"/>
        <v xml:space="preserve">=(( FINALCONC_Q + TAILS_Q) </v>
      </c>
      <c r="I30" t="str">
        <f t="shared" si="4"/>
        <v>= (ROUFEED_Q )</v>
      </c>
    </row>
    <row r="31" spans="1:9">
      <c r="A31" s="43" t="s">
        <v>1155</v>
      </c>
      <c r="B31" t="s">
        <v>1371</v>
      </c>
      <c r="C31" t="s">
        <v>1517</v>
      </c>
      <c r="D31" s="2" t="s">
        <v>0</v>
      </c>
      <c r="E31" t="s">
        <v>1649</v>
      </c>
      <c r="G31" t="str">
        <f t="shared" si="0"/>
        <v>FLOT_W</v>
      </c>
      <c r="H31" t="str">
        <f t="shared" si="3"/>
        <v xml:space="preserve">=(( FINALCONC_Q * FINALCONC_WF + TAILS_Q * TAILS_WF) </v>
      </c>
      <c r="I31" t="str">
        <f t="shared" si="4"/>
        <v>= (H2OSEAL_REM_1_Q + H2OSEAL_REM_2_Q + POOL_REM_1_Q + ROUFEED_Q * ROUFEED_WF + H2OSEAL_DI30_Q + POOL_2CLN_Q + POOL_REM_2_Q + POOL_TK91_Q + POOL_DI30_Q + POOL_2CLNCONC_Q + H2OSEAL_1CLN_Q + POOL_TK42_Q )</v>
      </c>
    </row>
    <row r="32" spans="1:9">
      <c r="A32" s="43" t="s">
        <v>1156</v>
      </c>
      <c r="B32" t="s">
        <v>1372</v>
      </c>
      <c r="C32" t="s">
        <v>1518</v>
      </c>
      <c r="D32" s="2" t="s">
        <v>0</v>
      </c>
      <c r="E32" t="s">
        <v>1650</v>
      </c>
      <c r="G32" t="str">
        <f t="shared" si="0"/>
        <v>H2OFRESH_W</v>
      </c>
      <c r="H32" t="str">
        <f t="shared" si="3"/>
        <v xml:space="preserve">=(( H2OFRESH_TK83_Q) </v>
      </c>
      <c r="I32" t="str">
        <f t="shared" si="4"/>
        <v>= (BOREWATER_Q + RIVERWATER_Q )</v>
      </c>
    </row>
    <row r="33" spans="1:9">
      <c r="A33" s="43" t="s">
        <v>1157</v>
      </c>
      <c r="B33" t="s">
        <v>1373</v>
      </c>
      <c r="C33" t="s">
        <v>1519</v>
      </c>
      <c r="D33" s="2" t="s">
        <v>0</v>
      </c>
      <c r="E33" t="s">
        <v>1651</v>
      </c>
      <c r="G33" t="str">
        <f t="shared" si="0"/>
        <v>MILL_C</v>
      </c>
      <c r="H33" t="str">
        <f t="shared" si="3"/>
        <v xml:space="preserve">=(( MILL_MIXER_Q * MILL_MIXER_CF) </v>
      </c>
      <c r="I33" t="str">
        <f t="shared" si="4"/>
        <v>= (FEED_Q * FEED_CF )</v>
      </c>
    </row>
    <row r="34" spans="1:9">
      <c r="A34" s="42" t="s">
        <v>1158</v>
      </c>
      <c r="B34" t="s">
        <v>1374</v>
      </c>
      <c r="C34" t="s">
        <v>1520</v>
      </c>
      <c r="D34" s="2" t="s">
        <v>0</v>
      </c>
      <c r="E34" t="s">
        <v>1652</v>
      </c>
      <c r="G34" t="str">
        <f t="shared" ref="G34:G65" si="5">MID(A34,1,FIND(":",A34)-1)</f>
        <v>MILL_M</v>
      </c>
      <c r="H34" t="str">
        <f t="shared" si="3"/>
        <v xml:space="preserve">=(( MILL_MIXER_Q) </v>
      </c>
      <c r="I34" t="str">
        <f t="shared" si="4"/>
        <v>= (FEED_Q )</v>
      </c>
    </row>
    <row r="35" spans="1:9">
      <c r="A35" s="43" t="s">
        <v>1159</v>
      </c>
      <c r="B35" t="s">
        <v>1375</v>
      </c>
      <c r="C35" t="s">
        <v>1521</v>
      </c>
      <c r="D35" s="2" t="s">
        <v>0</v>
      </c>
      <c r="E35" t="s">
        <v>1653</v>
      </c>
      <c r="G35" t="str">
        <f t="shared" si="5"/>
        <v>MILL_W</v>
      </c>
      <c r="H35" t="str">
        <f t="shared" si="3"/>
        <v xml:space="preserve">=(( MILL_MIXER_Q * MILL_MIXER_WF) </v>
      </c>
      <c r="I35" t="str">
        <f t="shared" si="4"/>
        <v>= (FEED_Q * FEED_WF + POOL_BC2SUMP_Q + POOL_BC3SUMP_Q + POOL_MB1_Q + POOL_SAG_Q + TK83_MB1_Q + POOL_BC1SUMP_Q + TK83_D25_Q + TK83_MB3_Q + POOL_MB2_Q + TK83_MB2_Q + TK83_D20_Q + POOL_MB3_Q + POOL_M1_Q )</v>
      </c>
    </row>
    <row r="36" spans="1:9">
      <c r="A36" s="43" t="s">
        <v>1160</v>
      </c>
      <c r="B36" t="s">
        <v>1376</v>
      </c>
      <c r="C36" t="s">
        <v>1522</v>
      </c>
      <c r="D36" s="2" t="s">
        <v>0</v>
      </c>
      <c r="E36" t="s">
        <v>1654</v>
      </c>
      <c r="G36" t="str">
        <f t="shared" si="5"/>
        <v>MIXER_C</v>
      </c>
      <c r="H36" t="str">
        <f t="shared" si="3"/>
        <v xml:space="preserve">=(( ROUFEED_Q * ROUFEED_CF) </v>
      </c>
      <c r="I36" t="str">
        <f t="shared" si="4"/>
        <v>= (MILL_MIXER_Q * MILL_MIXER_CF )</v>
      </c>
    </row>
    <row r="37" spans="1:9">
      <c r="A37" s="43" t="s">
        <v>1161</v>
      </c>
      <c r="B37" t="s">
        <v>1377</v>
      </c>
      <c r="C37" t="s">
        <v>1523</v>
      </c>
      <c r="D37" s="2" t="s">
        <v>0</v>
      </c>
      <c r="E37" t="s">
        <v>1655</v>
      </c>
      <c r="G37" t="str">
        <f t="shared" si="5"/>
        <v>MIXER_M</v>
      </c>
      <c r="H37" t="str">
        <f t="shared" si="3"/>
        <v xml:space="preserve">=(( ROUFEED_Q) </v>
      </c>
      <c r="I37" t="str">
        <f t="shared" si="4"/>
        <v>= (MILL_MIXER_Q )</v>
      </c>
    </row>
    <row r="38" spans="1:9">
      <c r="A38" s="42" t="s">
        <v>1162</v>
      </c>
      <c r="B38" t="s">
        <v>1378</v>
      </c>
      <c r="C38" t="s">
        <v>1524</v>
      </c>
      <c r="D38" s="2" t="s">
        <v>0</v>
      </c>
      <c r="E38" t="s">
        <v>1656</v>
      </c>
      <c r="G38" t="str">
        <f t="shared" si="5"/>
        <v>MIXER_W</v>
      </c>
      <c r="H38" t="str">
        <f t="shared" si="3"/>
        <v xml:space="preserve">=(( ROUFEED_Q * ROUFEED_WF) </v>
      </c>
      <c r="I38" t="str">
        <f t="shared" si="4"/>
        <v>= (POOL_MIXER_Q + MILL_MIXER_Q * MILL_MIXER_WF )</v>
      </c>
    </row>
    <row r="39" spans="1:9">
      <c r="A39" s="42" t="s">
        <v>1163</v>
      </c>
      <c r="B39" t="s">
        <v>1379</v>
      </c>
      <c r="C39" t="s">
        <v>1525</v>
      </c>
      <c r="D39" s="2" t="s">
        <v>0</v>
      </c>
      <c r="E39" t="s">
        <v>1657</v>
      </c>
      <c r="G39" t="str">
        <f t="shared" si="5"/>
        <v>PIPELINE_C</v>
      </c>
      <c r="H39" t="str">
        <f t="shared" si="3"/>
        <v xml:space="preserve">=(( PIPELINE_CLOSE_Q * PIPELINE_CLOSE_CF + PIPE_TKCLC_Q * PIPE_TKCLC_CF) </v>
      </c>
      <c r="I39" t="str">
        <f t="shared" si="4"/>
        <v>= (PIPELINE_OPEN_Q * PIPELINE_OPEN_CF + TKC_PIPE_Q * TKC_PIPE_CF )</v>
      </c>
    </row>
    <row r="40" spans="1:9">
      <c r="A40" s="42" t="s">
        <v>1164</v>
      </c>
      <c r="B40" t="s">
        <v>1380</v>
      </c>
      <c r="C40" t="s">
        <v>1526</v>
      </c>
      <c r="D40" s="2" t="s">
        <v>0</v>
      </c>
      <c r="E40" t="s">
        <v>1658</v>
      </c>
      <c r="G40" t="str">
        <f t="shared" si="5"/>
        <v>PIPELINE_M</v>
      </c>
      <c r="H40" t="str">
        <f t="shared" si="3"/>
        <v xml:space="preserve">=(( PIPELINE_CLOSE_Q + PIPE_TKCLC_Q) </v>
      </c>
      <c r="I40" t="str">
        <f t="shared" si="4"/>
        <v>= (PIPELINE_OPEN_Q + TKC_PIPE_Q )</v>
      </c>
    </row>
    <row r="41" spans="1:9">
      <c r="A41" s="42" t="s">
        <v>1165</v>
      </c>
      <c r="B41" t="s">
        <v>1381</v>
      </c>
      <c r="C41" t="s">
        <v>1527</v>
      </c>
      <c r="D41" s="2" t="s">
        <v>0</v>
      </c>
      <c r="E41" t="s">
        <v>1659</v>
      </c>
      <c r="G41" t="str">
        <f t="shared" si="5"/>
        <v>PIPELINE_W</v>
      </c>
      <c r="H41" t="str">
        <f t="shared" si="3"/>
        <v xml:space="preserve">=(( PIPELINE_CLOSE_Q * PIPELINE_CLOSE_WF + PIPE_TKCLC_Q * PIPE_TKCLC_WF) </v>
      </c>
      <c r="I41" t="str">
        <f t="shared" si="4"/>
        <v>= (PIPELINE_OPEN_Q * PIPELINE_OPEN_WF + TKC_PIPE_Q * TKC_PIPE_WF )</v>
      </c>
    </row>
    <row r="42" spans="1:9">
      <c r="A42" s="43" t="s">
        <v>1166</v>
      </c>
      <c r="B42" t="s">
        <v>1382</v>
      </c>
      <c r="C42" t="s">
        <v>1528</v>
      </c>
      <c r="D42" s="2" t="s">
        <v>0</v>
      </c>
      <c r="E42" t="s">
        <v>1660</v>
      </c>
      <c r="G42" t="str">
        <f t="shared" si="5"/>
        <v>PLANT_RO_W</v>
      </c>
      <c r="H42" t="str">
        <f t="shared" si="3"/>
        <v xml:space="preserve">=(( RO_POND_Q + RO_TANK_Q) </v>
      </c>
      <c r="I42" t="str">
        <f t="shared" si="4"/>
        <v>= (PLANTA_RO_FEED_Q )</v>
      </c>
    </row>
    <row r="43" spans="1:9">
      <c r="A43" s="43" t="s">
        <v>1167</v>
      </c>
      <c r="B43" t="s">
        <v>1383</v>
      </c>
      <c r="C43" t="s">
        <v>1529</v>
      </c>
      <c r="D43" s="2" t="s">
        <v>0</v>
      </c>
      <c r="E43" t="s">
        <v>1661</v>
      </c>
      <c r="G43" t="str">
        <f t="shared" si="5"/>
        <v>POOL_H2OPROC_W</v>
      </c>
      <c r="H43" t="str">
        <f t="shared" si="3"/>
        <v xml:space="preserve">=(( POOL_2CLN_Q + POOL_BC2SUMP_Q + POOL_BC3SUMP_Q + POOL_REM_1_Q + POOL_SAG_Q + POOL_2CLNCONC_Q + POOL_DI30_Q + POOL_MB2_Q + POOL_MIXER_Q + POOL_TK42_Q + POOL_MB3_Q + POOL_MB1_Q + POOL_BC1SUMP_Q + POOL_TK91_Q + POOL_REM_2_Q + POOL_M1_Q) </v>
      </c>
      <c r="I43" t="str">
        <f t="shared" si="4"/>
        <v>= (H2OPROCESSTOTAL_Q )</v>
      </c>
    </row>
    <row r="44" spans="1:9">
      <c r="A44" s="43" t="s">
        <v>1168</v>
      </c>
      <c r="B44" t="s">
        <v>1384</v>
      </c>
      <c r="C44" t="s">
        <v>1530</v>
      </c>
      <c r="D44" s="2" t="s">
        <v>0</v>
      </c>
      <c r="E44" t="s">
        <v>1662</v>
      </c>
      <c r="G44" t="str">
        <f t="shared" si="5"/>
        <v>PP51_C</v>
      </c>
      <c r="H44" t="str">
        <f t="shared" si="3"/>
        <v xml:space="preserve">=(( PP51_DI101_Q * PP51_DI101_CF + PP51_DI104_Q * PP51_DI104_CF) </v>
      </c>
      <c r="I44" t="str">
        <f t="shared" si="4"/>
        <v>= (CONCTHK21_PP51_Q * CONCTHK21_PP51_CF )</v>
      </c>
    </row>
    <row r="45" spans="1:9">
      <c r="A45" s="42" t="s">
        <v>1169</v>
      </c>
      <c r="B45" t="s">
        <v>1385</v>
      </c>
      <c r="C45" t="s">
        <v>1531</v>
      </c>
      <c r="D45" s="2" t="s">
        <v>0</v>
      </c>
      <c r="E45" t="s">
        <v>1663</v>
      </c>
      <c r="G45" t="str">
        <f t="shared" si="5"/>
        <v>PP51_M</v>
      </c>
      <c r="H45" t="str">
        <f t="shared" si="3"/>
        <v xml:space="preserve">=(( PP51_DI101_Q + PP51_DI104_Q) </v>
      </c>
      <c r="I45" t="str">
        <f t="shared" si="4"/>
        <v>= (CONCTHK21_PP51_Q )</v>
      </c>
    </row>
    <row r="46" spans="1:9">
      <c r="A46" s="42" t="s">
        <v>1170</v>
      </c>
      <c r="B46" t="s">
        <v>1386</v>
      </c>
      <c r="C46" t="s">
        <v>1532</v>
      </c>
      <c r="D46" s="2" t="s">
        <v>0</v>
      </c>
      <c r="E46" t="s">
        <v>1664</v>
      </c>
      <c r="G46" t="str">
        <f t="shared" si="5"/>
        <v>PP51_W</v>
      </c>
      <c r="H46" t="str">
        <f t="shared" si="3"/>
        <v xml:space="preserve">=(( PP51_DI104_Q * PP51_DI104_WF + PP51_DI101_Q * PP51_DI101_WF) </v>
      </c>
      <c r="I46" t="str">
        <f t="shared" si="4"/>
        <v>= (CONCTHK21_PP51_Q * CONCTHK21_PP51_WF )</v>
      </c>
    </row>
    <row r="47" spans="1:9">
      <c r="A47" s="42" t="s">
        <v>1171</v>
      </c>
      <c r="B47" t="s">
        <v>1387</v>
      </c>
      <c r="C47" t="s">
        <v>1533</v>
      </c>
      <c r="D47" s="2" t="s">
        <v>0</v>
      </c>
      <c r="E47" t="s">
        <v>1665</v>
      </c>
      <c r="G47" t="str">
        <f t="shared" si="5"/>
        <v>PP52_C</v>
      </c>
      <c r="H47" t="str">
        <f t="shared" si="3"/>
        <v xml:space="preserve">=(( PP52_DI101_Q * PP52_DI101_CF + PP52_DI104_Q * PP52_DI104_CF) </v>
      </c>
      <c r="I47" t="str">
        <f t="shared" si="4"/>
        <v>= (CONCTHK21_PP52_Q * CONCTHK21_PP52_CF )</v>
      </c>
    </row>
    <row r="48" spans="1:9">
      <c r="A48" s="42" t="s">
        <v>1172</v>
      </c>
      <c r="B48" t="s">
        <v>1388</v>
      </c>
      <c r="C48" t="s">
        <v>1534</v>
      </c>
      <c r="D48" s="2" t="s">
        <v>0</v>
      </c>
      <c r="E48" t="s">
        <v>1666</v>
      </c>
      <c r="G48" t="str">
        <f t="shared" si="5"/>
        <v>PP52_M</v>
      </c>
      <c r="H48" t="str">
        <f t="shared" si="3"/>
        <v xml:space="preserve">=(( PP52_DI101_Q + PP52_DI104_Q) </v>
      </c>
      <c r="I48" t="str">
        <f t="shared" si="4"/>
        <v>= (CONCTHK21_PP52_Q )</v>
      </c>
    </row>
    <row r="49" spans="1:9">
      <c r="A49" s="42" t="s">
        <v>1173</v>
      </c>
      <c r="B49" t="s">
        <v>1389</v>
      </c>
      <c r="C49" t="s">
        <v>1535</v>
      </c>
      <c r="D49" s="2" t="s">
        <v>0</v>
      </c>
      <c r="E49" t="s">
        <v>1667</v>
      </c>
      <c r="G49" t="str">
        <f t="shared" si="5"/>
        <v>PP52_W</v>
      </c>
      <c r="H49" t="str">
        <f t="shared" si="3"/>
        <v xml:space="preserve">=(( PP52_DI101_Q * PP52_DI101_WF + PP52_DI104_Q * PP52_DI104_WF) </v>
      </c>
      <c r="I49" t="str">
        <f t="shared" si="4"/>
        <v>= (CONCTHK21_PP52_Q * CONCTHK21_PP52_WF )</v>
      </c>
    </row>
    <row r="50" spans="1:9">
      <c r="A50" s="42" t="s">
        <v>1174</v>
      </c>
      <c r="B50" t="s">
        <v>1390</v>
      </c>
      <c r="C50" t="s">
        <v>1536</v>
      </c>
      <c r="D50" s="2" t="s">
        <v>0</v>
      </c>
      <c r="E50" t="s">
        <v>1668</v>
      </c>
      <c r="G50" t="str">
        <f t="shared" si="5"/>
        <v>PP53_C</v>
      </c>
      <c r="H50" t="str">
        <f t="shared" si="3"/>
        <v xml:space="preserve">=(( PP53_DI101_Q * PP53_DI101_CF + PP53_DI104_Q * PP53_DI104_CF) </v>
      </c>
      <c r="I50" t="str">
        <f t="shared" si="4"/>
        <v>= (CONCTHK22_PP53_Q * CONCTHK22_PP53_CF )</v>
      </c>
    </row>
    <row r="51" spans="1:9">
      <c r="A51" s="42" t="s">
        <v>1175</v>
      </c>
      <c r="B51" t="s">
        <v>1391</v>
      </c>
      <c r="C51" t="s">
        <v>1537</v>
      </c>
      <c r="D51" s="2" t="s">
        <v>0</v>
      </c>
      <c r="E51" t="s">
        <v>1669</v>
      </c>
      <c r="G51" t="str">
        <f t="shared" si="5"/>
        <v>PP53_M</v>
      </c>
      <c r="H51" t="str">
        <f t="shared" si="3"/>
        <v xml:space="preserve">=(( PP53_DI101_Q + PP53_DI104_Q) </v>
      </c>
      <c r="I51" t="str">
        <f t="shared" si="4"/>
        <v>= (CONCTHK22_PP53_Q )</v>
      </c>
    </row>
    <row r="52" spans="1:9">
      <c r="A52" s="42" t="s">
        <v>1176</v>
      </c>
      <c r="B52" t="s">
        <v>1392</v>
      </c>
      <c r="C52" t="s">
        <v>1538</v>
      </c>
      <c r="D52" s="2" t="s">
        <v>0</v>
      </c>
      <c r="E52" t="s">
        <v>1670</v>
      </c>
      <c r="G52" t="str">
        <f t="shared" si="5"/>
        <v>PP53_W</v>
      </c>
      <c r="H52" t="str">
        <f t="shared" si="3"/>
        <v xml:space="preserve">=(( PP53_DI104_Q * PP53_DI104_WF + PP53_DI101_Q * PP53_DI101_WF) </v>
      </c>
      <c r="I52" t="str">
        <f t="shared" si="4"/>
        <v>= (CONCTHK22_PP53_Q * CONCTHK22_PP53_WF )</v>
      </c>
    </row>
    <row r="53" spans="1:9">
      <c r="A53" s="42" t="s">
        <v>1177</v>
      </c>
      <c r="B53" t="s">
        <v>1393</v>
      </c>
      <c r="C53" t="s">
        <v>1539</v>
      </c>
      <c r="D53" s="2" t="s">
        <v>0</v>
      </c>
      <c r="E53" t="s">
        <v>1671</v>
      </c>
      <c r="G53" t="str">
        <f t="shared" si="5"/>
        <v>PP54_C</v>
      </c>
      <c r="H53" t="str">
        <f t="shared" si="3"/>
        <v xml:space="preserve">=(( PP54_DI101_Q * PP54_DI101_CF + PP54_DI104_Q * PP54_DI104_CF) </v>
      </c>
      <c r="I53" t="str">
        <f t="shared" si="4"/>
        <v>= (CONCTHK22_PP54_Q * CONCTHK22_PP54_CF )</v>
      </c>
    </row>
    <row r="54" spans="1:9">
      <c r="A54" s="42" t="s">
        <v>1178</v>
      </c>
      <c r="B54" t="s">
        <v>1394</v>
      </c>
      <c r="C54" t="s">
        <v>1540</v>
      </c>
      <c r="D54" s="2" t="s">
        <v>0</v>
      </c>
      <c r="E54" t="s">
        <v>1672</v>
      </c>
      <c r="G54" t="str">
        <f t="shared" si="5"/>
        <v>PP54_M</v>
      </c>
      <c r="H54" t="str">
        <f t="shared" si="3"/>
        <v xml:space="preserve">=(( PP54_DI101_Q + PP54_DI104_Q) </v>
      </c>
      <c r="I54" t="str">
        <f t="shared" si="4"/>
        <v>= (CONCTHK22_PP54_Q )</v>
      </c>
    </row>
    <row r="55" spans="1:9">
      <c r="A55" s="42" t="s">
        <v>1179</v>
      </c>
      <c r="B55" t="s">
        <v>1395</v>
      </c>
      <c r="C55" t="s">
        <v>1541</v>
      </c>
      <c r="D55" s="2" t="s">
        <v>0</v>
      </c>
      <c r="E55" t="s">
        <v>1673</v>
      </c>
      <c r="G55" t="str">
        <f t="shared" si="5"/>
        <v>PP54_W</v>
      </c>
      <c r="H55" t="str">
        <f t="shared" si="3"/>
        <v xml:space="preserve">=(( PP54_DI101_Q * PP54_DI101_WF + PP54_DI104_Q * PP54_DI104_WF) </v>
      </c>
      <c r="I55" t="str">
        <f t="shared" si="4"/>
        <v>= (CONCTHK22_PP54_Q * CONCTHK22_PP54_WF )</v>
      </c>
    </row>
    <row r="56" spans="1:9">
      <c r="A56" s="42" t="s">
        <v>1180</v>
      </c>
      <c r="B56" t="s">
        <v>1396</v>
      </c>
      <c r="C56" t="s">
        <v>1542</v>
      </c>
      <c r="D56" s="2" t="s">
        <v>0</v>
      </c>
      <c r="E56" t="s">
        <v>1674</v>
      </c>
      <c r="G56" t="str">
        <f t="shared" si="5"/>
        <v>TAILTHK6_C</v>
      </c>
      <c r="H56" t="str">
        <f t="shared" si="3"/>
        <v xml:space="preserve">=(( TAILTHK6_CLOSE_Q * TAILTHK6_CLOSE_CF + TAILTHK6_UNDERFLOW_Q * TAILTHK6_UNDERFLOW_CF) </v>
      </c>
      <c r="I56" t="str">
        <f t="shared" si="4"/>
        <v>= (TAILTHK6_OPEN_Q * TAILTHK6_OPEN_CF + DI150_TAILTHK6_Q * DI150_TAILTHK6_CF )</v>
      </c>
    </row>
    <row r="57" spans="1:9">
      <c r="A57" s="42" t="s">
        <v>1181</v>
      </c>
      <c r="B57" t="s">
        <v>1397</v>
      </c>
      <c r="C57" t="s">
        <v>1543</v>
      </c>
      <c r="D57" s="2" t="s">
        <v>0</v>
      </c>
      <c r="E57" t="s">
        <v>1675</v>
      </c>
      <c r="G57" t="str">
        <f t="shared" si="5"/>
        <v>TAILTHK6_M</v>
      </c>
      <c r="H57" t="str">
        <f t="shared" si="3"/>
        <v xml:space="preserve">=(( TAILTHK6_CLOSE_Q + TAILTHK6_UNDERFLOW_Q) </v>
      </c>
      <c r="I57" t="str">
        <f t="shared" si="4"/>
        <v>= (TAILTHK6_OPEN_Q + DI150_TAILTHK6_Q )</v>
      </c>
    </row>
    <row r="58" spans="1:9">
      <c r="A58" s="42" t="s">
        <v>1182</v>
      </c>
      <c r="B58" t="s">
        <v>1398</v>
      </c>
      <c r="C58" t="s">
        <v>1544</v>
      </c>
      <c r="D58" s="2" t="s">
        <v>0</v>
      </c>
      <c r="E58" t="s">
        <v>1676</v>
      </c>
      <c r="G58" t="str">
        <f t="shared" si="5"/>
        <v>TAILTHK6_TOTVOL_W</v>
      </c>
      <c r="H58" t="str">
        <f t="shared" si="3"/>
        <v xml:space="preserve">=(( TAILTHK6_TOTVOL_CLOSE_Q) </v>
      </c>
      <c r="I58" t="str">
        <f t="shared" si="4"/>
        <v>= (TAILTHK6_TOTVOL_OPEN_Q )</v>
      </c>
    </row>
    <row r="59" spans="1:9">
      <c r="A59" s="42" t="s">
        <v>1183</v>
      </c>
      <c r="B59" t="s">
        <v>1399</v>
      </c>
      <c r="C59" t="s">
        <v>1545</v>
      </c>
      <c r="D59" s="2" t="s">
        <v>0</v>
      </c>
      <c r="E59" t="s">
        <v>1677</v>
      </c>
      <c r="G59" t="str">
        <f t="shared" si="5"/>
        <v>TAILTHK6_W</v>
      </c>
      <c r="H59" t="str">
        <f t="shared" si="3"/>
        <v xml:space="preserve">=(( TAILTHK6_CLOSE_Q * TAILTHK6_CLOSE_WF + TAILTHK6_OVERFLOW_Q + TAILTHK6_UNDERFLOW_Q * TAILTHK6_UNDERFLOW_WF) </v>
      </c>
      <c r="I59" t="str">
        <f t="shared" si="4"/>
        <v>= (TAILTHK6_OPEN_Q * TAILTHK6_OPEN_WF + DI150_TAILTHK6_Q * DI150_TAILTHK6_WF )</v>
      </c>
    </row>
    <row r="60" spans="1:9">
      <c r="A60" s="42" t="s">
        <v>1184</v>
      </c>
      <c r="B60" t="s">
        <v>1400</v>
      </c>
      <c r="C60" t="s">
        <v>1546</v>
      </c>
      <c r="D60" s="2" t="s">
        <v>0</v>
      </c>
      <c r="E60" t="s">
        <v>1678</v>
      </c>
      <c r="G60" t="str">
        <f t="shared" si="5"/>
        <v>TAILTHK7_C</v>
      </c>
      <c r="H60" t="str">
        <f t="shared" si="3"/>
        <v xml:space="preserve">=(( TAILTHK7_CLOSE_Q * TAILTHK7_CLOSE_CF + TAILTHK7_UNDERFLOW_Q * TAILTHK7_UNDERFLOW_CF) </v>
      </c>
      <c r="I60" t="str">
        <f t="shared" si="4"/>
        <v>= (TAILTHK7_OPEN_Q * TAILTHK7_OPEN_CF + DI150_TAILTHK7_Q * DI150_TAILTHK7_CF )</v>
      </c>
    </row>
    <row r="61" spans="1:9">
      <c r="A61" s="42" t="s">
        <v>1185</v>
      </c>
      <c r="B61" t="s">
        <v>1401</v>
      </c>
      <c r="C61" t="s">
        <v>1547</v>
      </c>
      <c r="D61" s="2" t="s">
        <v>0</v>
      </c>
      <c r="E61" t="s">
        <v>1679</v>
      </c>
      <c r="G61" t="str">
        <f t="shared" si="5"/>
        <v>TAILTHK7_M</v>
      </c>
      <c r="H61" t="str">
        <f t="shared" si="3"/>
        <v xml:space="preserve">=(( TAILTHK7_CLOSE_Q + TAILTHK7_UNDERFLOW_Q) </v>
      </c>
      <c r="I61" t="str">
        <f t="shared" si="4"/>
        <v>= (TAILTHK7_OPEN_Q + DI150_TAILTHK7_Q )</v>
      </c>
    </row>
    <row r="62" spans="1:9">
      <c r="A62" s="42" t="s">
        <v>1186</v>
      </c>
      <c r="B62" t="s">
        <v>1402</v>
      </c>
      <c r="C62" t="s">
        <v>1548</v>
      </c>
      <c r="D62" s="2" t="s">
        <v>0</v>
      </c>
      <c r="E62" t="s">
        <v>1680</v>
      </c>
      <c r="G62" t="str">
        <f t="shared" si="5"/>
        <v>TAILTHK7_TOTVOL_W</v>
      </c>
      <c r="H62" t="str">
        <f t="shared" si="3"/>
        <v xml:space="preserve">=(( TAILTHK7_TOTVOL_CLOSE_Q) </v>
      </c>
      <c r="I62" t="str">
        <f t="shared" si="4"/>
        <v>= (TAILTHK7_TOTVOL_OPEN_Q )</v>
      </c>
    </row>
    <row r="63" spans="1:9">
      <c r="A63" s="42" t="s">
        <v>1187</v>
      </c>
      <c r="B63" t="s">
        <v>1403</v>
      </c>
      <c r="C63" t="s">
        <v>1549</v>
      </c>
      <c r="D63" s="2" t="s">
        <v>0</v>
      </c>
      <c r="E63" t="s">
        <v>1681</v>
      </c>
      <c r="G63" t="str">
        <f t="shared" si="5"/>
        <v>TAILTHK7_W</v>
      </c>
      <c r="H63" t="str">
        <f t="shared" si="3"/>
        <v xml:space="preserve">=(( TAILTHK7_CLOSE_Q * TAILTHK7_CLOSE_WF + TAILTHK7_OVERFLOW_Q + TAILTHK7_UNDERFLOW_Q * TAILTHK7_UNDERFLOW_WF) </v>
      </c>
      <c r="I63" t="str">
        <f t="shared" si="4"/>
        <v>= (TAILTHK7_OPEN_Q * TAILTHK7_OPEN_WF + DI150_TAILTHK7_Q * DI150_TAILTHK7_WF )</v>
      </c>
    </row>
    <row r="64" spans="1:9">
      <c r="A64" s="42" t="s">
        <v>1188</v>
      </c>
      <c r="B64" t="s">
        <v>1404</v>
      </c>
      <c r="C64" t="s">
        <v>1550</v>
      </c>
      <c r="D64" s="2" t="s">
        <v>0</v>
      </c>
      <c r="E64" t="s">
        <v>1682</v>
      </c>
      <c r="G64" t="str">
        <f t="shared" si="5"/>
        <v>TAILTHK8_C</v>
      </c>
      <c r="H64" t="str">
        <f t="shared" si="3"/>
        <v xml:space="preserve">=(( TAILTHK8_CLOSE_Q * TAILTHK8_CLOSE_CF + TAILTHK8_UNDERFLOW_Q * TAILTHK8_UNDERFLOW_CF) </v>
      </c>
      <c r="I64" t="str">
        <f t="shared" si="4"/>
        <v>= (TAILTHK8_OPEN_Q * TAILTHK8_OPEN_CF + DI150_TAILTHK8_Q * DI150_TAILTHK8_CF )</v>
      </c>
    </row>
    <row r="65" spans="1:9">
      <c r="A65" s="42" t="s">
        <v>1189</v>
      </c>
      <c r="B65" t="s">
        <v>1405</v>
      </c>
      <c r="C65" t="s">
        <v>1551</v>
      </c>
      <c r="D65" s="2" t="s">
        <v>0</v>
      </c>
      <c r="E65" t="s">
        <v>1683</v>
      </c>
      <c r="G65" t="str">
        <f t="shared" si="5"/>
        <v>TAILTHK8_M</v>
      </c>
      <c r="H65" t="str">
        <f t="shared" si="3"/>
        <v xml:space="preserve">=(( TAILTHK8_CLOSE_Q + TAILTHK8_UNDERFLOW_Q) </v>
      </c>
      <c r="I65" t="str">
        <f t="shared" si="4"/>
        <v>= (TAILTHK8_OPEN_Q + DI150_TAILTHK8_Q )</v>
      </c>
    </row>
    <row r="66" spans="1:9">
      <c r="A66" s="42" t="s">
        <v>1190</v>
      </c>
      <c r="B66" t="s">
        <v>1406</v>
      </c>
      <c r="C66" t="s">
        <v>1552</v>
      </c>
      <c r="D66" s="2" t="s">
        <v>0</v>
      </c>
      <c r="E66" t="s">
        <v>1684</v>
      </c>
      <c r="G66" t="str">
        <f t="shared" ref="G66:G91" si="6">MID(A66,1,FIND(":",A66)-1)</f>
        <v>TAILTHK8_TOTVOL_W</v>
      </c>
      <c r="H66" t="str">
        <f t="shared" si="3"/>
        <v xml:space="preserve">=(( TAILTHK8_TOTVOL_CLOSE_Q) </v>
      </c>
      <c r="I66" t="str">
        <f t="shared" si="4"/>
        <v>= (TAILTHK8_TOTVOL_OPEN_Q )</v>
      </c>
    </row>
    <row r="67" spans="1:9">
      <c r="A67" s="42" t="s">
        <v>1191</v>
      </c>
      <c r="B67" t="s">
        <v>1407</v>
      </c>
      <c r="C67" t="s">
        <v>1553</v>
      </c>
      <c r="D67" s="2" t="s">
        <v>0</v>
      </c>
      <c r="E67" t="s">
        <v>1685</v>
      </c>
      <c r="G67" t="str">
        <f t="shared" si="6"/>
        <v>TAILTHK8_W</v>
      </c>
      <c r="H67" t="str">
        <f t="shared" si="3"/>
        <v xml:space="preserve">=(( TAILTHK8_CLOSE_Q * TAILTHK8_CLOSE_WF + TAILTHK8_OVERFLOW_Q + TAILTHK8_UNDERFLOW_Q * TAILTHK8_UNDERFLOW_WF) </v>
      </c>
      <c r="I67" t="str">
        <f t="shared" si="4"/>
        <v>= (TAILTHK8_OPEN_Q * TAILTHK8_OPEN_WF + DI150_TAILTHK8_Q * DI150_TAILTHK8_WF )</v>
      </c>
    </row>
    <row r="68" spans="1:9">
      <c r="A68" s="42" t="s">
        <v>1192</v>
      </c>
      <c r="B68" t="s">
        <v>1408</v>
      </c>
      <c r="C68" t="s">
        <v>1554</v>
      </c>
      <c r="D68" s="2" t="s">
        <v>0</v>
      </c>
      <c r="E68" t="s">
        <v>1686</v>
      </c>
      <c r="G68" t="str">
        <f t="shared" si="6"/>
        <v>TAILTHK_H2OREC_W</v>
      </c>
      <c r="H68" t="str">
        <f t="shared" si="3"/>
        <v xml:space="preserve">=(( TAILTHK_OVERFLOW_Q) </v>
      </c>
      <c r="I68" t="str">
        <f t="shared" si="4"/>
        <v>= (TAILTHK7_OVERFLOW_Q + TAILTHK6_OVERFLOW_Q + TAILTHK8_OVERFLOW_Q )</v>
      </c>
    </row>
    <row r="69" spans="1:9">
      <c r="A69" s="42" t="s">
        <v>1193</v>
      </c>
      <c r="B69" t="s">
        <v>1409</v>
      </c>
      <c r="C69" t="s">
        <v>1555</v>
      </c>
      <c r="D69" s="2" t="s">
        <v>0</v>
      </c>
      <c r="E69" t="s">
        <v>1687</v>
      </c>
      <c r="G69" t="str">
        <f t="shared" si="6"/>
        <v>TANK_W</v>
      </c>
      <c r="H69" t="str">
        <f t="shared" si="3"/>
        <v xml:space="preserve">=(( TANK_CLOSE_Q + H2ODISCHARGE_Q + H2OPROCESSTOTAL_Q) </v>
      </c>
      <c r="I69" t="str">
        <f t="shared" si="4"/>
        <v>= (TANK_OPEN_Q + H2O_RECOVERED_Q + RO_TANK_Q + TK83_TANK_Q )</v>
      </c>
    </row>
    <row r="70" spans="1:9">
      <c r="A70" s="42" t="s">
        <v>1194</v>
      </c>
      <c r="B70" t="s">
        <v>1410</v>
      </c>
      <c r="C70" t="s">
        <v>1556</v>
      </c>
      <c r="D70" s="2" t="s">
        <v>0</v>
      </c>
      <c r="E70" t="s">
        <v>1688</v>
      </c>
      <c r="G70" t="str">
        <f t="shared" si="6"/>
        <v>TK10_W</v>
      </c>
      <c r="H70" t="str">
        <f t="shared" si="3"/>
        <v xml:space="preserve">=(( TK10_TK11_Q) </v>
      </c>
      <c r="I70" t="str">
        <f t="shared" si="4"/>
        <v>= (POND_RECVR_Q )</v>
      </c>
    </row>
    <row r="71" spans="1:9">
      <c r="A71" s="42" t="s">
        <v>1195</v>
      </c>
      <c r="B71" t="s">
        <v>1411</v>
      </c>
      <c r="C71" t="s">
        <v>1557</v>
      </c>
      <c r="D71" s="2" t="s">
        <v>0</v>
      </c>
      <c r="E71" t="s">
        <v>1689</v>
      </c>
      <c r="G71" t="str">
        <f t="shared" si="6"/>
        <v>TK11_W</v>
      </c>
      <c r="H71" t="str">
        <f t="shared" si="3"/>
        <v xml:space="preserve">=(( H2O_RECOVERED_Q) </v>
      </c>
      <c r="I71" t="str">
        <f t="shared" si="4"/>
        <v>= (TK10_TK11_Q + CONCTHK_OVERFLOW_Q + TAILTHK_OVERFLOW_Q )</v>
      </c>
    </row>
    <row r="72" spans="1:9">
      <c r="A72" s="42" t="s">
        <v>1196</v>
      </c>
      <c r="B72" t="s">
        <v>1412</v>
      </c>
      <c r="C72" t="s">
        <v>1558</v>
      </c>
      <c r="D72" s="2" t="s">
        <v>0</v>
      </c>
      <c r="E72" t="s">
        <v>1690</v>
      </c>
      <c r="G72" t="str">
        <f t="shared" si="6"/>
        <v>TK140_C</v>
      </c>
      <c r="H72" t="str">
        <f t="shared" si="3"/>
        <v xml:space="preserve">=(( TK140_TK165_Q * TK140_TK165_CF) </v>
      </c>
      <c r="I72" t="str">
        <f t="shared" si="4"/>
        <v>= (TAILTHK8_UNDERFLOW_Q * TAILTHK8_UNDERFLOW_CF + TAILTHK7_UNDERFLOW_Q * TAILTHK7_UNDERFLOW_CF )</v>
      </c>
    </row>
    <row r="73" spans="1:9">
      <c r="A73" s="42" t="s">
        <v>1197</v>
      </c>
      <c r="B73" t="s">
        <v>1413</v>
      </c>
      <c r="C73" t="s">
        <v>1559</v>
      </c>
      <c r="D73" s="2" t="s">
        <v>0</v>
      </c>
      <c r="E73" t="s">
        <v>1691</v>
      </c>
      <c r="G73" t="str">
        <f t="shared" si="6"/>
        <v>TK140_M</v>
      </c>
      <c r="H73" t="str">
        <f t="shared" ref="H73:H136" si="7">"="&amp;MID(A73,FIND(": (",A73)+2,FIND("=",A73)-FIND(": (",A73)-2)</f>
        <v xml:space="preserve">=(( TK140_TK165_Q) </v>
      </c>
      <c r="I73" t="str">
        <f t="shared" ref="I73:I136" si="8">"="&amp;MID(A73,FIND("=",A73)+1,LEN(A73)-FIND("=",A73)-2)</f>
        <v>= (TAILTHK7_UNDERFLOW_Q + TAILTHK8_UNDERFLOW_Q )</v>
      </c>
    </row>
    <row r="74" spans="1:9">
      <c r="A74" s="42" t="s">
        <v>1198</v>
      </c>
      <c r="B74" t="s">
        <v>1414</v>
      </c>
      <c r="C74" t="s">
        <v>1560</v>
      </c>
      <c r="D74" s="2" t="s">
        <v>0</v>
      </c>
      <c r="E74" t="s">
        <v>1692</v>
      </c>
      <c r="G74" t="str">
        <f t="shared" si="6"/>
        <v>TK140_W</v>
      </c>
      <c r="H74" t="str">
        <f t="shared" si="7"/>
        <v xml:space="preserve">=(( TK140_TK165_Q * TK140_TK165_WF) </v>
      </c>
      <c r="I74" t="str">
        <f t="shared" si="8"/>
        <v>= (TAILTHK7_UNDERFLOW_Q * TAILTHK7_UNDERFLOW_WF + TAILTHK8_UNDERFLOW_Q * TAILTHK8_UNDERFLOW_WF )</v>
      </c>
    </row>
    <row r="75" spans="1:9">
      <c r="A75" s="42" t="s">
        <v>1199</v>
      </c>
      <c r="B75" t="s">
        <v>1415</v>
      </c>
      <c r="C75" t="s">
        <v>1561</v>
      </c>
      <c r="D75" s="2" t="s">
        <v>0</v>
      </c>
      <c r="E75" t="s">
        <v>1693</v>
      </c>
      <c r="G75" t="str">
        <f t="shared" si="6"/>
        <v>TK165_C</v>
      </c>
      <c r="H75" t="str">
        <f t="shared" si="7"/>
        <v xml:space="preserve">=(( TAILPOND_Q * TAILPOND_CF) </v>
      </c>
      <c r="I75" t="str">
        <f t="shared" si="8"/>
        <v>= (TAILTHK6_UNDERFLOW_Q * TAILTHK6_UNDERFLOW_CF + TK140_TK165_Q * TK140_TK165_CF )</v>
      </c>
    </row>
    <row r="76" spans="1:9">
      <c r="A76" s="42" t="s">
        <v>1200</v>
      </c>
      <c r="B76" t="s">
        <v>1416</v>
      </c>
      <c r="C76" t="s">
        <v>1562</v>
      </c>
      <c r="D76" s="2" t="s">
        <v>0</v>
      </c>
      <c r="E76" t="s">
        <v>1694</v>
      </c>
      <c r="G76" t="str">
        <f t="shared" si="6"/>
        <v>TK165_M</v>
      </c>
      <c r="H76" t="str">
        <f t="shared" si="7"/>
        <v xml:space="preserve">=(( TAILPOND_Q) </v>
      </c>
      <c r="I76" t="str">
        <f t="shared" si="8"/>
        <v>= (TAILTHK6_UNDERFLOW_Q + TK140_TK165_Q )</v>
      </c>
    </row>
    <row r="77" spans="1:9">
      <c r="A77" s="42" t="s">
        <v>1201</v>
      </c>
      <c r="B77" t="s">
        <v>1417</v>
      </c>
      <c r="C77" t="s">
        <v>1563</v>
      </c>
      <c r="D77" s="2" t="s">
        <v>0</v>
      </c>
      <c r="E77" t="s">
        <v>1695</v>
      </c>
      <c r="G77" t="str">
        <f t="shared" si="6"/>
        <v>TK165_W</v>
      </c>
      <c r="H77" t="str">
        <f t="shared" si="7"/>
        <v xml:space="preserve">=(( TAILPOND_Q * TAILPOND_WF) </v>
      </c>
      <c r="I77" t="str">
        <f t="shared" si="8"/>
        <v>= (TAILTHK6_UNDERFLOW_Q * TAILTHK6_UNDERFLOW_WF + TK140_TK165_Q * TK140_TK165_WF )</v>
      </c>
    </row>
    <row r="78" spans="1:9">
      <c r="A78" s="42" t="s">
        <v>1202</v>
      </c>
      <c r="B78" t="s">
        <v>1418</v>
      </c>
      <c r="C78" t="s">
        <v>1564</v>
      </c>
      <c r="D78" s="2" t="s">
        <v>0</v>
      </c>
      <c r="E78" t="s">
        <v>1696</v>
      </c>
      <c r="G78" t="str">
        <f t="shared" si="6"/>
        <v>TK23_C</v>
      </c>
      <c r="H78" t="str">
        <f t="shared" si="7"/>
        <v xml:space="preserve">=(( TK23_CLOSE_Q * TK23_CLOSE_CF + TK23_DI105_Q * TK23_DI105_CF) </v>
      </c>
      <c r="I78" t="str">
        <f t="shared" si="8"/>
        <v>= (TK23_OPEN_Q * TK23_OPEN_CF + CONCTHK_TK23_Q * CONCTHK_TK23_CF )</v>
      </c>
    </row>
    <row r="79" spans="1:9">
      <c r="A79" s="42" t="s">
        <v>1203</v>
      </c>
      <c r="B79" t="s">
        <v>1419</v>
      </c>
      <c r="C79" t="s">
        <v>1565</v>
      </c>
      <c r="D79" s="2" t="s">
        <v>0</v>
      </c>
      <c r="E79" t="s">
        <v>1697</v>
      </c>
      <c r="G79" t="str">
        <f t="shared" si="6"/>
        <v>TK23_M</v>
      </c>
      <c r="H79" t="str">
        <f t="shared" si="7"/>
        <v xml:space="preserve">=(( TK23_CLOSE_Q + TK23_DI105_Q) </v>
      </c>
      <c r="I79" t="str">
        <f t="shared" si="8"/>
        <v>= (TK23_OPEN_Q + CONCTHK_TK23_Q )</v>
      </c>
    </row>
    <row r="80" spans="1:9">
      <c r="A80" s="42" t="s">
        <v>1204</v>
      </c>
      <c r="B80" t="s">
        <v>1420</v>
      </c>
      <c r="C80" t="s">
        <v>1566</v>
      </c>
      <c r="D80" s="2" t="s">
        <v>0</v>
      </c>
      <c r="E80" t="s">
        <v>1698</v>
      </c>
      <c r="G80" t="str">
        <f t="shared" si="6"/>
        <v>TK23_W</v>
      </c>
      <c r="H80" t="str">
        <f t="shared" si="7"/>
        <v xml:space="preserve">=(( TK23_CLOSE_Q * TK23_CLOSE_WF + TK23_DI105_Q * TK23_DI105_WF) </v>
      </c>
      <c r="I80" t="str">
        <f t="shared" si="8"/>
        <v>= (TK23_OPEN_Q * TK23_OPEN_WF + CONCTHK_TK23_Q * CONCTHK_TK23_WF )</v>
      </c>
    </row>
    <row r="81" spans="1:9">
      <c r="A81" s="42" t="s">
        <v>1205</v>
      </c>
      <c r="B81" t="s">
        <v>1421</v>
      </c>
      <c r="C81" t="s">
        <v>1567</v>
      </c>
      <c r="D81" s="2" t="s">
        <v>0</v>
      </c>
      <c r="E81" t="s">
        <v>1699</v>
      </c>
      <c r="G81" t="str">
        <f t="shared" si="6"/>
        <v>TK24_C</v>
      </c>
      <c r="H81" t="str">
        <f t="shared" si="7"/>
        <v xml:space="preserve">=(( TK24_CLOSE_Q * TK24_CLOSE_CF + TK24_DI105_Q * TK24_DI105_CF) </v>
      </c>
      <c r="I81" t="str">
        <f t="shared" si="8"/>
        <v>= (TK24_OPEN_Q * TK24_OPEN_CF + CONCTHK_TK24_Q * CONCTHK_TK24_CF )</v>
      </c>
    </row>
    <row r="82" spans="1:9">
      <c r="A82" s="42" t="s">
        <v>1206</v>
      </c>
      <c r="B82" t="s">
        <v>1422</v>
      </c>
      <c r="C82" t="s">
        <v>1568</v>
      </c>
      <c r="D82" s="2" t="s">
        <v>0</v>
      </c>
      <c r="E82" t="s">
        <v>1700</v>
      </c>
      <c r="G82" t="str">
        <f t="shared" si="6"/>
        <v>TK24_M</v>
      </c>
      <c r="H82" t="str">
        <f t="shared" si="7"/>
        <v xml:space="preserve">=(( TK24_CLOSE_Q + TK24_DI105_Q) </v>
      </c>
      <c r="I82" t="str">
        <f t="shared" si="8"/>
        <v>= (TK24_OPEN_Q + CONCTHK_TK24_Q )</v>
      </c>
    </row>
    <row r="83" spans="1:9">
      <c r="A83" s="42" t="s">
        <v>1207</v>
      </c>
      <c r="B83" t="s">
        <v>1423</v>
      </c>
      <c r="C83" t="s">
        <v>1569</v>
      </c>
      <c r="D83" s="2" t="s">
        <v>0</v>
      </c>
      <c r="E83" t="s">
        <v>1701</v>
      </c>
      <c r="G83" t="str">
        <f t="shared" si="6"/>
        <v>TK24_W</v>
      </c>
      <c r="H83" t="str">
        <f t="shared" si="7"/>
        <v xml:space="preserve">=(( TK24_CLOSE_Q * TK24_CLOSE_WF + TK24_DI105_Q * TK24_DI105_WF) </v>
      </c>
      <c r="I83" t="str">
        <f t="shared" si="8"/>
        <v>= (TK24_OPEN_Q * TK24_OPEN_WF + CONCTHK_TK24_Q * CONCTHK_TK24_WF )</v>
      </c>
    </row>
    <row r="84" spans="1:9">
      <c r="A84" s="42" t="s">
        <v>1208</v>
      </c>
      <c r="B84" t="s">
        <v>1424</v>
      </c>
      <c r="C84" t="s">
        <v>1570</v>
      </c>
      <c r="D84" s="2" t="s">
        <v>0</v>
      </c>
      <c r="E84" t="s">
        <v>1702</v>
      </c>
      <c r="G84" t="str">
        <f t="shared" si="6"/>
        <v>TK25_C</v>
      </c>
      <c r="H84" t="str">
        <f t="shared" si="7"/>
        <v xml:space="preserve">=(( TK25_CLOSE_Q * TK25_CLOSE_CF + TK25_DI105_Q * TK25_DI105_CF) </v>
      </c>
      <c r="I84" t="str">
        <f t="shared" si="8"/>
        <v>= (TK25_OPEN_Q * TK25_OPEN_CF + CONCTHK_TK25_Q * CONCTHK_TK25_CF )</v>
      </c>
    </row>
    <row r="85" spans="1:9">
      <c r="A85" s="42" t="s">
        <v>1209</v>
      </c>
      <c r="B85" t="s">
        <v>1425</v>
      </c>
      <c r="C85" t="s">
        <v>1571</v>
      </c>
      <c r="D85" s="2" t="s">
        <v>0</v>
      </c>
      <c r="E85" t="s">
        <v>1703</v>
      </c>
      <c r="G85" t="str">
        <f t="shared" si="6"/>
        <v>TK25_M</v>
      </c>
      <c r="H85" t="str">
        <f t="shared" si="7"/>
        <v xml:space="preserve">=(( TK25_CLOSE_Q + TK25_DI105_Q) </v>
      </c>
      <c r="I85" t="str">
        <f t="shared" si="8"/>
        <v>= (TK25_OPEN_Q + CONCTHK_TK25_Q )</v>
      </c>
    </row>
    <row r="86" spans="1:9">
      <c r="A86" s="42" t="s">
        <v>1210</v>
      </c>
      <c r="B86" t="s">
        <v>1426</v>
      </c>
      <c r="C86" t="s">
        <v>1572</v>
      </c>
      <c r="D86" s="2" t="s">
        <v>0</v>
      </c>
      <c r="E86" t="s">
        <v>1704</v>
      </c>
      <c r="G86" t="str">
        <f t="shared" si="6"/>
        <v>TK25_W</v>
      </c>
      <c r="H86" t="str">
        <f t="shared" si="7"/>
        <v xml:space="preserve">=(( TK25_CLOSE_Q * TK25_CLOSE_WF + TK25_DI105_Q * TK25_DI105_WF) </v>
      </c>
      <c r="I86" t="str">
        <f t="shared" si="8"/>
        <v>= (TK25_OPEN_Q * TK25_OPEN_WF + CONCTHK_TK25_Q * CONCTHK_TK25_WF )</v>
      </c>
    </row>
    <row r="87" spans="1:9">
      <c r="A87" s="42" t="s">
        <v>1211</v>
      </c>
      <c r="B87" t="s">
        <v>1427</v>
      </c>
      <c r="C87" t="s">
        <v>1573</v>
      </c>
      <c r="D87" s="2" t="s">
        <v>0</v>
      </c>
      <c r="E87" t="s">
        <v>1705</v>
      </c>
      <c r="G87" t="str">
        <f t="shared" si="6"/>
        <v>TK26_C</v>
      </c>
      <c r="H87" t="str">
        <f t="shared" si="7"/>
        <v xml:space="preserve">=(( TK26_CLOSE_Q * TK26_CLOSE_CF + TK26_DI105_Q * TK26_DI105_CF) </v>
      </c>
      <c r="I87" t="str">
        <f t="shared" si="8"/>
        <v>= (TK26_OPEN_Q * TK26_OPEN_CF + CONCTHK_TK26_Q * CONCTHK_TK26_CF )</v>
      </c>
    </row>
    <row r="88" spans="1:9">
      <c r="A88" s="42" t="s">
        <v>1212</v>
      </c>
      <c r="B88" t="s">
        <v>1428</v>
      </c>
      <c r="C88" t="s">
        <v>1574</v>
      </c>
      <c r="D88" s="2" t="s">
        <v>0</v>
      </c>
      <c r="E88" t="s">
        <v>1706</v>
      </c>
      <c r="G88" t="str">
        <f t="shared" si="6"/>
        <v>TK26_M</v>
      </c>
      <c r="H88" t="str">
        <f t="shared" si="7"/>
        <v xml:space="preserve">=(( TK26_CLOSE_Q + TK26_DI105_Q) </v>
      </c>
      <c r="I88" t="str">
        <f t="shared" si="8"/>
        <v>= (TK26_OPEN_Q + CONCTHK_TK26_Q )</v>
      </c>
    </row>
    <row r="89" spans="1:9">
      <c r="A89" s="42" t="s">
        <v>1213</v>
      </c>
      <c r="B89" t="s">
        <v>1429</v>
      </c>
      <c r="C89" t="s">
        <v>1575</v>
      </c>
      <c r="D89" s="2" t="s">
        <v>0</v>
      </c>
      <c r="E89" t="s">
        <v>1707</v>
      </c>
      <c r="G89" t="str">
        <f t="shared" si="6"/>
        <v>TK26_W</v>
      </c>
      <c r="H89" t="str">
        <f t="shared" si="7"/>
        <v xml:space="preserve">=(( TK26_CLOSE_Q * TK26_CLOSE_WF + TK26_DI105_Q * TK26_DI105_WF) </v>
      </c>
      <c r="I89" t="str">
        <f t="shared" si="8"/>
        <v>= (TK26_OPEN_Q * TK26_OPEN_WF + CONCTHK_TK26_Q * CONCTHK_TK26_WF )</v>
      </c>
    </row>
    <row r="90" spans="1:9">
      <c r="A90" s="43" t="s">
        <v>1214</v>
      </c>
      <c r="B90" t="s">
        <v>1430</v>
      </c>
      <c r="C90" t="s">
        <v>1576</v>
      </c>
      <c r="D90" s="2" t="s">
        <v>0</v>
      </c>
      <c r="E90" t="s">
        <v>1708</v>
      </c>
      <c r="G90" t="str">
        <f t="shared" si="6"/>
        <v>TK83_H2OSEAL_W</v>
      </c>
      <c r="H90" t="str">
        <f t="shared" si="7"/>
        <v xml:space="preserve">=(( H2OSEAL_DI30_Q + TK83_D25_Q + TK83_MB2_Q + H2OSEAL_REM_1_Q + TK83_D20_Q + TK83_MB3_Q + TK83_MB1_Q + H2OSEAL_REM_2_Q + H2OSEAL_1CLN_Q) </v>
      </c>
      <c r="I90" t="str">
        <f t="shared" si="8"/>
        <v>= (H2OSEAL_Q )</v>
      </c>
    </row>
    <row r="91" spans="1:9">
      <c r="A91" s="43" t="s">
        <v>1215</v>
      </c>
      <c r="B91" t="s">
        <v>1431</v>
      </c>
      <c r="C91" t="s">
        <v>1577</v>
      </c>
      <c r="D91" s="2" t="s">
        <v>0</v>
      </c>
      <c r="E91" t="s">
        <v>1709</v>
      </c>
      <c r="G91" t="str">
        <f t="shared" si="6"/>
        <v>TK83_W</v>
      </c>
      <c r="H91" t="str">
        <f t="shared" si="7"/>
        <v xml:space="preserve">=(( TK83_CLOSE_Q + TK83_CHIL_Q + H2OSEAL_Q + PLANTA_RO_FEED_Q + TK83_TANK_Q) </v>
      </c>
      <c r="I91" t="str">
        <f t="shared" si="8"/>
        <v>= (TK83_OPEN_Q + H2OFRESH_TK83_Q )</v>
      </c>
    </row>
    <row r="92" spans="1:9">
      <c r="A92" s="43"/>
      <c r="D92" s="2"/>
    </row>
    <row r="93" spans="1:9">
      <c r="A93" s="42" t="s">
        <v>1216</v>
      </c>
      <c r="B93" t="s">
        <v>1432</v>
      </c>
      <c r="C93" t="s">
        <v>1578</v>
      </c>
      <c r="D93" s="2" t="s">
        <v>0</v>
      </c>
      <c r="E93" t="s">
        <v>1710</v>
      </c>
      <c r="G93" t="str">
        <f t="shared" ref="G93:G124" si="9">MID(A93,1,FIND(":",A93)-1)</f>
        <v>CONCTHK21_Constant_Volume_866</v>
      </c>
      <c r="H93" t="str">
        <f t="shared" si="7"/>
        <v xml:space="preserve">=(( ( CONCTHK21_TOTVOL_CLOSE_Q  )) </v>
      </c>
      <c r="I93" t="str">
        <f t="shared" si="8"/>
        <v>= (( .239 * CONCTHK21_CLOSE_Q  + CONCTHK21_CLOSE_Q * CONCTHK21_CLOSE_WF ) )</v>
      </c>
    </row>
    <row r="94" spans="1:9">
      <c r="A94" s="42" t="s">
        <v>1217</v>
      </c>
      <c r="B94" t="s">
        <v>1433</v>
      </c>
      <c r="C94" t="s">
        <v>1579</v>
      </c>
      <c r="D94" s="2" t="s">
        <v>0</v>
      </c>
      <c r="E94" t="s">
        <v>1711</v>
      </c>
      <c r="G94" t="str">
        <f t="shared" si="9"/>
        <v>CONCTHK21_splitter_to_PP51_868</v>
      </c>
      <c r="H94" t="str">
        <f t="shared" si="7"/>
        <v xml:space="preserve">=(( ( 500 * CONCTHK21_OPEN_CF + 500 * CONCTHK21_CLOSE_CF )) </v>
      </c>
      <c r="I94" t="str">
        <f t="shared" si="8"/>
        <v>= (( 1000 * CONCTHK21_PP51_CF ) )</v>
      </c>
    </row>
    <row r="95" spans="1:9">
      <c r="A95" s="42" t="s">
        <v>1218</v>
      </c>
      <c r="B95" t="s">
        <v>1434</v>
      </c>
      <c r="C95" t="s">
        <v>1580</v>
      </c>
      <c r="D95" s="2" t="s">
        <v>0</v>
      </c>
      <c r="E95" t="s">
        <v>1712</v>
      </c>
      <c r="G95" t="str">
        <f t="shared" si="9"/>
        <v>CONCTHK21_splitter_to_PP52_869</v>
      </c>
      <c r="H95" t="str">
        <f t="shared" si="7"/>
        <v xml:space="preserve">=(( ( 500 * CONCTHK21_CLOSE_CF + 500 * CONCTHK21_OPEN_CF )) </v>
      </c>
      <c r="I95" t="str">
        <f t="shared" si="8"/>
        <v>= (( 1000 * CONCTHK21_PP52_CF ) )</v>
      </c>
    </row>
    <row r="96" spans="1:9">
      <c r="A96" s="42" t="s">
        <v>1219</v>
      </c>
      <c r="B96" t="s">
        <v>1435</v>
      </c>
      <c r="C96" t="s">
        <v>1581</v>
      </c>
      <c r="D96" s="2" t="s">
        <v>0</v>
      </c>
      <c r="E96" t="s">
        <v>1713</v>
      </c>
      <c r="G96" t="str">
        <f t="shared" si="9"/>
        <v>CONCTHK22_Constant_Volume_867</v>
      </c>
      <c r="H96" t="str">
        <f t="shared" si="7"/>
        <v xml:space="preserve">=(( ( CONCTHK22_TOTVOL_CLOSE_Q  )) </v>
      </c>
      <c r="I96" t="str">
        <f t="shared" si="8"/>
        <v>= (( CONCTHK22_CLOSE_Q * CONCTHK22_CLOSE_WF + .239 * CONCTHK22_CLOSE_Q  ) )</v>
      </c>
    </row>
    <row r="97" spans="1:9">
      <c r="A97" s="42" t="s">
        <v>1220</v>
      </c>
      <c r="B97" t="s">
        <v>1436</v>
      </c>
      <c r="C97" t="s">
        <v>1582</v>
      </c>
      <c r="D97" s="2" t="s">
        <v>0</v>
      </c>
      <c r="E97" t="s">
        <v>1714</v>
      </c>
      <c r="G97" t="str">
        <f t="shared" si="9"/>
        <v>CONCTHK22_splitter_to_PP53_870</v>
      </c>
      <c r="H97" t="str">
        <f t="shared" si="7"/>
        <v xml:space="preserve">=(( ( 500 * CONCTHK22_OPEN_CF + 500 * CONCTHK22_CLOSE_CF )) </v>
      </c>
      <c r="I97" t="str">
        <f t="shared" si="8"/>
        <v>= (( 1000 * CONCTHK22_PP53_CF ) )</v>
      </c>
    </row>
    <row r="98" spans="1:9">
      <c r="A98" s="42" t="s">
        <v>1221</v>
      </c>
      <c r="B98" t="s">
        <v>1437</v>
      </c>
      <c r="C98" t="s">
        <v>1583</v>
      </c>
      <c r="D98" s="2" t="s">
        <v>0</v>
      </c>
      <c r="E98" t="s">
        <v>1715</v>
      </c>
      <c r="G98" t="str">
        <f t="shared" si="9"/>
        <v>CONCTHK22_splitter_to_PP54_871</v>
      </c>
      <c r="H98" t="str">
        <f t="shared" si="7"/>
        <v xml:space="preserve">=(( ( 500 * CONCTHK22_CLOSE_CF + 500 * CONCTHK22_OPEN_CF )) </v>
      </c>
      <c r="I98" t="str">
        <f t="shared" si="8"/>
        <v>= (( 1000 * CONCTHK22_PP54_CF ) )</v>
      </c>
    </row>
    <row r="99" spans="1:9">
      <c r="A99" s="42" t="s">
        <v>1222</v>
      </c>
      <c r="B99" t="s">
        <v>1438</v>
      </c>
      <c r="C99" t="s">
        <v>1584</v>
      </c>
      <c r="D99" s="2" t="s">
        <v>0</v>
      </c>
      <c r="E99" t="s">
        <v>1716</v>
      </c>
      <c r="G99" t="str">
        <f t="shared" si="9"/>
        <v>DI101_CU_Splitter_to_CONCTHK21_859</v>
      </c>
      <c r="H99" t="str">
        <f t="shared" si="7"/>
        <v xml:space="preserve">=(( ( 10000 * DI101_CONCTHK21_CF )) </v>
      </c>
      <c r="I99" t="str">
        <f t="shared" si="8"/>
        <v>= (( 10000 * DI101_TOTAL_CF ) )</v>
      </c>
    </row>
    <row r="100" spans="1:9">
      <c r="A100" s="42" t="s">
        <v>1223</v>
      </c>
      <c r="B100" t="s">
        <v>1439</v>
      </c>
      <c r="C100" t="s">
        <v>1585</v>
      </c>
      <c r="D100" s="2" t="s">
        <v>0</v>
      </c>
      <c r="E100" t="s">
        <v>1716</v>
      </c>
      <c r="G100" t="str">
        <f t="shared" si="9"/>
        <v>DI101_CU_Splitter_to_CONCTHK22_860</v>
      </c>
      <c r="H100" t="str">
        <f t="shared" si="7"/>
        <v xml:space="preserve">=(( ( 10000 * DI101_CONCTHK22_CF )) </v>
      </c>
      <c r="I100" t="str">
        <f t="shared" si="8"/>
        <v>= (( 10000 * DI101_TOTAL_CF ) )</v>
      </c>
    </row>
    <row r="101" spans="1:9">
      <c r="A101" s="42" t="s">
        <v>1224</v>
      </c>
      <c r="B101" t="s">
        <v>1440</v>
      </c>
      <c r="C101" t="s">
        <v>1586</v>
      </c>
      <c r="D101" s="2" t="s">
        <v>0</v>
      </c>
      <c r="E101" t="s">
        <v>1717</v>
      </c>
      <c r="G101" t="str">
        <f t="shared" si="9"/>
        <v>DI101_H2O_Splitter_to_CONCTHK21_861</v>
      </c>
      <c r="H101" t="str">
        <f t="shared" si="7"/>
        <v xml:space="preserve">=(( ( 10000 * DI101_CONCTHK21_WF )) </v>
      </c>
      <c r="I101" t="str">
        <f t="shared" si="8"/>
        <v>= (( 10000 * DI101_TOTAL_WF ) )</v>
      </c>
    </row>
    <row r="102" spans="1:9">
      <c r="A102" s="42" t="s">
        <v>1225</v>
      </c>
      <c r="B102" t="s">
        <v>1441</v>
      </c>
      <c r="C102" t="s">
        <v>1587</v>
      </c>
      <c r="D102" s="2" t="s">
        <v>0</v>
      </c>
      <c r="E102" t="s">
        <v>1717</v>
      </c>
      <c r="G102" t="str">
        <f t="shared" si="9"/>
        <v>DI101_H2O_Splitter_to_CONCTHK22_862</v>
      </c>
      <c r="H102" t="str">
        <f t="shared" si="7"/>
        <v xml:space="preserve">=(( ( 10000 * DI101_CONCTHK22_WF )) </v>
      </c>
      <c r="I102" t="str">
        <f t="shared" si="8"/>
        <v>= (( 10000 * DI101_TOTAL_WF ) )</v>
      </c>
    </row>
    <row r="103" spans="1:9">
      <c r="A103" s="42" t="s">
        <v>1226</v>
      </c>
      <c r="B103" t="s">
        <v>1442</v>
      </c>
      <c r="C103" t="s">
        <v>1588</v>
      </c>
      <c r="D103" s="2" t="s">
        <v>0</v>
      </c>
      <c r="E103" t="s">
        <v>1718</v>
      </c>
      <c r="G103" t="str">
        <f t="shared" si="9"/>
        <v>DI104T_Splitter_to_TK23_888</v>
      </c>
      <c r="H103" t="str">
        <f t="shared" si="7"/>
        <v xml:space="preserve">=(( ( 1000 * CONCTHK_TKC_CF )) </v>
      </c>
      <c r="I103" t="str">
        <f t="shared" si="8"/>
        <v>= (( 1000 * CONCTHK_TK23_CF ) )</v>
      </c>
    </row>
    <row r="104" spans="1:9">
      <c r="A104" s="42" t="s">
        <v>1227</v>
      </c>
      <c r="B104" t="s">
        <v>1443</v>
      </c>
      <c r="C104" t="s">
        <v>1589</v>
      </c>
      <c r="D104" s="2" t="s">
        <v>0</v>
      </c>
      <c r="E104" t="s">
        <v>1719</v>
      </c>
      <c r="G104" t="str">
        <f t="shared" si="9"/>
        <v>DI104T_Splitter_to_TK23_892</v>
      </c>
      <c r="H104" t="str">
        <f t="shared" si="7"/>
        <v xml:space="preserve">=(( ( 1000 * CONCTHK_TKC_WF )) </v>
      </c>
      <c r="I104" t="str">
        <f t="shared" si="8"/>
        <v>= (( 1000 * CONCTHK_TK23_WF ) )</v>
      </c>
    </row>
    <row r="105" spans="1:9">
      <c r="A105" s="42" t="s">
        <v>1228</v>
      </c>
      <c r="B105" t="s">
        <v>1444</v>
      </c>
      <c r="C105" t="s">
        <v>1588</v>
      </c>
      <c r="D105" s="2" t="s">
        <v>0</v>
      </c>
      <c r="E105" t="s">
        <v>1720</v>
      </c>
      <c r="G105" t="str">
        <f t="shared" si="9"/>
        <v>DI104T_Splitter_to_TK24_889</v>
      </c>
      <c r="H105" t="str">
        <f t="shared" si="7"/>
        <v xml:space="preserve">=(( ( 1000 * CONCTHK_TKC_CF )) </v>
      </c>
      <c r="I105" t="str">
        <f t="shared" si="8"/>
        <v>= (( 1000 * CONCTHK_TK24_CF ) )</v>
      </c>
    </row>
    <row r="106" spans="1:9">
      <c r="A106" s="42" t="s">
        <v>1229</v>
      </c>
      <c r="B106" t="s">
        <v>1445</v>
      </c>
      <c r="C106" t="s">
        <v>1589</v>
      </c>
      <c r="D106" s="2" t="s">
        <v>0</v>
      </c>
      <c r="E106" t="s">
        <v>1721</v>
      </c>
      <c r="G106" t="str">
        <f t="shared" si="9"/>
        <v>DI104T_Splitter_to_TK24_893</v>
      </c>
      <c r="H106" t="str">
        <f t="shared" si="7"/>
        <v xml:space="preserve">=(( ( 1000 * CONCTHK_TKC_WF )) </v>
      </c>
      <c r="I106" t="str">
        <f t="shared" si="8"/>
        <v>= (( 1000 * CONCTHK_TK24_WF ) )</v>
      </c>
    </row>
    <row r="107" spans="1:9">
      <c r="A107" s="42" t="s">
        <v>1230</v>
      </c>
      <c r="B107" t="s">
        <v>1446</v>
      </c>
      <c r="C107" t="s">
        <v>1588</v>
      </c>
      <c r="D107" s="2" t="s">
        <v>0</v>
      </c>
      <c r="E107" t="s">
        <v>1722</v>
      </c>
      <c r="G107" t="str">
        <f t="shared" si="9"/>
        <v>DI104T_Splitter_to_TK25_890</v>
      </c>
      <c r="H107" t="str">
        <f t="shared" si="7"/>
        <v xml:space="preserve">=(( ( 1000 * CONCTHK_TKC_CF )) </v>
      </c>
      <c r="I107" t="str">
        <f t="shared" si="8"/>
        <v>= (( 1000 * CONCTHK_TK25_CF ) )</v>
      </c>
    </row>
    <row r="108" spans="1:9">
      <c r="A108" s="42" t="s">
        <v>1231</v>
      </c>
      <c r="B108" t="s">
        <v>1447</v>
      </c>
      <c r="C108" t="s">
        <v>1589</v>
      </c>
      <c r="D108" s="2" t="s">
        <v>0</v>
      </c>
      <c r="E108" t="s">
        <v>1723</v>
      </c>
      <c r="G108" t="str">
        <f t="shared" si="9"/>
        <v>DI104T_Splitter_to_TK25_894</v>
      </c>
      <c r="H108" t="str">
        <f t="shared" si="7"/>
        <v xml:space="preserve">=(( ( 1000 * CONCTHK_TKC_WF )) </v>
      </c>
      <c r="I108" t="str">
        <f t="shared" si="8"/>
        <v>= (( 1000 * CONCTHK_TK25_WF ) )</v>
      </c>
    </row>
    <row r="109" spans="1:9">
      <c r="A109" s="42" t="s">
        <v>1232</v>
      </c>
      <c r="B109" t="s">
        <v>1448</v>
      </c>
      <c r="C109" t="s">
        <v>1588</v>
      </c>
      <c r="D109" s="2" t="s">
        <v>0</v>
      </c>
      <c r="E109" t="s">
        <v>1724</v>
      </c>
      <c r="G109" t="str">
        <f t="shared" si="9"/>
        <v>DI104T_Splitter_to_TK26_891</v>
      </c>
      <c r="H109" t="str">
        <f t="shared" si="7"/>
        <v xml:space="preserve">=(( ( 1000 * CONCTHK_TKC_CF )) </v>
      </c>
      <c r="I109" t="str">
        <f t="shared" si="8"/>
        <v>= (( 1000 * CONCTHK_TK26_CF ) )</v>
      </c>
    </row>
    <row r="110" spans="1:9">
      <c r="A110" s="42" t="s">
        <v>1233</v>
      </c>
      <c r="B110" t="s">
        <v>1449</v>
      </c>
      <c r="C110" t="s">
        <v>1589</v>
      </c>
      <c r="D110" s="2" t="s">
        <v>0</v>
      </c>
      <c r="E110" t="s">
        <v>1725</v>
      </c>
      <c r="G110" t="str">
        <f t="shared" si="9"/>
        <v>DI104T_Splitter_to_TK26_895</v>
      </c>
      <c r="H110" t="str">
        <f t="shared" si="7"/>
        <v xml:space="preserve">=(( ( 1000 * CONCTHK_TKC_WF )) </v>
      </c>
      <c r="I110" t="str">
        <f t="shared" si="8"/>
        <v>= (( 1000 * CONCTHK_TK26_WF ) )</v>
      </c>
    </row>
    <row r="111" spans="1:9">
      <c r="A111" s="42" t="s">
        <v>1234</v>
      </c>
      <c r="B111" t="s">
        <v>1450</v>
      </c>
      <c r="C111" t="s">
        <v>1590</v>
      </c>
      <c r="D111" s="2" t="s">
        <v>0</v>
      </c>
      <c r="E111" t="s">
        <v>1726</v>
      </c>
      <c r="G111" t="str">
        <f t="shared" si="9"/>
        <v>DI150_CU_Splitter_to_TAILTHK6_853</v>
      </c>
      <c r="H111" t="str">
        <f t="shared" si="7"/>
        <v xml:space="preserve">=(( ( 10000 * DI150_TAILTHK6_CF )) </v>
      </c>
      <c r="I111" t="str">
        <f t="shared" si="8"/>
        <v>= (( 10000 * TAILS_CF ) )</v>
      </c>
    </row>
    <row r="112" spans="1:9">
      <c r="A112" s="42" t="s">
        <v>1235</v>
      </c>
      <c r="B112" t="s">
        <v>1451</v>
      </c>
      <c r="C112" t="s">
        <v>1591</v>
      </c>
      <c r="D112" s="2" t="s">
        <v>0</v>
      </c>
      <c r="E112" t="s">
        <v>1726</v>
      </c>
      <c r="G112" t="str">
        <f t="shared" si="9"/>
        <v>DI150_CU_Splitter_to_TAILTHK7_854</v>
      </c>
      <c r="H112" t="str">
        <f t="shared" si="7"/>
        <v xml:space="preserve">=(( ( 10000 * DI150_TAILTHK7_CF )) </v>
      </c>
      <c r="I112" t="str">
        <f t="shared" si="8"/>
        <v>= (( 10000 * TAILS_CF ) )</v>
      </c>
    </row>
    <row r="113" spans="1:9">
      <c r="A113" s="42" t="s">
        <v>1236</v>
      </c>
      <c r="B113" t="s">
        <v>1452</v>
      </c>
      <c r="C113" t="s">
        <v>1592</v>
      </c>
      <c r="D113" s="2" t="s">
        <v>0</v>
      </c>
      <c r="E113" t="s">
        <v>1726</v>
      </c>
      <c r="G113" t="str">
        <f t="shared" si="9"/>
        <v>DI150_CU_Splitter_to_TAILTHK8_855</v>
      </c>
      <c r="H113" t="str">
        <f t="shared" si="7"/>
        <v xml:space="preserve">=(( ( 10000 * DI150_TAILTHK8_CF )) </v>
      </c>
      <c r="I113" t="str">
        <f t="shared" si="8"/>
        <v>= (( 10000 * TAILS_CF ) )</v>
      </c>
    </row>
    <row r="114" spans="1:9">
      <c r="A114" s="42" t="s">
        <v>1237</v>
      </c>
      <c r="B114" t="s">
        <v>1453</v>
      </c>
      <c r="C114" t="s">
        <v>1593</v>
      </c>
      <c r="D114" s="2" t="s">
        <v>0</v>
      </c>
      <c r="E114" t="s">
        <v>1727</v>
      </c>
      <c r="G114" t="str">
        <f t="shared" si="9"/>
        <v>DI150_H2O_Splitter_to_TAILTHK6_856</v>
      </c>
      <c r="H114" t="str">
        <f t="shared" si="7"/>
        <v xml:space="preserve">=(( ( 10000 * DI150_TAILTHK6_WF )) </v>
      </c>
      <c r="I114" t="str">
        <f t="shared" si="8"/>
        <v>= (( 10000 * TAILS_WF ) )</v>
      </c>
    </row>
    <row r="115" spans="1:9">
      <c r="A115" s="42" t="s">
        <v>1238</v>
      </c>
      <c r="B115" t="s">
        <v>1454</v>
      </c>
      <c r="C115" t="s">
        <v>1594</v>
      </c>
      <c r="D115" s="2" t="s">
        <v>0</v>
      </c>
      <c r="E115" t="s">
        <v>1727</v>
      </c>
      <c r="G115" t="str">
        <f t="shared" si="9"/>
        <v>DI150_H2O_Splitter_to_TAILTHK7_857</v>
      </c>
      <c r="H115" t="str">
        <f t="shared" si="7"/>
        <v xml:space="preserve">=(( ( 10000 * DI150_TAILTHK7_WF )) </v>
      </c>
      <c r="I115" t="str">
        <f t="shared" si="8"/>
        <v>= (( 10000 * TAILS_WF ) )</v>
      </c>
    </row>
    <row r="116" spans="1:9">
      <c r="A116" s="42" t="s">
        <v>1239</v>
      </c>
      <c r="B116" t="s">
        <v>1455</v>
      </c>
      <c r="C116" t="s">
        <v>1595</v>
      </c>
      <c r="D116" s="2" t="s">
        <v>0</v>
      </c>
      <c r="E116" t="s">
        <v>1727</v>
      </c>
      <c r="G116" t="str">
        <f t="shared" si="9"/>
        <v>DI150_H2O_Splitter_to_TAILTHK8_858</v>
      </c>
      <c r="H116" t="str">
        <f t="shared" si="7"/>
        <v xml:space="preserve">=(( ( 10000 * DI150_TAILTHK8_WF )) </v>
      </c>
      <c r="I116" t="str">
        <f t="shared" si="8"/>
        <v>= (( 10000 * TAILS_WF ) )</v>
      </c>
    </row>
    <row r="117" spans="1:9">
      <c r="A117" s="42" t="s">
        <v>1240</v>
      </c>
      <c r="B117" t="s">
        <v>1456</v>
      </c>
      <c r="C117" t="s">
        <v>1596</v>
      </c>
      <c r="D117" s="2" t="s">
        <v>0</v>
      </c>
      <c r="E117" t="s">
        <v>1728</v>
      </c>
      <c r="G117" t="str">
        <f t="shared" si="9"/>
        <v>PIPELINE_C_PM</v>
      </c>
      <c r="H117" t="str">
        <f t="shared" si="7"/>
        <v xml:space="preserve">=(( ( PIPE_TKCLC_CF )) </v>
      </c>
      <c r="I117" t="str">
        <f t="shared" si="8"/>
        <v>= (( PIPELINE_CLOSE_CF ) )</v>
      </c>
    </row>
    <row r="118" spans="1:9">
      <c r="A118" s="42" t="s">
        <v>1241</v>
      </c>
      <c r="B118" t="s">
        <v>1457</v>
      </c>
      <c r="C118" t="s">
        <v>1597</v>
      </c>
      <c r="D118" s="2" t="s">
        <v>0</v>
      </c>
      <c r="E118" t="s">
        <v>1729</v>
      </c>
      <c r="G118" t="str">
        <f t="shared" si="9"/>
        <v>PIPELINE_W_PM</v>
      </c>
      <c r="H118" t="str">
        <f t="shared" si="7"/>
        <v xml:space="preserve">=(( ( PIPE_TKCLC_WF )) </v>
      </c>
      <c r="I118" t="str">
        <f t="shared" si="8"/>
        <v>= (( PIPELINE_CLOSE_WF ) )</v>
      </c>
    </row>
    <row r="119" spans="1:9">
      <c r="A119" s="42" t="s">
        <v>1242</v>
      </c>
      <c r="B119" t="s">
        <v>1458</v>
      </c>
      <c r="C119" t="s">
        <v>1598</v>
      </c>
      <c r="D119" s="2" t="s">
        <v>0</v>
      </c>
      <c r="E119" t="s">
        <v>1730</v>
      </c>
      <c r="G119" t="str">
        <f t="shared" si="9"/>
        <v>PP51_Grade_in__Grade_out__avoid_unobservable_result__help_convergence__872</v>
      </c>
      <c r="H119" t="str">
        <f t="shared" si="7"/>
        <v xml:space="preserve">=(( ( 1000 * CONCTHK21_PP51_CF )) </v>
      </c>
      <c r="I119" t="str">
        <f t="shared" si="8"/>
        <v>= (( 1000 * PP51_DI104_CF ) )</v>
      </c>
    </row>
    <row r="120" spans="1:9">
      <c r="A120" s="42" t="s">
        <v>1243</v>
      </c>
      <c r="B120" t="s">
        <v>1459</v>
      </c>
      <c r="C120" t="s">
        <v>1598</v>
      </c>
      <c r="D120" s="2" t="s">
        <v>0</v>
      </c>
      <c r="E120" t="s">
        <v>1731</v>
      </c>
      <c r="G120" t="str">
        <f t="shared" si="9"/>
        <v>PP51_Grade_in__Grade_out__recirculation_pump_no_grade_change__880</v>
      </c>
      <c r="H120" t="str">
        <f t="shared" si="7"/>
        <v xml:space="preserve">=(( ( 1000 * CONCTHK21_PP51_CF )) </v>
      </c>
      <c r="I120" t="str">
        <f t="shared" si="8"/>
        <v>= (( 1000 * PP51_DI101_CF ) )</v>
      </c>
    </row>
    <row r="121" spans="1:9">
      <c r="A121" s="42" t="s">
        <v>1244</v>
      </c>
      <c r="B121" t="s">
        <v>1460</v>
      </c>
      <c r="C121" t="s">
        <v>1599</v>
      </c>
      <c r="D121" s="2" t="s">
        <v>0</v>
      </c>
      <c r="E121" t="s">
        <v>1732</v>
      </c>
      <c r="G121" t="str">
        <f t="shared" si="9"/>
        <v>PP51___Sol_in____Sol_out__avoid_unobservable_result__help_convergence__876</v>
      </c>
      <c r="H121" t="str">
        <f t="shared" si="7"/>
        <v xml:space="preserve">=(( ( 1000 * CONCTHK21_PP51_WF )) </v>
      </c>
      <c r="I121" t="str">
        <f t="shared" si="8"/>
        <v>= (( 1000 * PP51_DI104_WF ) )</v>
      </c>
    </row>
    <row r="122" spans="1:9">
      <c r="A122" s="42" t="s">
        <v>1245</v>
      </c>
      <c r="B122" t="s">
        <v>1461</v>
      </c>
      <c r="C122" t="s">
        <v>1599</v>
      </c>
      <c r="D122" s="2" t="s">
        <v>0</v>
      </c>
      <c r="E122" t="s">
        <v>1733</v>
      </c>
      <c r="G122" t="str">
        <f t="shared" si="9"/>
        <v>PP51___Sol_in____Sol_out__recirculation_pump_no_grade_change__884</v>
      </c>
      <c r="H122" t="str">
        <f t="shared" si="7"/>
        <v xml:space="preserve">=(( ( 1000 * CONCTHK21_PP51_WF )) </v>
      </c>
      <c r="I122" t="str">
        <f t="shared" si="8"/>
        <v>= (( 1000 * PP51_DI101_WF ) )</v>
      </c>
    </row>
    <row r="123" spans="1:9">
      <c r="A123" s="42" t="s">
        <v>1246</v>
      </c>
      <c r="B123" t="s">
        <v>1462</v>
      </c>
      <c r="C123" t="s">
        <v>1600</v>
      </c>
      <c r="D123" s="2" t="s">
        <v>0</v>
      </c>
      <c r="E123" t="s">
        <v>1734</v>
      </c>
      <c r="G123" t="str">
        <f t="shared" si="9"/>
        <v>PP52_Grade_in__Grade_out__avoid_unobservable_result__help_convergence__873</v>
      </c>
      <c r="H123" t="str">
        <f t="shared" si="7"/>
        <v xml:space="preserve">=(( ( 1000 * CONCTHK21_PP52_CF )) </v>
      </c>
      <c r="I123" t="str">
        <f t="shared" si="8"/>
        <v>= (( 1000 * PP52_DI104_CF ) )</v>
      </c>
    </row>
    <row r="124" spans="1:9">
      <c r="A124" s="42" t="s">
        <v>1247</v>
      </c>
      <c r="B124" t="s">
        <v>1463</v>
      </c>
      <c r="C124" t="s">
        <v>1600</v>
      </c>
      <c r="D124" s="2" t="s">
        <v>0</v>
      </c>
      <c r="E124" t="s">
        <v>1735</v>
      </c>
      <c r="G124" t="str">
        <f t="shared" si="9"/>
        <v>PP52_Grade_in__Grade_out__recirculation_pump_no_grade_change__881</v>
      </c>
      <c r="H124" t="str">
        <f t="shared" si="7"/>
        <v xml:space="preserve">=(( ( 1000 * CONCTHK21_PP52_CF )) </v>
      </c>
      <c r="I124" t="str">
        <f t="shared" si="8"/>
        <v>= (( 1000 * PP52_DI101_CF ) )</v>
      </c>
    </row>
    <row r="125" spans="1:9">
      <c r="A125" s="42" t="s">
        <v>1248</v>
      </c>
      <c r="B125" t="s">
        <v>1464</v>
      </c>
      <c r="C125" t="s">
        <v>1601</v>
      </c>
      <c r="D125" s="2" t="s">
        <v>0</v>
      </c>
      <c r="E125" t="s">
        <v>1736</v>
      </c>
      <c r="G125" t="str">
        <f t="shared" ref="G125:G148" si="10">MID(A125,1,FIND(":",A125)-1)</f>
        <v>PP52___Sol_in____Sol_out__avoid_unobservable_result__help_convergence__877</v>
      </c>
      <c r="H125" t="str">
        <f t="shared" si="7"/>
        <v xml:space="preserve">=(( ( 1000 * CONCTHK21_PP52_WF )) </v>
      </c>
      <c r="I125" t="str">
        <f t="shared" si="8"/>
        <v>= (( 1000 * PP52_DI104_WF ) )</v>
      </c>
    </row>
    <row r="126" spans="1:9">
      <c r="A126" s="42" t="s">
        <v>1249</v>
      </c>
      <c r="B126" t="s">
        <v>1465</v>
      </c>
      <c r="C126" t="s">
        <v>1601</v>
      </c>
      <c r="D126" s="2" t="s">
        <v>0</v>
      </c>
      <c r="E126" t="s">
        <v>1737</v>
      </c>
      <c r="G126" t="str">
        <f t="shared" si="10"/>
        <v>PP52___Sol_in____Sol_out__recirculation_pump_no_grade_change__885</v>
      </c>
      <c r="H126" t="str">
        <f t="shared" si="7"/>
        <v xml:space="preserve">=(( ( 1000 * CONCTHK21_PP52_WF )) </v>
      </c>
      <c r="I126" t="str">
        <f t="shared" si="8"/>
        <v>= (( 1000 * PP52_DI101_WF ) )</v>
      </c>
    </row>
    <row r="127" spans="1:9">
      <c r="A127" s="42" t="s">
        <v>1250</v>
      </c>
      <c r="B127" t="s">
        <v>1466</v>
      </c>
      <c r="C127" t="s">
        <v>1602</v>
      </c>
      <c r="D127" s="2" t="s">
        <v>0</v>
      </c>
      <c r="E127" t="s">
        <v>1738</v>
      </c>
      <c r="G127" t="str">
        <f t="shared" si="10"/>
        <v>PP53_Grade_in__Grade_out__avoid_unobservable_result__help_convergence__874</v>
      </c>
      <c r="H127" t="str">
        <f t="shared" si="7"/>
        <v xml:space="preserve">=(( ( 1000 * CONCTHK22_PP53_CF )) </v>
      </c>
      <c r="I127" t="str">
        <f t="shared" si="8"/>
        <v>= (( 1000 * PP53_DI104_CF ) )</v>
      </c>
    </row>
    <row r="128" spans="1:9">
      <c r="A128" s="42" t="s">
        <v>1251</v>
      </c>
      <c r="B128" t="s">
        <v>1467</v>
      </c>
      <c r="C128" t="s">
        <v>1602</v>
      </c>
      <c r="D128" s="2" t="s">
        <v>0</v>
      </c>
      <c r="E128" t="s">
        <v>1739</v>
      </c>
      <c r="G128" t="str">
        <f t="shared" si="10"/>
        <v>PP53_Grade_in__Grade_out__recirculation_pump_no_grade_change__882</v>
      </c>
      <c r="H128" t="str">
        <f t="shared" si="7"/>
        <v xml:space="preserve">=(( ( 1000 * CONCTHK22_PP53_CF )) </v>
      </c>
      <c r="I128" t="str">
        <f t="shared" si="8"/>
        <v>= (( 1000 * PP53_DI101_CF ) )</v>
      </c>
    </row>
    <row r="129" spans="1:9">
      <c r="A129" s="42" t="s">
        <v>1252</v>
      </c>
      <c r="B129" t="s">
        <v>1468</v>
      </c>
      <c r="C129" t="s">
        <v>1603</v>
      </c>
      <c r="D129" s="2" t="s">
        <v>0</v>
      </c>
      <c r="E129" t="s">
        <v>1740</v>
      </c>
      <c r="G129" t="str">
        <f t="shared" si="10"/>
        <v>PP53___Sol_in____Sol_out__avoid_unobservable_result__help_convergence__878</v>
      </c>
      <c r="H129" t="str">
        <f t="shared" si="7"/>
        <v xml:space="preserve">=(( ( 1000 * CONCTHK22_PP53_WF )) </v>
      </c>
      <c r="I129" t="str">
        <f t="shared" si="8"/>
        <v>= (( 1000 * PP53_DI104_WF ) )</v>
      </c>
    </row>
    <row r="130" spans="1:9">
      <c r="A130" s="42" t="s">
        <v>1253</v>
      </c>
      <c r="B130" t="s">
        <v>1469</v>
      </c>
      <c r="C130" t="s">
        <v>1603</v>
      </c>
      <c r="D130" s="2" t="s">
        <v>0</v>
      </c>
      <c r="E130" t="s">
        <v>1741</v>
      </c>
      <c r="G130" t="str">
        <f t="shared" si="10"/>
        <v>PP53___Sol_in____Sol_out__recirculation_pump_no_grade_change__886</v>
      </c>
      <c r="H130" t="str">
        <f t="shared" si="7"/>
        <v xml:space="preserve">=(( ( 1000 * CONCTHK22_PP53_WF )) </v>
      </c>
      <c r="I130" t="str">
        <f t="shared" si="8"/>
        <v>= (( 1000 * PP53_DI101_WF ) )</v>
      </c>
    </row>
    <row r="131" spans="1:9">
      <c r="A131" s="42" t="s">
        <v>1254</v>
      </c>
      <c r="B131" t="s">
        <v>1470</v>
      </c>
      <c r="C131" t="s">
        <v>1604</v>
      </c>
      <c r="D131" s="2" t="s">
        <v>0</v>
      </c>
      <c r="E131" t="s">
        <v>1742</v>
      </c>
      <c r="G131" t="str">
        <f t="shared" si="10"/>
        <v>PP54_Grade_in__Grade_out__avoid_unobservable_result__help_convergence__875</v>
      </c>
      <c r="H131" t="str">
        <f t="shared" si="7"/>
        <v xml:space="preserve">=(( ( 1000 * CONCTHK22_PP54_CF )) </v>
      </c>
      <c r="I131" t="str">
        <f t="shared" si="8"/>
        <v>= (( 1000 * PP54_DI104_CF ) )</v>
      </c>
    </row>
    <row r="132" spans="1:9">
      <c r="A132" s="42" t="s">
        <v>1255</v>
      </c>
      <c r="B132" t="s">
        <v>1471</v>
      </c>
      <c r="C132" t="s">
        <v>1604</v>
      </c>
      <c r="D132" s="2" t="s">
        <v>0</v>
      </c>
      <c r="E132" t="s">
        <v>1743</v>
      </c>
      <c r="G132" t="str">
        <f t="shared" si="10"/>
        <v>PP54_Grade_in__Grade_out__recirculation_pump_no_grade_change__883</v>
      </c>
      <c r="H132" t="str">
        <f t="shared" si="7"/>
        <v xml:space="preserve">=(( ( 1000 * CONCTHK22_PP54_CF )) </v>
      </c>
      <c r="I132" t="str">
        <f t="shared" si="8"/>
        <v>= (( 1000 * PP54_DI101_CF ) )</v>
      </c>
    </row>
    <row r="133" spans="1:9">
      <c r="A133" s="42" t="s">
        <v>1256</v>
      </c>
      <c r="B133" t="s">
        <v>1472</v>
      </c>
      <c r="C133" t="s">
        <v>1605</v>
      </c>
      <c r="D133" s="2" t="s">
        <v>0</v>
      </c>
      <c r="E133" t="s">
        <v>1744</v>
      </c>
      <c r="G133" t="str">
        <f t="shared" si="10"/>
        <v>PP54___Sol_in____Sol_out__avoid_unobservable_result__help_convergence__879</v>
      </c>
      <c r="H133" t="str">
        <f t="shared" si="7"/>
        <v xml:space="preserve">=(( ( 1000 * CONCTHK22_PP54_WF )) </v>
      </c>
      <c r="I133" t="str">
        <f t="shared" si="8"/>
        <v>= (( 1000 * PP54_DI104_WF ) )</v>
      </c>
    </row>
    <row r="134" spans="1:9">
      <c r="A134" s="42" t="s">
        <v>1257</v>
      </c>
      <c r="B134" t="s">
        <v>1473</v>
      </c>
      <c r="C134" t="s">
        <v>1605</v>
      </c>
      <c r="D134" s="2" t="s">
        <v>0</v>
      </c>
      <c r="E134" t="s">
        <v>1745</v>
      </c>
      <c r="G134" t="str">
        <f t="shared" si="10"/>
        <v>PP54___Sol_in____Sol_out__recirculation_pump_no_grade_change__887</v>
      </c>
      <c r="H134" t="str">
        <f t="shared" si="7"/>
        <v xml:space="preserve">=(( ( 1000 * CONCTHK22_PP54_WF )) </v>
      </c>
      <c r="I134" t="str">
        <f t="shared" si="8"/>
        <v>= (( 1000 * PP54_DI101_WF ) )</v>
      </c>
    </row>
    <row r="135" spans="1:9">
      <c r="A135" s="42" t="s">
        <v>1258</v>
      </c>
      <c r="B135" t="s">
        <v>1474</v>
      </c>
      <c r="C135" t="s">
        <v>1606</v>
      </c>
      <c r="D135" s="2" t="s">
        <v>0</v>
      </c>
      <c r="E135" t="s">
        <v>1746</v>
      </c>
      <c r="G135" t="str">
        <f t="shared" si="10"/>
        <v>TAILTHK6_C_PM</v>
      </c>
      <c r="H135" t="str">
        <f t="shared" si="7"/>
        <v xml:space="preserve">=(( ( TAILTHK6_UNDERFLOW_CF )) </v>
      </c>
      <c r="I135" t="str">
        <f t="shared" si="8"/>
        <v>= (( TAILTHK6_CLOSE_CF ) )</v>
      </c>
    </row>
    <row r="136" spans="1:9">
      <c r="A136" s="44" t="s">
        <v>1259</v>
      </c>
      <c r="B136" t="s">
        <v>1475</v>
      </c>
      <c r="C136" t="s">
        <v>1607</v>
      </c>
      <c r="D136" s="2" t="s">
        <v>0</v>
      </c>
      <c r="E136" t="s">
        <v>1747</v>
      </c>
      <c r="G136" t="str">
        <f t="shared" si="10"/>
        <v>TAILTHK6_Constant_Volume_863</v>
      </c>
      <c r="H136" t="str">
        <f t="shared" si="7"/>
        <v xml:space="preserve">=(( ( TAILTHK6_TOTVOL_CLOSE_Q  )) </v>
      </c>
      <c r="I136" t="str">
        <f t="shared" si="8"/>
        <v>= (( TAILTHK6_CLOSE_Q * TAILTHK6_CLOSE_WF + .3645 * TAILTHK6_CLOSE_Q  ) )</v>
      </c>
    </row>
    <row r="137" spans="1:9">
      <c r="A137" s="42" t="s">
        <v>1260</v>
      </c>
      <c r="B137" t="s">
        <v>1476</v>
      </c>
      <c r="C137" t="s">
        <v>1608</v>
      </c>
      <c r="D137" s="2" t="s">
        <v>0</v>
      </c>
      <c r="E137" t="s">
        <v>1748</v>
      </c>
      <c r="G137" t="str">
        <f t="shared" si="10"/>
        <v>TAILTHK7_C_PM</v>
      </c>
      <c r="H137" t="str">
        <f t="shared" ref="H137:H148" si="11">"="&amp;MID(A137,FIND(": (",A137)+2,FIND("=",A137)-FIND(": (",A137)-2)</f>
        <v xml:space="preserve">=(( ( TAILTHK7_UNDERFLOW_CF )) </v>
      </c>
      <c r="I137" t="str">
        <f t="shared" ref="I137:I148" si="12">"="&amp;MID(A137,FIND("=",A137)+1,LEN(A137)-FIND("=",A137)-2)</f>
        <v>= (( TAILTHK7_CLOSE_CF ) )</v>
      </c>
    </row>
    <row r="138" spans="1:9">
      <c r="A138" s="42" t="s">
        <v>1261</v>
      </c>
      <c r="B138" t="s">
        <v>1477</v>
      </c>
      <c r="C138" t="s">
        <v>1609</v>
      </c>
      <c r="D138" s="2" t="s">
        <v>0</v>
      </c>
      <c r="E138" t="s">
        <v>1749</v>
      </c>
      <c r="G138" t="str">
        <f t="shared" si="10"/>
        <v>TAILTHK7_Constant_Volume_864</v>
      </c>
      <c r="H138" t="str">
        <f t="shared" si="11"/>
        <v xml:space="preserve">=(( ( TAILTHK7_TOTVOL_CLOSE_Q  )) </v>
      </c>
      <c r="I138" t="str">
        <f t="shared" si="12"/>
        <v>= (( TAILTHK7_CLOSE_Q * TAILTHK7_CLOSE_WF + .3645 * TAILTHK7_CLOSE_Q  ) )</v>
      </c>
    </row>
    <row r="139" spans="1:9">
      <c r="A139" s="42" t="s">
        <v>1262</v>
      </c>
      <c r="B139" t="s">
        <v>1478</v>
      </c>
      <c r="C139" t="s">
        <v>1610</v>
      </c>
      <c r="D139" s="2" t="s">
        <v>0</v>
      </c>
      <c r="E139" t="s">
        <v>1750</v>
      </c>
      <c r="G139" t="str">
        <f t="shared" si="10"/>
        <v>TAILTHK8_C_PM</v>
      </c>
      <c r="H139" t="str">
        <f t="shared" si="11"/>
        <v xml:space="preserve">=(( ( TAILTHK8_UNDERFLOW_CF )) </v>
      </c>
      <c r="I139" t="str">
        <f t="shared" si="12"/>
        <v>= (( TAILTHK8_CLOSE_CF ) )</v>
      </c>
    </row>
    <row r="140" spans="1:9">
      <c r="A140" s="42" t="s">
        <v>1263</v>
      </c>
      <c r="B140" t="s">
        <v>1479</v>
      </c>
      <c r="C140" t="s">
        <v>1611</v>
      </c>
      <c r="D140" s="2" t="s">
        <v>0</v>
      </c>
      <c r="E140" t="s">
        <v>1751</v>
      </c>
      <c r="G140" t="str">
        <f t="shared" si="10"/>
        <v>TAILTHK8_Constant_Volume_865</v>
      </c>
      <c r="H140" t="str">
        <f t="shared" si="11"/>
        <v xml:space="preserve">=(( ( TAILTHK8_TOTVOL_CLOSE_Q  )) </v>
      </c>
      <c r="I140" t="str">
        <f t="shared" si="12"/>
        <v>= (( TAILTHK8_CLOSE_Q * TAILTHK8_CLOSE_WF + .3645 * TAILTHK8_CLOSE_Q  ) )</v>
      </c>
    </row>
    <row r="141" spans="1:9">
      <c r="A141" s="42" t="s">
        <v>1264</v>
      </c>
      <c r="B141" t="s">
        <v>1480</v>
      </c>
      <c r="C141" t="s">
        <v>1612</v>
      </c>
      <c r="D141" s="2" t="s">
        <v>0</v>
      </c>
      <c r="E141" t="s">
        <v>1752</v>
      </c>
      <c r="G141" t="str">
        <f t="shared" si="10"/>
        <v>TK23_C_PM</v>
      </c>
      <c r="H141" t="str">
        <f t="shared" si="11"/>
        <v xml:space="preserve">=(( ( TK23_DI105_CF )) </v>
      </c>
      <c r="I141" t="str">
        <f t="shared" si="12"/>
        <v>= (( TK23_CLOSE_CF ) )</v>
      </c>
    </row>
    <row r="142" spans="1:9">
      <c r="A142" s="42" t="s">
        <v>1265</v>
      </c>
      <c r="B142" t="s">
        <v>1481</v>
      </c>
      <c r="C142" t="s">
        <v>1613</v>
      </c>
      <c r="D142" s="2" t="s">
        <v>0</v>
      </c>
      <c r="E142" t="s">
        <v>1753</v>
      </c>
      <c r="G142" t="str">
        <f t="shared" si="10"/>
        <v>TK23_W_PM</v>
      </c>
      <c r="H142" t="str">
        <f t="shared" si="11"/>
        <v xml:space="preserve">=(( ( TK23_DI105_WF )) </v>
      </c>
      <c r="I142" t="str">
        <f t="shared" si="12"/>
        <v>= (( TK23_CLOSE_WF ) )</v>
      </c>
    </row>
    <row r="143" spans="1:9">
      <c r="A143" s="42" t="s">
        <v>1266</v>
      </c>
      <c r="B143" t="s">
        <v>1482</v>
      </c>
      <c r="C143" t="s">
        <v>1614</v>
      </c>
      <c r="D143" s="2" t="s">
        <v>0</v>
      </c>
      <c r="E143" t="s">
        <v>1754</v>
      </c>
      <c r="G143" t="str">
        <f t="shared" si="10"/>
        <v>TK24_C_PM</v>
      </c>
      <c r="H143" t="str">
        <f t="shared" si="11"/>
        <v xml:space="preserve">=(( ( TK24_DI105_CF )) </v>
      </c>
      <c r="I143" t="str">
        <f t="shared" si="12"/>
        <v>= (( TK24_CLOSE_CF ) )</v>
      </c>
    </row>
    <row r="144" spans="1:9">
      <c r="A144" s="42" t="s">
        <v>1267</v>
      </c>
      <c r="B144" t="s">
        <v>1483</v>
      </c>
      <c r="C144" t="s">
        <v>1615</v>
      </c>
      <c r="D144" s="2" t="s">
        <v>0</v>
      </c>
      <c r="E144" t="s">
        <v>1755</v>
      </c>
      <c r="G144" t="str">
        <f t="shared" si="10"/>
        <v>TK24_W_PM</v>
      </c>
      <c r="H144" t="str">
        <f t="shared" si="11"/>
        <v xml:space="preserve">=(( ( TK24_DI105_WF )) </v>
      </c>
      <c r="I144" t="str">
        <f t="shared" si="12"/>
        <v>= (( TK24_CLOSE_WF ) )</v>
      </c>
    </row>
    <row r="145" spans="1:10">
      <c r="A145" s="42" t="s">
        <v>1268</v>
      </c>
      <c r="B145" t="s">
        <v>1484</v>
      </c>
      <c r="C145" t="s">
        <v>1616</v>
      </c>
      <c r="D145" s="2" t="s">
        <v>0</v>
      </c>
      <c r="E145" t="s">
        <v>1756</v>
      </c>
      <c r="G145" t="str">
        <f t="shared" si="10"/>
        <v>TK25_C_PM</v>
      </c>
      <c r="H145" t="str">
        <f t="shared" si="11"/>
        <v xml:space="preserve">=(( ( TK25_DI105_CF )) </v>
      </c>
      <c r="I145" t="str">
        <f t="shared" si="12"/>
        <v>= (( TK25_CLOSE_CF ) )</v>
      </c>
    </row>
    <row r="146" spans="1:10">
      <c r="A146" s="42" t="s">
        <v>1269</v>
      </c>
      <c r="B146" t="s">
        <v>1485</v>
      </c>
      <c r="C146" t="s">
        <v>1617</v>
      </c>
      <c r="D146" s="2" t="s">
        <v>0</v>
      </c>
      <c r="E146" t="s">
        <v>1757</v>
      </c>
      <c r="G146" t="str">
        <f t="shared" si="10"/>
        <v>TK25_W_PM</v>
      </c>
      <c r="H146" t="str">
        <f t="shared" si="11"/>
        <v xml:space="preserve">=(( ( TK25_DI105_WF )) </v>
      </c>
      <c r="I146" t="str">
        <f t="shared" si="12"/>
        <v>= (( TK25_CLOSE_WF ) )</v>
      </c>
    </row>
    <row r="147" spans="1:10">
      <c r="A147" s="42" t="s">
        <v>1270</v>
      </c>
      <c r="B147" t="s">
        <v>1486</v>
      </c>
      <c r="C147" t="s">
        <v>1618</v>
      </c>
      <c r="D147" s="2" t="s">
        <v>0</v>
      </c>
      <c r="E147" t="s">
        <v>1758</v>
      </c>
      <c r="G147" t="str">
        <f t="shared" si="10"/>
        <v>TK26_C_PM</v>
      </c>
      <c r="H147" t="str">
        <f t="shared" si="11"/>
        <v xml:space="preserve">=(( ( TK26_DI105_CF )) </v>
      </c>
      <c r="I147" t="str">
        <f t="shared" si="12"/>
        <v>= (( TK26_CLOSE_CF ) )</v>
      </c>
    </row>
    <row r="148" spans="1:10">
      <c r="A148" s="42" t="s">
        <v>1271</v>
      </c>
      <c r="B148" t="s">
        <v>1487</v>
      </c>
      <c r="C148" t="s">
        <v>1619</v>
      </c>
      <c r="D148" s="2" t="s">
        <v>0</v>
      </c>
      <c r="E148" t="s">
        <v>1759</v>
      </c>
      <c r="G148" t="str">
        <f t="shared" si="10"/>
        <v>TK26_W_PM</v>
      </c>
      <c r="H148" t="str">
        <f t="shared" si="11"/>
        <v xml:space="preserve">=(( ( TK26_DI105_WF )) </v>
      </c>
      <c r="I148" t="str">
        <f t="shared" si="12"/>
        <v>= (( TK26_CLOSE_WF ) )</v>
      </c>
    </row>
    <row r="149" spans="1:10" s="36" customFormat="1" ht="12.75">
      <c r="A149" s="45"/>
      <c r="B149" s="37" t="s">
        <v>461</v>
      </c>
      <c r="C149" s="35" t="s">
        <v>57</v>
      </c>
      <c r="D149" s="35" t="s">
        <v>25</v>
      </c>
      <c r="E149" s="35" t="s">
        <v>26</v>
      </c>
      <c r="F149" s="35" t="s">
        <v>30</v>
      </c>
    </row>
    <row r="150" spans="1:10">
      <c r="A150" t="s">
        <v>2331</v>
      </c>
      <c r="B150" t="s">
        <v>1760</v>
      </c>
      <c r="C150">
        <f t="array" ref="C150">D150:F150</f>
        <v>6731.5353421</v>
      </c>
      <c r="D150" s="22">
        <v>6731.5353421</v>
      </c>
      <c r="E150" s="22">
        <v>337.26229999999998</v>
      </c>
      <c r="F150" s="22">
        <v>6745.2460000000001</v>
      </c>
      <c r="G150" t="str">
        <f>MID(A150,FIND("*/",A150)+3,FIND(":",A150)-3 -FIND("*/",A150))</f>
        <v>BOREWATER_Q</v>
      </c>
      <c r="H150" t="str">
        <f>MID(A150,FIND("(",A150)+1,50)</f>
        <v>6745.246, 337.2623);</v>
      </c>
      <c r="I150" t="str">
        <f>MID(H150,1,FIND(",",H150)-1)</f>
        <v>6745.246</v>
      </c>
      <c r="J150" t="str">
        <f>MID(H150,FIND(",",H150)+1,LEN(H150)-FIND(",",H150)-2)</f>
        <v xml:space="preserve"> 337.2623</v>
      </c>
    </row>
    <row r="151" spans="1:10">
      <c r="A151"/>
      <c r="B151" t="s">
        <v>1761</v>
      </c>
      <c r="C151">
        <f t="array" ref="C151">D151:F151</f>
        <v>76.660853500000002</v>
      </c>
      <c r="D151" s="22">
        <v>76.660853500000002</v>
      </c>
      <c r="E151" s="22"/>
      <c r="F151" s="22"/>
    </row>
    <row r="152" spans="1:10">
      <c r="A152"/>
      <c r="B152" t="s">
        <v>1762</v>
      </c>
      <c r="C152">
        <f t="array" ref="C152">D152:F152</f>
        <v>0.38985900000000001</v>
      </c>
      <c r="D152" s="22">
        <v>0.38985900000000001</v>
      </c>
      <c r="E152" s="22"/>
      <c r="F152" s="22"/>
    </row>
    <row r="153" spans="1:10">
      <c r="A153" t="s">
        <v>2332</v>
      </c>
      <c r="B153" t="s">
        <v>1763</v>
      </c>
      <c r="C153">
        <f t="array" ref="C153">D153:F153</f>
        <v>995.62795319999998</v>
      </c>
      <c r="D153" s="22">
        <v>995.62795319999998</v>
      </c>
      <c r="E153" s="22">
        <v>470.56</v>
      </c>
      <c r="F153" s="22">
        <v>1176.4000000000001</v>
      </c>
      <c r="G153" t="str">
        <f t="shared" ref="G153:G213" si="13">MID(A153,FIND("*/",A153)+3,FIND(":",A153)-3 -FIND("*/",A153))</f>
        <v>CONCTHK21_CLOSE_Q</v>
      </c>
      <c r="H153" t="str">
        <f t="shared" ref="H153:H213" si="14">MID(A153,FIND("(",A153)+1,50)</f>
        <v>1176.4, 470.56);</v>
      </c>
      <c r="I153" t="str">
        <f t="shared" ref="I153:I213" si="15">MID(H153,1,FIND(",",H153)-1)</f>
        <v>1176.4</v>
      </c>
      <c r="J153" t="str">
        <f t="shared" ref="J153:J213" si="16">MID(H153,FIND(",",H153)+1,LEN(H153)-FIND(",",H153)-2)</f>
        <v xml:space="preserve"> 470.56</v>
      </c>
    </row>
    <row r="154" spans="1:10">
      <c r="A154"/>
      <c r="B154" t="s">
        <v>1764</v>
      </c>
      <c r="C154">
        <f t="array" ref="C154">D154:F154</f>
        <v>4.8693339</v>
      </c>
      <c r="D154" s="22">
        <v>4.8693339</v>
      </c>
      <c r="E154" s="22"/>
      <c r="F154" s="22"/>
    </row>
    <row r="155" spans="1:10">
      <c r="A155" t="s">
        <v>1272</v>
      </c>
      <c r="B155" t="s">
        <v>1765</v>
      </c>
      <c r="C155">
        <f t="array" ref="C155">D155:F155</f>
        <v>0.3918007</v>
      </c>
      <c r="D155" s="22">
        <v>0.3918007</v>
      </c>
      <c r="E155" s="22">
        <v>0</v>
      </c>
      <c r="F155" s="22">
        <v>0.3918007</v>
      </c>
      <c r="G155" t="str">
        <f t="shared" si="13"/>
        <v>CONCTHK21_OPEN_CF</v>
      </c>
      <c r="H155" t="str">
        <f t="shared" si="14"/>
        <v>.3918007, 0);</v>
      </c>
      <c r="I155" t="str">
        <f t="shared" si="15"/>
        <v>.3918007</v>
      </c>
      <c r="J155" t="str">
        <f t="shared" si="16"/>
        <v xml:space="preserve"> 0</v>
      </c>
    </row>
    <row r="156" spans="1:10">
      <c r="A156" t="s">
        <v>1273</v>
      </c>
      <c r="B156" t="s">
        <v>1766</v>
      </c>
      <c r="C156">
        <f t="array" ref="C156">D156:F156</f>
        <v>1287.6652647000001</v>
      </c>
      <c r="D156" s="22">
        <v>1287.6652647000001</v>
      </c>
      <c r="E156" s="22">
        <v>0</v>
      </c>
      <c r="F156" s="22">
        <v>1287.6652647000001</v>
      </c>
      <c r="G156" t="str">
        <f t="shared" si="13"/>
        <v>CONCTHK21_OPEN_Q</v>
      </c>
      <c r="H156" t="str">
        <f t="shared" si="14"/>
        <v>1287.6652647, 0);</v>
      </c>
      <c r="I156" t="str">
        <f t="shared" si="15"/>
        <v>1287.6652647</v>
      </c>
      <c r="J156" t="str">
        <f t="shared" si="16"/>
        <v xml:space="preserve"> 0</v>
      </c>
    </row>
    <row r="157" spans="1:10">
      <c r="A157" t="s">
        <v>1274</v>
      </c>
      <c r="B157" t="s">
        <v>1767</v>
      </c>
      <c r="C157">
        <f t="array" ref="C157">D157:F157</f>
        <v>3.7107842999999998</v>
      </c>
      <c r="D157" s="22">
        <v>3.7107842999999998</v>
      </c>
      <c r="E157" s="22">
        <v>0</v>
      </c>
      <c r="F157" s="22">
        <v>3.7107842999999998</v>
      </c>
      <c r="G157" t="str">
        <f t="shared" si="13"/>
        <v>CONCTHK21_OPEN_WF</v>
      </c>
      <c r="H157" t="str">
        <f t="shared" si="14"/>
        <v>3.7107843, 0);</v>
      </c>
      <c r="I157" t="str">
        <f t="shared" si="15"/>
        <v>3.7107843</v>
      </c>
      <c r="J157" t="str">
        <f t="shared" si="16"/>
        <v xml:space="preserve"> 0</v>
      </c>
    </row>
    <row r="158" spans="1:10">
      <c r="A158"/>
      <c r="B158" t="s">
        <v>1768</v>
      </c>
      <c r="C158">
        <f t="array" ref="C158">D158:F158</f>
        <v>0.39082990000000001</v>
      </c>
      <c r="D158" s="22">
        <v>0.39082990000000001</v>
      </c>
      <c r="E158" s="22"/>
      <c r="F158" s="22"/>
    </row>
    <row r="159" spans="1:10">
      <c r="A159"/>
      <c r="B159" t="s">
        <v>1769</v>
      </c>
      <c r="C159">
        <f t="array" ref="C159">D159:F159</f>
        <v>0</v>
      </c>
      <c r="D159" s="22">
        <v>0</v>
      </c>
      <c r="E159" s="22"/>
      <c r="F159" s="22"/>
    </row>
    <row r="160" spans="1:10">
      <c r="A160"/>
      <c r="B160" t="s">
        <v>1770</v>
      </c>
      <c r="C160">
        <f t="array" ref="C160">D160:F160</f>
        <v>361.39702899999997</v>
      </c>
      <c r="D160" s="22">
        <v>361.39702899999997</v>
      </c>
      <c r="E160" s="22"/>
      <c r="F160" s="22"/>
    </row>
    <row r="161" spans="1:10">
      <c r="A161"/>
      <c r="B161" t="s">
        <v>1771</v>
      </c>
      <c r="C161">
        <f t="array" ref="C161">D161:F161</f>
        <v>0.39082990000000001</v>
      </c>
      <c r="D161" s="22">
        <v>0.39082990000000001</v>
      </c>
      <c r="E161" s="22"/>
      <c r="F161" s="22"/>
    </row>
    <row r="162" spans="1:10">
      <c r="A162"/>
      <c r="B162" t="s">
        <v>1772</v>
      </c>
      <c r="C162">
        <f t="array" ref="C162">D162:F162</f>
        <v>415.59363000000002</v>
      </c>
      <c r="D162" s="22">
        <v>415.59363000000002</v>
      </c>
      <c r="E162" s="22"/>
      <c r="F162" s="22"/>
    </row>
    <row r="163" spans="1:10">
      <c r="A163"/>
      <c r="B163" t="s">
        <v>1773</v>
      </c>
      <c r="C163">
        <f t="array" ref="C163">D163:F163</f>
        <v>0.41959999999999997</v>
      </c>
      <c r="D163" s="22">
        <v>0.41959999999999997</v>
      </c>
      <c r="E163" s="22"/>
      <c r="F163" s="22"/>
    </row>
    <row r="164" spans="1:10">
      <c r="A164" t="s">
        <v>1275</v>
      </c>
      <c r="B164" t="s">
        <v>1774</v>
      </c>
      <c r="C164">
        <f t="array" ref="C164">D164:F164</f>
        <v>5086</v>
      </c>
      <c r="D164" s="22">
        <v>5086</v>
      </c>
      <c r="E164" s="22">
        <v>0</v>
      </c>
      <c r="F164" s="22">
        <v>5086</v>
      </c>
      <c r="G164" t="str">
        <f t="shared" si="13"/>
        <v>CONCTHK21_TOTVOL_CLOSE_Q</v>
      </c>
      <c r="H164" t="str">
        <f t="shared" si="14"/>
        <v>5086, 0);</v>
      </c>
      <c r="I164" t="str">
        <f t="shared" si="15"/>
        <v>5086</v>
      </c>
      <c r="J164" t="str">
        <f t="shared" si="16"/>
        <v xml:space="preserve"> 0</v>
      </c>
    </row>
    <row r="165" spans="1:10">
      <c r="A165"/>
      <c r="B165" t="s">
        <v>1775</v>
      </c>
      <c r="C165">
        <f t="array" ref="C165">D165:F165</f>
        <v>5086</v>
      </c>
      <c r="D165" s="22">
        <v>5086</v>
      </c>
      <c r="E165" s="22"/>
      <c r="F165" s="22"/>
    </row>
    <row r="166" spans="1:10">
      <c r="A166"/>
      <c r="B166" t="s">
        <v>1776</v>
      </c>
      <c r="C166">
        <f t="array" ref="C166">D166:F166</f>
        <v>0.37390590000000001</v>
      </c>
      <c r="D166" s="22">
        <v>0.37390590000000001</v>
      </c>
      <c r="E166" s="22"/>
      <c r="F166" s="22"/>
    </row>
    <row r="167" spans="1:10">
      <c r="A167" t="s">
        <v>2333</v>
      </c>
      <c r="B167" t="s">
        <v>1777</v>
      </c>
      <c r="C167">
        <f t="array" ref="C167">D167:F167</f>
        <v>5537.2619653000002</v>
      </c>
      <c r="D167" s="22">
        <v>5537.2619653000002</v>
      </c>
      <c r="E167" s="22">
        <v>1594.6371999999999</v>
      </c>
      <c r="F167" s="22">
        <v>3986.5929999999998</v>
      </c>
      <c r="G167" t="str">
        <f t="shared" si="13"/>
        <v>CONCTHK22_CLOSE_Q</v>
      </c>
      <c r="H167" t="str">
        <f t="shared" si="14"/>
        <v>3986.593, 1594.6372);</v>
      </c>
      <c r="I167" t="str">
        <f t="shared" si="15"/>
        <v>3986.593</v>
      </c>
      <c r="J167" t="str">
        <f t="shared" si="16"/>
        <v xml:space="preserve"> 1594.6372</v>
      </c>
    </row>
    <row r="168" spans="1:10">
      <c r="A168"/>
      <c r="B168" t="s">
        <v>1778</v>
      </c>
      <c r="C168">
        <f t="array" ref="C168">D168:F168</f>
        <v>0.67950449999999996</v>
      </c>
      <c r="D168" s="22">
        <v>0.67950449999999996</v>
      </c>
      <c r="E168" s="22"/>
      <c r="F168" s="22"/>
    </row>
    <row r="169" spans="1:10">
      <c r="A169" t="s">
        <v>1276</v>
      </c>
      <c r="B169" t="s">
        <v>1779</v>
      </c>
      <c r="C169">
        <f t="array" ref="C169">D169:F169</f>
        <v>0.37452200000000002</v>
      </c>
      <c r="D169" s="22">
        <v>0.37452200000000002</v>
      </c>
      <c r="E169" s="22">
        <v>0</v>
      </c>
      <c r="F169" s="22">
        <v>0.37452200000000002</v>
      </c>
      <c r="G169" t="str">
        <f t="shared" si="13"/>
        <v>CONCTHK22_OPEN_CF</v>
      </c>
      <c r="H169" t="str">
        <f t="shared" si="14"/>
        <v>.374522, 0);</v>
      </c>
      <c r="I169" t="str">
        <f t="shared" si="15"/>
        <v>.374522</v>
      </c>
      <c r="J169" t="str">
        <f t="shared" si="16"/>
        <v xml:space="preserve"> 0</v>
      </c>
    </row>
    <row r="170" spans="1:10">
      <c r="A170" t="s">
        <v>1277</v>
      </c>
      <c r="B170" t="s">
        <v>1780</v>
      </c>
      <c r="C170">
        <f t="array" ref="C170">D170:F170</f>
        <v>4700.4379387999998</v>
      </c>
      <c r="D170" s="22">
        <v>4700.4379387999998</v>
      </c>
      <c r="E170" s="22">
        <v>0</v>
      </c>
      <c r="F170" s="22">
        <v>4700.4379387999998</v>
      </c>
      <c r="G170" t="str">
        <f t="shared" si="13"/>
        <v>CONCTHK22_OPEN_Q</v>
      </c>
      <c r="H170" t="str">
        <f t="shared" si="14"/>
        <v>4700.4379388, 0);</v>
      </c>
      <c r="I170" t="str">
        <f t="shared" si="15"/>
        <v>4700.4379388</v>
      </c>
      <c r="J170" t="str">
        <f t="shared" si="16"/>
        <v xml:space="preserve"> 0</v>
      </c>
    </row>
    <row r="171" spans="1:10">
      <c r="A171" t="s">
        <v>1278</v>
      </c>
      <c r="B171" t="s">
        <v>1781</v>
      </c>
      <c r="C171">
        <f t="array" ref="C171">D171:F171</f>
        <v>0.84302679999999997</v>
      </c>
      <c r="D171" s="22">
        <v>0.84302679999999997</v>
      </c>
      <c r="E171" s="22">
        <v>0</v>
      </c>
      <c r="F171" s="22">
        <v>0.84302679999999997</v>
      </c>
      <c r="G171" t="str">
        <f t="shared" si="13"/>
        <v>CONCTHK22_OPEN_WF</v>
      </c>
      <c r="H171" t="str">
        <f t="shared" si="14"/>
        <v>.8430268, 0);</v>
      </c>
      <c r="I171" t="str">
        <f t="shared" si="15"/>
        <v>.8430268</v>
      </c>
      <c r="J171" t="str">
        <f t="shared" si="16"/>
        <v xml:space="preserve"> 0</v>
      </c>
    </row>
    <row r="172" spans="1:10">
      <c r="A172"/>
      <c r="B172" t="s">
        <v>1782</v>
      </c>
      <c r="C172">
        <f t="array" ref="C172">D172:F172</f>
        <v>0.37421399999999999</v>
      </c>
      <c r="D172" s="22">
        <v>0.37421399999999999</v>
      </c>
      <c r="E172" s="22"/>
      <c r="F172" s="22"/>
    </row>
    <row r="173" spans="1:10">
      <c r="A173"/>
      <c r="B173" t="s">
        <v>1783</v>
      </c>
      <c r="C173">
        <f t="array" ref="C173">D173:F173</f>
        <v>1544.1572060999999</v>
      </c>
      <c r="D173" s="22">
        <v>1544.1572060999999</v>
      </c>
      <c r="E173" s="22"/>
      <c r="F173" s="22"/>
    </row>
    <row r="174" spans="1:10">
      <c r="A174"/>
      <c r="B174" t="s">
        <v>1784</v>
      </c>
      <c r="C174">
        <f t="array" ref="C174">D174:F174</f>
        <v>0.43959999999999999</v>
      </c>
      <c r="D174" s="22">
        <v>0.43959999999999999</v>
      </c>
      <c r="E174" s="22"/>
      <c r="F174" s="22"/>
    </row>
    <row r="175" spans="1:10">
      <c r="A175"/>
      <c r="B175" t="s">
        <v>1785</v>
      </c>
      <c r="C175">
        <f t="array" ref="C175">D175:F175</f>
        <v>0.37421399999999999</v>
      </c>
      <c r="D175" s="22">
        <v>0.37421399999999999</v>
      </c>
      <c r="E175" s="22"/>
      <c r="F175" s="22"/>
    </row>
    <row r="176" spans="1:10">
      <c r="A176"/>
      <c r="B176" t="s">
        <v>1786</v>
      </c>
      <c r="C176">
        <f t="array" ref="C176">D176:F176</f>
        <v>0</v>
      </c>
      <c r="D176" s="22">
        <v>0</v>
      </c>
      <c r="E176" s="22"/>
      <c r="F176" s="22"/>
    </row>
    <row r="177" spans="1:10">
      <c r="A177"/>
      <c r="B177" t="s">
        <v>1787</v>
      </c>
      <c r="C177">
        <f t="array" ref="C177">D177:F177</f>
        <v>0.5202</v>
      </c>
      <c r="D177" s="22">
        <v>0.5202</v>
      </c>
      <c r="E177" s="22"/>
      <c r="F177" s="22"/>
    </row>
    <row r="178" spans="1:10">
      <c r="A178" t="s">
        <v>1279</v>
      </c>
      <c r="B178" t="s">
        <v>1788</v>
      </c>
      <c r="C178">
        <f t="array" ref="C178">D178:F178</f>
        <v>5086</v>
      </c>
      <c r="D178" s="22">
        <v>5086</v>
      </c>
      <c r="E178" s="22">
        <v>0</v>
      </c>
      <c r="F178" s="22">
        <v>5086</v>
      </c>
      <c r="G178" t="str">
        <f t="shared" si="13"/>
        <v>CONCTHK22_TOTVOL_CLOSE_Q</v>
      </c>
      <c r="H178" t="str">
        <f t="shared" si="14"/>
        <v>5086, 0);</v>
      </c>
      <c r="I178" t="str">
        <f t="shared" si="15"/>
        <v>5086</v>
      </c>
      <c r="J178" t="str">
        <f t="shared" si="16"/>
        <v xml:space="preserve"> 0</v>
      </c>
    </row>
    <row r="179" spans="1:10">
      <c r="A179"/>
      <c r="B179" t="s">
        <v>1789</v>
      </c>
      <c r="C179">
        <f t="array" ref="C179">D179:F179</f>
        <v>5086</v>
      </c>
      <c r="D179" s="22">
        <v>5086</v>
      </c>
      <c r="E179" s="22"/>
      <c r="F179" s="22"/>
    </row>
    <row r="180" spans="1:10">
      <c r="A180"/>
      <c r="B180" t="s">
        <v>1790</v>
      </c>
      <c r="C180">
        <f t="array" ref="C180">D180:F180</f>
        <v>5703.9251413000002</v>
      </c>
      <c r="D180" s="22">
        <v>5703.9251413000002</v>
      </c>
      <c r="E180" s="22"/>
      <c r="F180" s="22"/>
    </row>
    <row r="181" spans="1:10">
      <c r="A181"/>
      <c r="B181" t="s">
        <v>1791</v>
      </c>
      <c r="C181">
        <f t="array" ref="C181">D181:F181</f>
        <v>5780.5859947999998</v>
      </c>
      <c r="D181" s="22">
        <v>5780.5859947999998</v>
      </c>
      <c r="E181" s="22"/>
      <c r="F181" s="22"/>
    </row>
    <row r="182" spans="1:10">
      <c r="A182"/>
      <c r="B182" t="s">
        <v>1792</v>
      </c>
      <c r="C182">
        <f t="array" ref="C182">D182:F182</f>
        <v>0.37773760000000001</v>
      </c>
      <c r="D182" s="22">
        <v>0.37773760000000001</v>
      </c>
      <c r="E182" s="22"/>
      <c r="F182" s="22"/>
    </row>
    <row r="183" spans="1:10">
      <c r="A183" t="s">
        <v>1280</v>
      </c>
      <c r="B183" t="s">
        <v>1793</v>
      </c>
      <c r="C183">
        <f t="array" ref="C183">D183:F183</f>
        <v>0</v>
      </c>
      <c r="D183" s="22">
        <v>0</v>
      </c>
      <c r="E183" s="22">
        <v>0</v>
      </c>
      <c r="F183" s="22">
        <v>0</v>
      </c>
      <c r="G183" t="str">
        <f t="shared" si="13"/>
        <v>CONCTHK_TK23_Q</v>
      </c>
      <c r="H183" t="str">
        <f t="shared" si="14"/>
        <v>0, 0);</v>
      </c>
      <c r="I183" t="str">
        <f t="shared" si="15"/>
        <v>0</v>
      </c>
      <c r="J183" t="str">
        <f t="shared" si="16"/>
        <v xml:space="preserve"> 0</v>
      </c>
    </row>
    <row r="184" spans="1:10">
      <c r="A184" t="s">
        <v>2334</v>
      </c>
      <c r="B184" t="s">
        <v>1794</v>
      </c>
      <c r="C184">
        <f t="array" ref="C184">D184:F184</f>
        <v>0.43535869999999999</v>
      </c>
      <c r="D184" s="22">
        <v>0.43535869999999999</v>
      </c>
      <c r="E184" s="22">
        <v>4.938E-2</v>
      </c>
      <c r="F184" s="22">
        <v>0.49380000000000002</v>
      </c>
      <c r="G184" t="str">
        <f t="shared" si="13"/>
        <v>CONCTHK_TK23_WF</v>
      </c>
      <c r="H184" t="str">
        <f t="shared" si="14"/>
        <v>.4938, .04938);</v>
      </c>
      <c r="I184" t="str">
        <f t="shared" si="15"/>
        <v>.4938</v>
      </c>
      <c r="J184" t="str">
        <f t="shared" si="16"/>
        <v xml:space="preserve"> .04938</v>
      </c>
    </row>
    <row r="185" spans="1:10">
      <c r="A185"/>
      <c r="B185" t="s">
        <v>1795</v>
      </c>
      <c r="C185">
        <f t="array" ref="C185">D185:F185</f>
        <v>0.37773760000000001</v>
      </c>
      <c r="D185" s="22">
        <v>0.37773760000000001</v>
      </c>
      <c r="E185" s="22"/>
      <c r="F185" s="22"/>
    </row>
    <row r="186" spans="1:10">
      <c r="A186" t="s">
        <v>1281</v>
      </c>
      <c r="B186" t="s">
        <v>1796</v>
      </c>
      <c r="C186">
        <f t="array" ref="C186">D186:F186</f>
        <v>0</v>
      </c>
      <c r="D186" s="22">
        <v>0</v>
      </c>
      <c r="E186" s="22">
        <v>0</v>
      </c>
      <c r="F186" s="22">
        <v>0</v>
      </c>
      <c r="G186" t="str">
        <f t="shared" si="13"/>
        <v>CONCTHK_TK24_Q</v>
      </c>
      <c r="H186" t="str">
        <f t="shared" si="14"/>
        <v>0, 0);</v>
      </c>
      <c r="I186" t="str">
        <f t="shared" si="15"/>
        <v>0</v>
      </c>
      <c r="J186" t="str">
        <f t="shared" si="16"/>
        <v xml:space="preserve"> 0</v>
      </c>
    </row>
    <row r="187" spans="1:10">
      <c r="A187" t="s">
        <v>2335</v>
      </c>
      <c r="B187" t="s">
        <v>1797</v>
      </c>
      <c r="C187">
        <f t="array" ref="C187">D187:F187</f>
        <v>0.43535869999999999</v>
      </c>
      <c r="D187" s="22">
        <v>0.43535869999999999</v>
      </c>
      <c r="E187" s="22">
        <v>4.938E-2</v>
      </c>
      <c r="F187" s="22">
        <v>0.49380000000000002</v>
      </c>
      <c r="G187" t="str">
        <f t="shared" si="13"/>
        <v>CONCTHK_TK24_WF</v>
      </c>
      <c r="H187" t="str">
        <f t="shared" si="14"/>
        <v>.4938, .04938);</v>
      </c>
      <c r="I187" t="str">
        <f t="shared" si="15"/>
        <v>.4938</v>
      </c>
      <c r="J187" t="str">
        <f t="shared" si="16"/>
        <v xml:space="preserve"> .04938</v>
      </c>
    </row>
    <row r="188" spans="1:10">
      <c r="A188"/>
      <c r="B188" t="s">
        <v>1798</v>
      </c>
      <c r="C188">
        <f t="array" ref="C188">D188:F188</f>
        <v>0.37773760000000001</v>
      </c>
      <c r="D188" s="22">
        <v>0.37773760000000001</v>
      </c>
      <c r="E188" s="22"/>
      <c r="F188" s="22"/>
    </row>
    <row r="189" spans="1:10">
      <c r="A189" t="s">
        <v>2336</v>
      </c>
      <c r="B189" t="s">
        <v>1799</v>
      </c>
      <c r="C189">
        <f t="array" ref="C189">D189:F189</f>
        <v>667.31095500000004</v>
      </c>
      <c r="D189" s="22">
        <v>667.31095500000004</v>
      </c>
      <c r="E189" s="22">
        <v>130.67006000000001</v>
      </c>
      <c r="F189" s="22">
        <v>653.35029999999995</v>
      </c>
      <c r="G189" t="str">
        <f t="shared" si="13"/>
        <v>CONCTHK_TK25_Q</v>
      </c>
      <c r="H189" t="str">
        <f t="shared" si="14"/>
        <v>653.3503, 130.67006);</v>
      </c>
      <c r="I189" t="str">
        <f t="shared" si="15"/>
        <v>653.3503</v>
      </c>
      <c r="J189" t="str">
        <f t="shared" si="16"/>
        <v xml:space="preserve"> 130.67006</v>
      </c>
    </row>
    <row r="190" spans="1:10">
      <c r="A190" t="s">
        <v>2337</v>
      </c>
      <c r="B190" t="s">
        <v>1800</v>
      </c>
      <c r="C190">
        <f t="array" ref="C190">D190:F190</f>
        <v>0.43535869999999999</v>
      </c>
      <c r="D190" s="22">
        <v>0.43535869999999999</v>
      </c>
      <c r="E190" s="22">
        <v>3.8890000000000001E-2</v>
      </c>
      <c r="F190" s="22">
        <v>0.38890000000000002</v>
      </c>
      <c r="G190" t="str">
        <f t="shared" si="13"/>
        <v>CONCTHK_TK25_WF</v>
      </c>
      <c r="H190" t="str">
        <f t="shared" si="14"/>
        <v>.3889, .03889);</v>
      </c>
      <c r="I190" t="str">
        <f t="shared" si="15"/>
        <v>.3889</v>
      </c>
      <c r="J190" t="str">
        <f t="shared" si="16"/>
        <v xml:space="preserve"> .03889</v>
      </c>
    </row>
    <row r="191" spans="1:10">
      <c r="A191"/>
      <c r="B191" t="s">
        <v>1801</v>
      </c>
      <c r="C191">
        <f t="array" ref="C191">D191:F191</f>
        <v>0.37773760000000001</v>
      </c>
      <c r="D191" s="22">
        <v>0.37773760000000001</v>
      </c>
      <c r="E191" s="22"/>
      <c r="F191" s="22"/>
    </row>
    <row r="192" spans="1:10">
      <c r="A192" t="s">
        <v>2338</v>
      </c>
      <c r="B192" t="s">
        <v>1802</v>
      </c>
      <c r="C192">
        <f t="array" ref="C192">D192:F192</f>
        <v>1292.4398811000001</v>
      </c>
      <c r="D192" s="22">
        <v>1292.4398811000001</v>
      </c>
      <c r="E192" s="22">
        <v>253.26859999999999</v>
      </c>
      <c r="F192" s="22">
        <v>1266.3430000000001</v>
      </c>
      <c r="G192" t="str">
        <f t="shared" si="13"/>
        <v>CONCTHK_TK26_Q</v>
      </c>
      <c r="H192" t="str">
        <f t="shared" si="14"/>
        <v>1266.343, 253.2686);</v>
      </c>
      <c r="I192" t="str">
        <f t="shared" si="15"/>
        <v>1266.343</v>
      </c>
      <c r="J192" t="str">
        <f t="shared" si="16"/>
        <v xml:space="preserve"> 253.2686</v>
      </c>
    </row>
    <row r="193" spans="1:10">
      <c r="A193" t="s">
        <v>2339</v>
      </c>
      <c r="B193" t="s">
        <v>1803</v>
      </c>
      <c r="C193">
        <f t="array" ref="C193">D193:F193</f>
        <v>0.43535869999999999</v>
      </c>
      <c r="D193" s="22">
        <v>0.43535869999999999</v>
      </c>
      <c r="E193" s="22">
        <v>4.5879999999999997E-2</v>
      </c>
      <c r="F193" s="22">
        <v>0.45879999999999999</v>
      </c>
      <c r="G193" t="str">
        <f t="shared" si="13"/>
        <v>CONCTHK_TK26_WF</v>
      </c>
      <c r="H193" t="str">
        <f t="shared" si="14"/>
        <v>.4588, .04588);</v>
      </c>
      <c r="I193" t="str">
        <f t="shared" si="15"/>
        <v>.4588</v>
      </c>
      <c r="J193" t="str">
        <f t="shared" si="16"/>
        <v xml:space="preserve"> .04588</v>
      </c>
    </row>
    <row r="194" spans="1:10">
      <c r="A194" t="s">
        <v>2340</v>
      </c>
      <c r="B194" t="s">
        <v>1804</v>
      </c>
      <c r="C194">
        <f t="array" ref="C194">D194:F194</f>
        <v>0.37773760000000001</v>
      </c>
      <c r="D194" s="22">
        <v>0.37773760000000001</v>
      </c>
      <c r="E194" s="22">
        <v>3.8280000000000002E-2</v>
      </c>
      <c r="F194" s="22">
        <v>0.38279999999999997</v>
      </c>
      <c r="G194" t="str">
        <f t="shared" si="13"/>
        <v>CONCTHK_TKC_CF</v>
      </c>
      <c r="H194" t="str">
        <f t="shared" si="14"/>
        <v>.3828, .03828);</v>
      </c>
      <c r="I194" t="str">
        <f t="shared" si="15"/>
        <v>.3828</v>
      </c>
      <c r="J194" t="str">
        <f t="shared" si="16"/>
        <v xml:space="preserve"> .03828</v>
      </c>
    </row>
    <row r="195" spans="1:10">
      <c r="A195"/>
      <c r="B195" t="s">
        <v>1805</v>
      </c>
      <c r="C195">
        <f t="array" ref="C195">D195:F195</f>
        <v>1959.7508361</v>
      </c>
      <c r="D195" s="22">
        <v>1959.7508361</v>
      </c>
      <c r="E195" s="22"/>
      <c r="F195" s="22"/>
    </row>
    <row r="196" spans="1:10">
      <c r="A196" t="s">
        <v>2341</v>
      </c>
      <c r="B196" t="s">
        <v>1806</v>
      </c>
      <c r="C196">
        <f t="array" ref="C196">D196:F196</f>
        <v>0.43535869999999999</v>
      </c>
      <c r="D196" s="22">
        <v>0.43535869999999999</v>
      </c>
      <c r="E196" s="22">
        <v>4.2950000000000002E-2</v>
      </c>
      <c r="F196" s="22">
        <v>0.42949999999999999</v>
      </c>
      <c r="G196" t="str">
        <f t="shared" si="13"/>
        <v>CONCTHK_TKC_WF</v>
      </c>
      <c r="H196" t="str">
        <f t="shared" si="14"/>
        <v>.4295, .04295);</v>
      </c>
      <c r="I196" t="str">
        <f t="shared" si="15"/>
        <v>.4295</v>
      </c>
      <c r="J196" t="str">
        <f t="shared" si="16"/>
        <v xml:space="preserve"> .04295</v>
      </c>
    </row>
    <row r="197" spans="1:10">
      <c r="A197"/>
      <c r="B197" t="s">
        <v>1807</v>
      </c>
      <c r="C197">
        <f t="array" ref="C197">D197:F197</f>
        <v>0.37288929999999998</v>
      </c>
      <c r="D197" s="22">
        <v>0.37288929999999998</v>
      </c>
      <c r="E197" s="22"/>
      <c r="F197" s="22"/>
    </row>
    <row r="198" spans="1:10">
      <c r="A198" t="s">
        <v>2342</v>
      </c>
      <c r="B198" t="s">
        <v>1808</v>
      </c>
      <c r="C198">
        <f t="array" ref="C198">D198:F198</f>
        <v>123.55631839999999</v>
      </c>
      <c r="D198" s="22">
        <v>123.55631839999999</v>
      </c>
      <c r="E198" s="22">
        <v>69.375540000000001</v>
      </c>
      <c r="F198" s="22">
        <v>115.6259</v>
      </c>
      <c r="G198" t="str">
        <f t="shared" si="13"/>
        <v>DI101_CONCTHK21_Q</v>
      </c>
      <c r="H198" t="str">
        <f t="shared" si="14"/>
        <v>115.6259, 69.37554);</v>
      </c>
      <c r="I198" t="str">
        <f t="shared" si="15"/>
        <v>115.6259</v>
      </c>
      <c r="J198" t="str">
        <f t="shared" si="16"/>
        <v xml:space="preserve"> 69.37554</v>
      </c>
    </row>
    <row r="199" spans="1:10">
      <c r="A199"/>
      <c r="B199" t="s">
        <v>1809</v>
      </c>
      <c r="C199">
        <f t="array" ref="C199">D199:F199</f>
        <v>2.5967175</v>
      </c>
      <c r="D199" s="22">
        <v>2.5967175</v>
      </c>
      <c r="E199" s="22"/>
      <c r="F199" s="22"/>
    </row>
    <row r="200" spans="1:10">
      <c r="A200" t="s">
        <v>2343</v>
      </c>
      <c r="B200" t="s">
        <v>1810</v>
      </c>
      <c r="C200">
        <f t="array" ref="C200">D200:F200</f>
        <v>0.37288929999999998</v>
      </c>
      <c r="D200" s="22">
        <v>0.37288929999999998</v>
      </c>
      <c r="E200" s="22">
        <v>1416.1554000000001</v>
      </c>
      <c r="F200" s="22">
        <v>2360.259</v>
      </c>
      <c r="G200" t="str">
        <f t="shared" si="13"/>
        <v>DI101_CONCTHK22_Q</v>
      </c>
      <c r="H200" t="str">
        <f t="shared" si="14"/>
        <v>2360.259, 1416.1554);</v>
      </c>
      <c r="I200" t="str">
        <f t="shared" si="15"/>
        <v>2360.259</v>
      </c>
      <c r="J200" t="str">
        <f t="shared" si="16"/>
        <v xml:space="preserve"> 1416.1554</v>
      </c>
    </row>
    <row r="201" spans="1:10">
      <c r="A201"/>
      <c r="B201" t="s">
        <v>1811</v>
      </c>
      <c r="C201">
        <f t="array" ref="C201">D201:F201</f>
        <v>2380.9812327</v>
      </c>
      <c r="D201" s="22">
        <v>2380.9812327</v>
      </c>
      <c r="E201" s="22"/>
      <c r="F201" s="22"/>
    </row>
    <row r="202" spans="1:10">
      <c r="A202"/>
      <c r="B202" t="s">
        <v>1812</v>
      </c>
      <c r="C202">
        <f t="array" ref="C202">D202:F202</f>
        <v>2.5967175</v>
      </c>
      <c r="D202" s="22">
        <v>2.5967175</v>
      </c>
      <c r="E202" s="22"/>
      <c r="F202" s="22"/>
    </row>
    <row r="203" spans="1:10">
      <c r="A203"/>
      <c r="B203" t="s">
        <v>1813</v>
      </c>
      <c r="C203">
        <f t="array" ref="C203">D203:F203</f>
        <v>0.37288929999999998</v>
      </c>
      <c r="D203" s="22">
        <v>0.37288929999999998</v>
      </c>
      <c r="E203" s="22"/>
      <c r="F203" s="22"/>
    </row>
    <row r="204" spans="1:10">
      <c r="A204"/>
      <c r="B204" t="s">
        <v>1814</v>
      </c>
      <c r="C204">
        <f t="array" ref="C204">D204:F204</f>
        <v>2504.5375511000002</v>
      </c>
      <c r="D204" s="22">
        <v>2504.5375511000002</v>
      </c>
      <c r="E204" s="22"/>
      <c r="F204" s="22"/>
    </row>
    <row r="205" spans="1:10">
      <c r="A205"/>
      <c r="B205" t="s">
        <v>1815</v>
      </c>
      <c r="C205">
        <f t="array" ref="C205">D205:F205</f>
        <v>2.5967175</v>
      </c>
      <c r="D205" s="22">
        <v>2.5967175</v>
      </c>
      <c r="E205" s="22"/>
      <c r="F205" s="22"/>
    </row>
    <row r="206" spans="1:10">
      <c r="A206" t="s">
        <v>2344</v>
      </c>
      <c r="B206" t="s">
        <v>1816</v>
      </c>
      <c r="C206">
        <f t="array" ref="C206">D206:F206</f>
        <v>3.0994999999999998E-3</v>
      </c>
      <c r="D206" s="22">
        <v>3.0994999999999998E-3</v>
      </c>
      <c r="E206" s="22">
        <v>1114.2654</v>
      </c>
      <c r="F206" s="22">
        <v>5571.3270000000002</v>
      </c>
      <c r="G206" t="str">
        <f t="shared" si="13"/>
        <v>DI150_TAILTHK6_Q</v>
      </c>
      <c r="H206" t="str">
        <f t="shared" si="14"/>
        <v>5571.327, 1114.2654);</v>
      </c>
      <c r="I206" t="str">
        <f t="shared" si="15"/>
        <v>5571.327</v>
      </c>
      <c r="J206" t="str">
        <f t="shared" si="16"/>
        <v xml:space="preserve"> 1114.2654</v>
      </c>
    </row>
    <row r="207" spans="1:10">
      <c r="A207"/>
      <c r="B207" t="s">
        <v>1817</v>
      </c>
      <c r="C207">
        <f t="array" ref="C207">D207:F207</f>
        <v>6386.6891825000002</v>
      </c>
      <c r="D207" s="22">
        <v>6386.6891825000002</v>
      </c>
      <c r="E207" s="22"/>
      <c r="F207" s="22"/>
    </row>
    <row r="208" spans="1:10">
      <c r="A208"/>
      <c r="B208" t="s">
        <v>1818</v>
      </c>
      <c r="C208">
        <f t="array" ref="C208">D208:F208</f>
        <v>2.8654912000000001</v>
      </c>
      <c r="D208" s="22">
        <v>2.8654912000000001</v>
      </c>
      <c r="E208" s="22"/>
      <c r="F208" s="22"/>
    </row>
    <row r="209" spans="1:10">
      <c r="A209" t="s">
        <v>2345</v>
      </c>
      <c r="B209" t="s">
        <v>1819</v>
      </c>
      <c r="C209">
        <f t="array" ref="C209">D209:F209</f>
        <v>3.0994999999999998E-3</v>
      </c>
      <c r="D209" s="22">
        <v>3.0994999999999998E-3</v>
      </c>
      <c r="E209" s="22">
        <v>3928.0540000000001</v>
      </c>
      <c r="F209" s="22">
        <v>19640.27</v>
      </c>
      <c r="G209" t="str">
        <f t="shared" si="13"/>
        <v>DI150_TAILTHK7_Q</v>
      </c>
      <c r="H209" t="str">
        <f t="shared" si="14"/>
        <v>19640.27, 3928.054);</v>
      </c>
      <c r="I209" t="str">
        <f t="shared" si="15"/>
        <v>19640.27</v>
      </c>
      <c r="J209" t="str">
        <f t="shared" si="16"/>
        <v xml:space="preserve"> 3928.054</v>
      </c>
    </row>
    <row r="210" spans="1:10">
      <c r="A210"/>
      <c r="B210" t="s">
        <v>1820</v>
      </c>
      <c r="C210">
        <f t="array" ref="C210">D210:F210</f>
        <v>27689.391790999998</v>
      </c>
      <c r="D210" s="22">
        <v>27689.391790999998</v>
      </c>
      <c r="E210" s="22"/>
      <c r="F210" s="22"/>
    </row>
    <row r="211" spans="1:10">
      <c r="A211"/>
      <c r="B211" t="s">
        <v>1821</v>
      </c>
      <c r="C211">
        <f t="array" ref="C211">D211:F211</f>
        <v>2.8654912000000001</v>
      </c>
      <c r="D211" s="22">
        <v>2.8654912000000001</v>
      </c>
      <c r="E211" s="22"/>
      <c r="F211" s="22"/>
    </row>
    <row r="212" spans="1:10">
      <c r="A212"/>
      <c r="B212" t="s">
        <v>1822</v>
      </c>
      <c r="C212">
        <f t="array" ref="C212">D212:F212</f>
        <v>3.0994999999999998E-3</v>
      </c>
      <c r="D212" s="22">
        <v>3.0994999999999998E-3</v>
      </c>
      <c r="E212" s="22"/>
      <c r="F212" s="22"/>
    </row>
    <row r="213" spans="1:10">
      <c r="A213" t="s">
        <v>2346</v>
      </c>
      <c r="B213" t="s">
        <v>1823</v>
      </c>
      <c r="C213">
        <f t="array" ref="C213">D213:F213</f>
        <v>22039.5212842</v>
      </c>
      <c r="D213" s="22">
        <v>22039.5212842</v>
      </c>
      <c r="E213" s="22">
        <v>3395.748</v>
      </c>
      <c r="F213" s="22">
        <v>16978.740000000002</v>
      </c>
      <c r="G213" t="str">
        <f t="shared" si="13"/>
        <v>DI150_TAILTHK8_Q</v>
      </c>
      <c r="H213" t="str">
        <f t="shared" si="14"/>
        <v>16978.74, 3395.748);</v>
      </c>
      <c r="I213" t="str">
        <f t="shared" si="15"/>
        <v>16978.74</v>
      </c>
      <c r="J213" t="str">
        <f t="shared" si="16"/>
        <v xml:space="preserve"> 3395.748</v>
      </c>
    </row>
    <row r="214" spans="1:10">
      <c r="A214"/>
      <c r="B214" t="s">
        <v>1824</v>
      </c>
      <c r="C214">
        <f t="array" ref="C214">D214:F214</f>
        <v>2.8654912000000001</v>
      </c>
      <c r="D214" s="22">
        <v>2.8654912000000001</v>
      </c>
      <c r="E214" s="22"/>
      <c r="F214" s="22"/>
    </row>
    <row r="215" spans="1:10">
      <c r="A215" t="s">
        <v>2347</v>
      </c>
      <c r="B215" t="s">
        <v>1825</v>
      </c>
      <c r="C215">
        <f t="array" ref="C215">D215:F215</f>
        <v>1.8898700000000001E-2</v>
      </c>
      <c r="D215" s="22">
        <v>1.8898700000000001E-2</v>
      </c>
      <c r="E215" s="22">
        <v>3.7797E-3</v>
      </c>
      <c r="F215" s="22">
        <v>1.8898700000000001E-2</v>
      </c>
      <c r="G215" t="str">
        <f t="shared" ref="G215:G277" si="17">MID(A215,FIND("*/",A215)+3,FIND(":",A215)-3 -FIND("*/",A215))</f>
        <v>FEED_CF</v>
      </c>
      <c r="H215" t="str">
        <f t="shared" ref="H215:H277" si="18">MID(A215,FIND("(",A215)+1,50)</f>
        <v>.0188987, .0037797);</v>
      </c>
      <c r="I215" t="str">
        <f t="shared" ref="I215:I277" si="19">MID(H215,1,FIND(",",H215)-1)</f>
        <v>.0188987</v>
      </c>
      <c r="J215" t="str">
        <f t="shared" ref="J215:J277" si="20">MID(H215,FIND(",",H215)+1,LEN(H215)-FIND(",",H215)-2)</f>
        <v xml:space="preserve"> .0037797</v>
      </c>
    </row>
    <row r="216" spans="1:10">
      <c r="A216" t="s">
        <v>2348</v>
      </c>
      <c r="B216" t="s">
        <v>1826</v>
      </c>
      <c r="C216">
        <f t="array" ref="C216">D216:F216</f>
        <v>58620.139808699998</v>
      </c>
      <c r="D216" s="22">
        <v>58620.139808699998</v>
      </c>
      <c r="E216" s="22">
        <v>293.21480000000003</v>
      </c>
      <c r="F216" s="22">
        <v>58642.96</v>
      </c>
      <c r="G216" t="str">
        <f t="shared" si="17"/>
        <v>FEED_Q</v>
      </c>
      <c r="H216" t="str">
        <f t="shared" si="18"/>
        <v>58642.96, 293.2148);</v>
      </c>
      <c r="I216" t="str">
        <f t="shared" si="19"/>
        <v>58642.96</v>
      </c>
      <c r="J216" t="str">
        <f t="shared" si="20"/>
        <v xml:space="preserve"> 293.2148</v>
      </c>
    </row>
    <row r="217" spans="1:10">
      <c r="A217" t="s">
        <v>2349</v>
      </c>
      <c r="B217" t="s">
        <v>1827</v>
      </c>
      <c r="C217">
        <f t="array" ref="C217">D217:F217</f>
        <v>3.08994E-2</v>
      </c>
      <c r="D217" s="22">
        <v>3.08994E-2</v>
      </c>
      <c r="E217" s="22">
        <v>3.0899999999999998E-4</v>
      </c>
      <c r="F217" s="22">
        <v>3.09E-2</v>
      </c>
      <c r="G217" t="str">
        <f t="shared" si="17"/>
        <v>FEED_WF</v>
      </c>
      <c r="H217" t="str">
        <f t="shared" si="18"/>
        <v>.0309, .000309);</v>
      </c>
      <c r="I217" t="str">
        <f t="shared" si="19"/>
        <v>.0309</v>
      </c>
      <c r="J217" t="str">
        <f t="shared" si="20"/>
        <v xml:space="preserve"> .000309</v>
      </c>
    </row>
    <row r="218" spans="1:10">
      <c r="A218" t="s">
        <v>1282</v>
      </c>
      <c r="B218" t="s">
        <v>1828</v>
      </c>
      <c r="C218">
        <f t="array" ref="C218">D218:F218</f>
        <v>0.37288929999999998</v>
      </c>
      <c r="D218" s="22">
        <v>0.37288929999999998</v>
      </c>
      <c r="E218" s="22">
        <v>0</v>
      </c>
      <c r="F218" s="22">
        <v>0.37288929999999998</v>
      </c>
      <c r="G218" t="str">
        <f t="shared" si="17"/>
        <v>FINALCONC_CF</v>
      </c>
      <c r="H218" t="str">
        <f t="shared" si="18"/>
        <v>.3728893, 0);</v>
      </c>
      <c r="I218" t="str">
        <f t="shared" si="19"/>
        <v>.3728893</v>
      </c>
      <c r="J218" t="str">
        <f t="shared" si="20"/>
        <v xml:space="preserve"> 0</v>
      </c>
    </row>
    <row r="219" spans="1:10">
      <c r="A219"/>
      <c r="B219" t="s">
        <v>1829</v>
      </c>
      <c r="C219">
        <f t="array" ref="C219">D219:F219</f>
        <v>2504.5375511000002</v>
      </c>
      <c r="D219" s="22">
        <v>2504.5375511000002</v>
      </c>
      <c r="E219" s="22"/>
      <c r="F219" s="22"/>
    </row>
    <row r="220" spans="1:10">
      <c r="A220" t="s">
        <v>2350</v>
      </c>
      <c r="B220" t="s">
        <v>1830</v>
      </c>
      <c r="C220">
        <f t="array" ref="C220">D220:F220</f>
        <v>2.5967175</v>
      </c>
      <c r="D220" s="22">
        <v>2.5967175</v>
      </c>
      <c r="E220" s="22">
        <v>5.1942000000000002E-2</v>
      </c>
      <c r="F220" s="22">
        <v>2.5971000000000002</v>
      </c>
      <c r="G220" t="str">
        <f t="shared" si="17"/>
        <v>FINALCONC_WF</v>
      </c>
      <c r="H220" t="str">
        <f t="shared" si="18"/>
        <v>2.5971, .051942);</v>
      </c>
      <c r="I220" t="str">
        <f t="shared" si="19"/>
        <v>2.5971</v>
      </c>
      <c r="J220" t="str">
        <f t="shared" si="20"/>
        <v xml:space="preserve"> .051942</v>
      </c>
    </row>
    <row r="221" spans="1:10">
      <c r="A221" t="s">
        <v>1283</v>
      </c>
      <c r="B221" t="s">
        <v>1831</v>
      </c>
      <c r="C221">
        <f t="array" ref="C221">D221:F221</f>
        <v>0</v>
      </c>
      <c r="D221" s="22">
        <v>0</v>
      </c>
      <c r="E221" s="22">
        <v>0</v>
      </c>
      <c r="F221" s="22">
        <v>0</v>
      </c>
      <c r="G221" t="str">
        <f t="shared" si="17"/>
        <v>H2ODISCHARGE_Q</v>
      </c>
      <c r="H221" t="str">
        <f t="shared" si="18"/>
        <v>0, 0);</v>
      </c>
      <c r="I221" t="str">
        <f t="shared" si="19"/>
        <v>0</v>
      </c>
      <c r="J221" t="str">
        <f t="shared" si="20"/>
        <v xml:space="preserve"> 0</v>
      </c>
    </row>
    <row r="222" spans="1:10">
      <c r="A222"/>
      <c r="B222" t="s">
        <v>1832</v>
      </c>
      <c r="C222">
        <f t="array" ref="C222">D222:F222</f>
        <v>22362.388009800001</v>
      </c>
      <c r="D222" s="22">
        <v>22362.388009800001</v>
      </c>
      <c r="E222" s="22"/>
      <c r="F222" s="22"/>
    </row>
    <row r="223" spans="1:10">
      <c r="A223"/>
      <c r="B223" t="s">
        <v>1833</v>
      </c>
      <c r="C223">
        <f t="array" ref="C223">D223:F223</f>
        <v>163612.82689900001</v>
      </c>
      <c r="D223" s="22">
        <v>163612.82689900001</v>
      </c>
      <c r="E223" s="22"/>
      <c r="F223" s="22"/>
    </row>
    <row r="224" spans="1:10">
      <c r="A224" t="s">
        <v>2351</v>
      </c>
      <c r="B224" t="s">
        <v>1834</v>
      </c>
      <c r="C224">
        <f t="array" ref="C224">D224:F224</f>
        <v>248.1366471</v>
      </c>
      <c r="D224" s="22">
        <v>248.1366471</v>
      </c>
      <c r="E224" s="22">
        <v>24.79974</v>
      </c>
      <c r="F224" s="22">
        <v>247.9974</v>
      </c>
      <c r="G224" t="str">
        <f t="shared" si="17"/>
        <v>H2OSEAL_1CLN_Q</v>
      </c>
      <c r="H224" t="str">
        <f t="shared" si="18"/>
        <v>247.9974, 24.79974);</v>
      </c>
      <c r="I224" t="str">
        <f t="shared" si="19"/>
        <v>247.9974</v>
      </c>
      <c r="J224" t="str">
        <f t="shared" si="20"/>
        <v xml:space="preserve"> 24.79974</v>
      </c>
    </row>
    <row r="225" spans="1:10">
      <c r="A225" t="s">
        <v>2352</v>
      </c>
      <c r="B225" t="s">
        <v>1835</v>
      </c>
      <c r="C225">
        <f t="array" ref="C225">D225:F225</f>
        <v>157.71617739999999</v>
      </c>
      <c r="D225" s="22">
        <v>157.71617739999999</v>
      </c>
      <c r="E225" s="22">
        <v>15.76599</v>
      </c>
      <c r="F225" s="22">
        <v>157.65989999999999</v>
      </c>
      <c r="G225" t="str">
        <f t="shared" si="17"/>
        <v>H2OSEAL_DI30_Q</v>
      </c>
      <c r="H225" t="str">
        <f t="shared" si="18"/>
        <v>157.6599, 15.76599);</v>
      </c>
      <c r="I225" t="str">
        <f t="shared" si="19"/>
        <v>157.6599</v>
      </c>
      <c r="J225" t="str">
        <f t="shared" si="20"/>
        <v xml:space="preserve"> 15.76599</v>
      </c>
    </row>
    <row r="226" spans="1:10">
      <c r="A226"/>
      <c r="B226" t="s">
        <v>1836</v>
      </c>
      <c r="C226">
        <f t="array" ref="C226">D226:F226</f>
        <v>1878.1868692</v>
      </c>
      <c r="D226" s="22">
        <v>1878.1868692</v>
      </c>
      <c r="E226" s="22"/>
      <c r="F226" s="22"/>
    </row>
    <row r="227" spans="1:10">
      <c r="A227" t="s">
        <v>2353</v>
      </c>
      <c r="B227" t="s">
        <v>1837</v>
      </c>
      <c r="C227">
        <f t="array" ref="C227">D227:F227</f>
        <v>253.91860819999999</v>
      </c>
      <c r="D227" s="22">
        <v>253.91860819999999</v>
      </c>
      <c r="E227" s="22">
        <v>25.377279999999999</v>
      </c>
      <c r="F227" s="22">
        <v>253.77279999999999</v>
      </c>
      <c r="G227" t="str">
        <f t="shared" si="17"/>
        <v>H2OSEAL_REM_1_Q</v>
      </c>
      <c r="H227" t="str">
        <f t="shared" si="18"/>
        <v>253.7728, 25.37728);</v>
      </c>
      <c r="I227" t="str">
        <f t="shared" si="19"/>
        <v>253.7728</v>
      </c>
      <c r="J227" t="str">
        <f t="shared" si="20"/>
        <v xml:space="preserve"> 25.37728</v>
      </c>
    </row>
    <row r="228" spans="1:10">
      <c r="A228" t="s">
        <v>2354</v>
      </c>
      <c r="B228" t="s">
        <v>1838</v>
      </c>
      <c r="C228">
        <f t="array" ref="C228">D228:F228</f>
        <v>463.89691010000001</v>
      </c>
      <c r="D228" s="22">
        <v>463.89691010000001</v>
      </c>
      <c r="E228" s="22">
        <v>46.341070000000002</v>
      </c>
      <c r="F228" s="22">
        <v>463.41070000000002</v>
      </c>
      <c r="G228" t="str">
        <f t="shared" si="17"/>
        <v>H2OSEAL_REM_2_Q</v>
      </c>
      <c r="H228" t="str">
        <f t="shared" si="18"/>
        <v>463.4107, 46.34107);</v>
      </c>
      <c r="I228" t="str">
        <f t="shared" si="19"/>
        <v>463.4107</v>
      </c>
      <c r="J228" t="str">
        <f t="shared" si="20"/>
        <v xml:space="preserve"> 46.34107</v>
      </c>
    </row>
    <row r="229" spans="1:10">
      <c r="A229"/>
      <c r="B229" t="s">
        <v>1839</v>
      </c>
      <c r="C229">
        <f t="array" ref="C229">D229:F229</f>
        <v>142367.82906700001</v>
      </c>
      <c r="D229" s="22">
        <v>142367.82906700001</v>
      </c>
      <c r="E229" s="22"/>
      <c r="F229" s="22"/>
    </row>
    <row r="230" spans="1:10">
      <c r="A230"/>
      <c r="B230" t="s">
        <v>1840</v>
      </c>
      <c r="C230">
        <f t="array" ref="C230">D230:F230</f>
        <v>1.8898700000000001E-2</v>
      </c>
      <c r="D230" s="22">
        <v>1.8898700000000001E-2</v>
      </c>
      <c r="E230" s="22"/>
      <c r="F230" s="22"/>
    </row>
    <row r="231" spans="1:10">
      <c r="A231"/>
      <c r="B231" t="s">
        <v>1841</v>
      </c>
      <c r="C231">
        <f t="array" ref="C231">D231:F231</f>
        <v>58620.139808699998</v>
      </c>
      <c r="D231" s="22">
        <v>58620.139808699998</v>
      </c>
      <c r="E231" s="22"/>
      <c r="F231" s="22"/>
    </row>
    <row r="232" spans="1:10">
      <c r="A232"/>
      <c r="B232" t="s">
        <v>1842</v>
      </c>
      <c r="C232">
        <f t="array" ref="C232">D232:F232</f>
        <v>1.6232734</v>
      </c>
      <c r="D232" s="22">
        <v>1.6232734</v>
      </c>
      <c r="E232" s="22"/>
      <c r="F232" s="22"/>
    </row>
    <row r="233" spans="1:10">
      <c r="A233" t="s">
        <v>2355</v>
      </c>
      <c r="B233" t="s">
        <v>1843</v>
      </c>
      <c r="C233">
        <f t="array" ref="C233">D233:F233</f>
        <v>0.37064399999999997</v>
      </c>
      <c r="D233" s="22">
        <v>0.37064399999999997</v>
      </c>
      <c r="E233" s="22">
        <v>1.9820000000000001E-2</v>
      </c>
      <c r="F233" s="22">
        <v>0.39639999999999997</v>
      </c>
      <c r="G233" t="str">
        <f t="shared" si="17"/>
        <v>PIPELINE_CLOSE_CF</v>
      </c>
      <c r="H233" t="str">
        <f t="shared" si="18"/>
        <v>.3964, .01982);</v>
      </c>
      <c r="I233" t="str">
        <f t="shared" si="19"/>
        <v>.3964</v>
      </c>
      <c r="J233" t="str">
        <f t="shared" si="20"/>
        <v xml:space="preserve"> .01982</v>
      </c>
    </row>
    <row r="234" spans="1:10">
      <c r="A234" t="s">
        <v>2356</v>
      </c>
      <c r="B234" t="s">
        <v>1844</v>
      </c>
      <c r="C234">
        <f t="array" ref="C234">D234:F234</f>
        <v>700</v>
      </c>
      <c r="D234" s="22">
        <v>700</v>
      </c>
      <c r="E234" s="22">
        <v>0</v>
      </c>
      <c r="F234" s="22">
        <v>700</v>
      </c>
      <c r="G234" t="str">
        <f t="shared" si="17"/>
        <v>PIPELINE_CLOSE_Q</v>
      </c>
      <c r="H234" t="str">
        <f t="shared" si="18"/>
        <v>700, 0);</v>
      </c>
      <c r="I234" t="str">
        <f t="shared" si="19"/>
        <v>700</v>
      </c>
      <c r="J234" t="str">
        <f t="shared" si="20"/>
        <v xml:space="preserve"> 0</v>
      </c>
    </row>
    <row r="235" spans="1:10">
      <c r="A235" t="s">
        <v>2357</v>
      </c>
      <c r="B235" t="s">
        <v>1845</v>
      </c>
      <c r="C235">
        <f t="array" ref="C235">D235:F235</f>
        <v>0.45308670000000001</v>
      </c>
      <c r="D235" s="22">
        <v>0.45308670000000001</v>
      </c>
      <c r="E235" s="22">
        <v>4.793E-2</v>
      </c>
      <c r="F235" s="22">
        <v>0.4793</v>
      </c>
      <c r="G235" t="str">
        <f t="shared" si="17"/>
        <v>PIPELINE_CLOSE_WF</v>
      </c>
      <c r="H235" t="str">
        <f t="shared" si="18"/>
        <v>.4793, .04793);</v>
      </c>
      <c r="I235" t="str">
        <f t="shared" si="19"/>
        <v>.4793</v>
      </c>
      <c r="J235" t="str">
        <f t="shared" si="20"/>
        <v xml:space="preserve"> .04793</v>
      </c>
    </row>
    <row r="236" spans="1:10">
      <c r="A236" t="s">
        <v>1284</v>
      </c>
      <c r="B236" t="s">
        <v>1846</v>
      </c>
      <c r="C236">
        <f t="array" ref="C236">D236:F236</f>
        <v>0.36297600000000002</v>
      </c>
      <c r="D236" s="22">
        <v>0.36297600000000002</v>
      </c>
      <c r="E236" s="22">
        <v>0</v>
      </c>
      <c r="F236" s="22">
        <v>0.36297600000000002</v>
      </c>
      <c r="G236" t="str">
        <f t="shared" si="17"/>
        <v>PIPELINE_OPEN_CF</v>
      </c>
      <c r="H236" t="str">
        <f t="shared" si="18"/>
        <v>.362976, 0);</v>
      </c>
      <c r="I236" t="str">
        <f t="shared" si="19"/>
        <v>.362976</v>
      </c>
      <c r="J236" t="str">
        <f t="shared" si="20"/>
        <v xml:space="preserve"> 0</v>
      </c>
    </row>
    <row r="237" spans="1:10">
      <c r="A237" t="s">
        <v>1285</v>
      </c>
      <c r="B237" t="s">
        <v>1847</v>
      </c>
      <c r="C237">
        <f t="array" ref="C237">D237:F237</f>
        <v>700</v>
      </c>
      <c r="D237" s="22">
        <v>700</v>
      </c>
      <c r="E237" s="22">
        <v>0</v>
      </c>
      <c r="F237" s="22">
        <v>700</v>
      </c>
      <c r="G237" t="str">
        <f t="shared" si="17"/>
        <v>PIPELINE_OPEN_Q</v>
      </c>
      <c r="H237" t="str">
        <f t="shared" si="18"/>
        <v>700, 0);</v>
      </c>
      <c r="I237" t="str">
        <f t="shared" si="19"/>
        <v>700</v>
      </c>
      <c r="J237" t="str">
        <f t="shared" si="20"/>
        <v xml:space="preserve"> 0</v>
      </c>
    </row>
    <row r="238" spans="1:10">
      <c r="A238" t="s">
        <v>1286</v>
      </c>
      <c r="B238" t="s">
        <v>1848</v>
      </c>
      <c r="C238">
        <f t="array" ref="C238">D238:F238</f>
        <v>0.4538432</v>
      </c>
      <c r="D238" s="22">
        <v>0.4538432</v>
      </c>
      <c r="E238" s="22">
        <v>0</v>
      </c>
      <c r="F238" s="22">
        <v>0.4538432</v>
      </c>
      <c r="G238" t="str">
        <f t="shared" si="17"/>
        <v>PIPELINE_OPEN_WF</v>
      </c>
      <c r="H238" t="str">
        <f t="shared" si="18"/>
        <v>.4538432, 0);</v>
      </c>
      <c r="I238" t="str">
        <f t="shared" si="19"/>
        <v>.4538432</v>
      </c>
      <c r="J238" t="str">
        <f t="shared" si="20"/>
        <v xml:space="preserve"> 0</v>
      </c>
    </row>
    <row r="239" spans="1:10">
      <c r="A239" t="s">
        <v>2358</v>
      </c>
      <c r="B239" t="s">
        <v>1849</v>
      </c>
      <c r="C239">
        <f t="array" ref="C239">D239:F239</f>
        <v>0.37064399999999997</v>
      </c>
      <c r="D239" s="22">
        <v>0.37064399999999997</v>
      </c>
      <c r="E239" s="22">
        <v>3.9640000000000002E-2</v>
      </c>
      <c r="F239" s="22">
        <v>0.39639999999999997</v>
      </c>
      <c r="G239" t="str">
        <f t="shared" si="17"/>
        <v>PIPE_TKCLC_CF</v>
      </c>
      <c r="H239" t="str">
        <f t="shared" si="18"/>
        <v>.3964, .03964);</v>
      </c>
      <c r="I239" t="str">
        <f t="shared" si="19"/>
        <v>.3964</v>
      </c>
      <c r="J239" t="str">
        <f t="shared" si="20"/>
        <v xml:space="preserve"> .03964</v>
      </c>
    </row>
    <row r="240" spans="1:10">
      <c r="A240" t="s">
        <v>2359</v>
      </c>
      <c r="B240" t="s">
        <v>1850</v>
      </c>
      <c r="C240">
        <f t="array" ref="C240">D240:F240</f>
        <v>1771.3037405</v>
      </c>
      <c r="D240" s="22">
        <v>1771.3037405</v>
      </c>
      <c r="E240" s="22">
        <v>88.077349999999996</v>
      </c>
      <c r="F240" s="22">
        <v>1761.547</v>
      </c>
      <c r="G240" t="str">
        <f t="shared" si="17"/>
        <v>PIPE_TKCLC_Q</v>
      </c>
      <c r="H240" t="str">
        <f t="shared" si="18"/>
        <v>1761.547, 88.07735);</v>
      </c>
      <c r="I240" t="str">
        <f t="shared" si="19"/>
        <v>1761.547</v>
      </c>
      <c r="J240" t="str">
        <f t="shared" si="20"/>
        <v xml:space="preserve"> 88.07735</v>
      </c>
    </row>
    <row r="241" spans="1:10">
      <c r="A241" t="s">
        <v>2360</v>
      </c>
      <c r="B241" t="s">
        <v>1851</v>
      </c>
      <c r="C241">
        <f t="array" ref="C241">D241:F241</f>
        <v>0.45308670000000001</v>
      </c>
      <c r="D241" s="22">
        <v>0.45308670000000001</v>
      </c>
      <c r="E241" s="22">
        <v>0.10126</v>
      </c>
      <c r="F241" s="22">
        <v>0.50629999999999997</v>
      </c>
      <c r="G241" t="str">
        <f t="shared" si="17"/>
        <v>PIPE_TKCLC_WF</v>
      </c>
      <c r="H241" t="str">
        <f t="shared" si="18"/>
        <v>.5063, .10126);</v>
      </c>
      <c r="I241" t="str">
        <f t="shared" si="19"/>
        <v>.5063</v>
      </c>
      <c r="J241" t="str">
        <f t="shared" si="20"/>
        <v xml:space="preserve"> .10126</v>
      </c>
    </row>
    <row r="242" spans="1:10">
      <c r="A242" t="s">
        <v>1287</v>
      </c>
      <c r="B242" t="s">
        <v>1852</v>
      </c>
      <c r="C242">
        <f t="array" ref="C242">D242:F242</f>
        <v>0</v>
      </c>
      <c r="D242" s="22">
        <v>0</v>
      </c>
      <c r="E242" s="22">
        <v>0</v>
      </c>
      <c r="F242" s="22">
        <v>0</v>
      </c>
      <c r="G242" t="str">
        <f t="shared" si="17"/>
        <v>PLANTA_RO_FEED_Q</v>
      </c>
      <c r="H242" t="str">
        <f t="shared" si="18"/>
        <v>0, 0);</v>
      </c>
      <c r="I242" t="str">
        <f t="shared" si="19"/>
        <v>0</v>
      </c>
      <c r="J242" t="str">
        <f t="shared" si="20"/>
        <v xml:space="preserve"> 0</v>
      </c>
    </row>
    <row r="243" spans="1:10">
      <c r="A243" t="s">
        <v>2361</v>
      </c>
      <c r="B243" t="s">
        <v>1853</v>
      </c>
      <c r="C243">
        <f t="array" ref="C243">D243:F243</f>
        <v>25980.465189499999</v>
      </c>
      <c r="D243" s="22">
        <v>25980.465189499999</v>
      </c>
      <c r="E243" s="22">
        <v>2684.9409999999998</v>
      </c>
      <c r="F243" s="22">
        <v>26849.41</v>
      </c>
      <c r="G243" t="str">
        <f t="shared" si="17"/>
        <v>POND_RECVR_Q</v>
      </c>
      <c r="H243" t="str">
        <f t="shared" si="18"/>
        <v>26849.41, 2684.941);</v>
      </c>
      <c r="I243" t="str">
        <f t="shared" si="19"/>
        <v>26849.41</v>
      </c>
      <c r="J243" t="str">
        <f t="shared" si="20"/>
        <v xml:space="preserve"> 2684.941</v>
      </c>
    </row>
    <row r="244" spans="1:10">
      <c r="A244" t="s">
        <v>1288</v>
      </c>
      <c r="B244" t="s">
        <v>1854</v>
      </c>
      <c r="C244">
        <f t="array" ref="C244">D244:F244</f>
        <v>0</v>
      </c>
      <c r="D244" s="22">
        <v>0</v>
      </c>
      <c r="E244" s="22">
        <v>0</v>
      </c>
      <c r="F244" s="22">
        <v>0</v>
      </c>
      <c r="G244" t="str">
        <f t="shared" si="17"/>
        <v>POOL_2CLNCONC_Q</v>
      </c>
      <c r="H244" t="str">
        <f t="shared" si="18"/>
        <v>0, 0);</v>
      </c>
      <c r="I244" t="str">
        <f t="shared" si="19"/>
        <v>0</v>
      </c>
      <c r="J244" t="str">
        <f t="shared" si="20"/>
        <v xml:space="preserve"> 0</v>
      </c>
    </row>
    <row r="245" spans="1:10">
      <c r="A245" t="s">
        <v>2362</v>
      </c>
      <c r="B245" t="s">
        <v>1855</v>
      </c>
      <c r="C245">
        <f t="array" ref="C245">D245:F245</f>
        <v>5148.3941000000004</v>
      </c>
      <c r="D245" s="22">
        <v>5148.3941000000004</v>
      </c>
      <c r="E245" s="22">
        <v>513.34780000000001</v>
      </c>
      <c r="F245" s="22">
        <v>5133.4780000000001</v>
      </c>
      <c r="G245" t="str">
        <f t="shared" si="17"/>
        <v>POOL_2CLN_Q</v>
      </c>
      <c r="H245" t="str">
        <f t="shared" si="18"/>
        <v>5133.478, 513.3478);</v>
      </c>
      <c r="I245" t="str">
        <f t="shared" si="19"/>
        <v>5133.478</v>
      </c>
      <c r="J245" t="str">
        <f t="shared" si="20"/>
        <v xml:space="preserve"> 513.3478</v>
      </c>
    </row>
    <row r="246" spans="1:10">
      <c r="A246" t="s">
        <v>1289</v>
      </c>
      <c r="B246" t="s">
        <v>1856</v>
      </c>
      <c r="C246">
        <f t="array" ref="C246">D246:F246</f>
        <v>0</v>
      </c>
      <c r="D246" s="22">
        <v>0</v>
      </c>
      <c r="E246" s="22">
        <v>0</v>
      </c>
      <c r="F246" s="22">
        <v>0</v>
      </c>
      <c r="G246" t="str">
        <f t="shared" si="17"/>
        <v>POOL_BC1SUMP_Q</v>
      </c>
      <c r="H246" t="str">
        <f t="shared" si="18"/>
        <v>0, 0);</v>
      </c>
      <c r="I246" t="str">
        <f t="shared" si="19"/>
        <v>0</v>
      </c>
      <c r="J246" t="str">
        <f t="shared" si="20"/>
        <v xml:space="preserve"> 0</v>
      </c>
    </row>
    <row r="247" spans="1:10">
      <c r="A247" t="s">
        <v>1290</v>
      </c>
      <c r="B247" t="s">
        <v>1857</v>
      </c>
      <c r="C247">
        <f t="array" ref="C247">D247:F247</f>
        <v>0</v>
      </c>
      <c r="D247" s="22">
        <v>0</v>
      </c>
      <c r="E247" s="22">
        <v>0</v>
      </c>
      <c r="F247" s="22">
        <v>0</v>
      </c>
      <c r="G247" t="str">
        <f t="shared" si="17"/>
        <v>POOL_BC2SUMP_Q</v>
      </c>
      <c r="H247" t="str">
        <f t="shared" si="18"/>
        <v>0, 0);</v>
      </c>
      <c r="I247" t="str">
        <f t="shared" si="19"/>
        <v>0</v>
      </c>
      <c r="J247" t="str">
        <f t="shared" si="20"/>
        <v xml:space="preserve"> 0</v>
      </c>
    </row>
    <row r="248" spans="1:10">
      <c r="A248" t="s">
        <v>1291</v>
      </c>
      <c r="B248" t="s">
        <v>1858</v>
      </c>
      <c r="C248">
        <f t="array" ref="C248">D248:F248</f>
        <v>0</v>
      </c>
      <c r="D248" s="22">
        <v>0</v>
      </c>
      <c r="E248" s="22">
        <v>0</v>
      </c>
      <c r="F248" s="22">
        <v>0</v>
      </c>
      <c r="G248" t="str">
        <f t="shared" si="17"/>
        <v>POOL_BC3SUMP_Q</v>
      </c>
      <c r="H248" t="str">
        <f t="shared" si="18"/>
        <v>0, 0);</v>
      </c>
      <c r="I248" t="str">
        <f t="shared" si="19"/>
        <v>0</v>
      </c>
      <c r="J248" t="str">
        <f t="shared" si="20"/>
        <v xml:space="preserve"> 0</v>
      </c>
    </row>
    <row r="249" spans="1:10">
      <c r="A249" t="s">
        <v>2363</v>
      </c>
      <c r="B249" t="s">
        <v>1859</v>
      </c>
      <c r="C249">
        <f t="array" ref="C249">D249:F249</f>
        <v>2481.5068986000001</v>
      </c>
      <c r="D249" s="22">
        <v>2481.5068986000001</v>
      </c>
      <c r="E249" s="22">
        <v>240</v>
      </c>
      <c r="F249" s="22">
        <v>2400</v>
      </c>
      <c r="G249" t="str">
        <f t="shared" si="17"/>
        <v>POOL_DI30_Q</v>
      </c>
      <c r="H249" t="str">
        <f t="shared" si="18"/>
        <v>2400, 240);</v>
      </c>
      <c r="I249" t="str">
        <f t="shared" si="19"/>
        <v>2400</v>
      </c>
      <c r="J249" t="str">
        <f t="shared" si="20"/>
        <v xml:space="preserve"> 240</v>
      </c>
    </row>
    <row r="250" spans="1:10">
      <c r="A250" t="s">
        <v>2364</v>
      </c>
      <c r="B250" t="s">
        <v>1860</v>
      </c>
      <c r="C250">
        <f t="array" ref="C250">D250:F250</f>
        <v>18162.221668499998</v>
      </c>
      <c r="D250" s="22">
        <v>18162.221668499998</v>
      </c>
      <c r="E250" s="22">
        <v>1811.922</v>
      </c>
      <c r="F250" s="22">
        <v>18119.22</v>
      </c>
      <c r="G250" t="str">
        <f t="shared" si="17"/>
        <v>POOL_M1_Q</v>
      </c>
      <c r="H250" t="str">
        <f t="shared" si="18"/>
        <v>18119.22, 1811.922);</v>
      </c>
      <c r="I250" t="str">
        <f t="shared" si="19"/>
        <v>18119.22</v>
      </c>
      <c r="J250" t="str">
        <f t="shared" si="20"/>
        <v xml:space="preserve"> 1811.922</v>
      </c>
    </row>
    <row r="251" spans="1:10">
      <c r="A251" t="s">
        <v>2365</v>
      </c>
      <c r="B251" t="s">
        <v>1861</v>
      </c>
      <c r="C251">
        <f t="array" ref="C251">D251:F251</f>
        <v>14651.8309589</v>
      </c>
      <c r="D251" s="22">
        <v>14651.8309589</v>
      </c>
      <c r="E251" s="22">
        <v>1462.3820000000001</v>
      </c>
      <c r="F251" s="22">
        <v>14623.82</v>
      </c>
      <c r="G251" t="str">
        <f t="shared" si="17"/>
        <v>POOL_MB1_Q</v>
      </c>
      <c r="H251" t="str">
        <f t="shared" si="18"/>
        <v>14623.82, 1462.382);</v>
      </c>
      <c r="I251" t="str">
        <f t="shared" si="19"/>
        <v>14623.82</v>
      </c>
      <c r="J251" t="str">
        <f t="shared" si="20"/>
        <v xml:space="preserve"> 1462.382</v>
      </c>
    </row>
    <row r="252" spans="1:10">
      <c r="A252" t="s">
        <v>2366</v>
      </c>
      <c r="B252" t="s">
        <v>1862</v>
      </c>
      <c r="C252">
        <f t="array" ref="C252">D252:F252</f>
        <v>28906.403634499999</v>
      </c>
      <c r="D252" s="22">
        <v>28906.403634499999</v>
      </c>
      <c r="E252" s="22">
        <v>2879.7779999999998</v>
      </c>
      <c r="F252" s="22">
        <v>28797.78</v>
      </c>
      <c r="G252" t="str">
        <f t="shared" si="17"/>
        <v>POOL_MB2_Q</v>
      </c>
      <c r="H252" t="str">
        <f t="shared" si="18"/>
        <v>28797.78, 2879.778);</v>
      </c>
      <c r="I252" t="str">
        <f t="shared" si="19"/>
        <v>28797.78</v>
      </c>
      <c r="J252" t="str">
        <f t="shared" si="20"/>
        <v xml:space="preserve"> 2879.778</v>
      </c>
    </row>
    <row r="253" spans="1:10">
      <c r="A253" t="s">
        <v>2367</v>
      </c>
      <c r="B253" t="s">
        <v>1863</v>
      </c>
      <c r="C253">
        <f t="array" ref="C253">D253:F253</f>
        <v>29976.9257865</v>
      </c>
      <c r="D253" s="22">
        <v>29976.9257865</v>
      </c>
      <c r="E253" s="22">
        <v>2986.0140000000001</v>
      </c>
      <c r="F253" s="22">
        <v>29860.14</v>
      </c>
      <c r="G253" t="str">
        <f t="shared" si="17"/>
        <v>POOL_MB3_Q</v>
      </c>
      <c r="H253" t="str">
        <f t="shared" si="18"/>
        <v>29860.14, 2986.014);</v>
      </c>
      <c r="I253" t="str">
        <f t="shared" si="19"/>
        <v>29860.14</v>
      </c>
      <c r="J253" t="str">
        <f t="shared" si="20"/>
        <v xml:space="preserve"> 2986.014</v>
      </c>
    </row>
    <row r="254" spans="1:10">
      <c r="A254" t="s">
        <v>2368</v>
      </c>
      <c r="B254" t="s">
        <v>1864</v>
      </c>
      <c r="C254">
        <f t="array" ref="C254">D254:F254</f>
        <v>62787.163178199997</v>
      </c>
      <c r="D254" s="22">
        <v>62787.163178199997</v>
      </c>
      <c r="E254" s="22">
        <v>4800</v>
      </c>
      <c r="F254" s="22">
        <v>48000</v>
      </c>
      <c r="G254" t="str">
        <f t="shared" si="17"/>
        <v>POOL_MIXER_Q</v>
      </c>
      <c r="H254" t="str">
        <f t="shared" si="18"/>
        <v>48000, 4800);</v>
      </c>
      <c r="I254" t="str">
        <f t="shared" si="19"/>
        <v>48000</v>
      </c>
      <c r="J254" t="str">
        <f t="shared" si="20"/>
        <v xml:space="preserve"> 4800</v>
      </c>
    </row>
    <row r="255" spans="1:10">
      <c r="A255" t="s">
        <v>2369</v>
      </c>
      <c r="B255" t="s">
        <v>1865</v>
      </c>
      <c r="C255">
        <f t="array" ref="C255">D255:F255</f>
        <v>605.09418119999998</v>
      </c>
      <c r="D255" s="22">
        <v>605.09418119999998</v>
      </c>
      <c r="E255" s="22">
        <v>60</v>
      </c>
      <c r="F255" s="22">
        <v>600</v>
      </c>
      <c r="G255" t="str">
        <f t="shared" si="17"/>
        <v>POOL_REM_1_Q</v>
      </c>
      <c r="H255" t="str">
        <f t="shared" si="18"/>
        <v>600, 60);</v>
      </c>
      <c r="I255" t="str">
        <f t="shared" si="19"/>
        <v>600</v>
      </c>
      <c r="J255" t="str">
        <f t="shared" si="20"/>
        <v xml:space="preserve"> 60</v>
      </c>
    </row>
    <row r="256" spans="1:10">
      <c r="A256" t="s">
        <v>1292</v>
      </c>
      <c r="B256" t="s">
        <v>1866</v>
      </c>
      <c r="C256">
        <f t="array" ref="C256">D256:F256</f>
        <v>0</v>
      </c>
      <c r="D256" s="22">
        <v>0</v>
      </c>
      <c r="E256" s="22">
        <v>0</v>
      </c>
      <c r="F256" s="22">
        <v>0</v>
      </c>
      <c r="G256" t="str">
        <f t="shared" si="17"/>
        <v>POOL_REM_2_Q</v>
      </c>
      <c r="H256" t="str">
        <f t="shared" si="18"/>
        <v>0, 0);</v>
      </c>
      <c r="I256" t="str">
        <f t="shared" si="19"/>
        <v>0</v>
      </c>
      <c r="J256" t="str">
        <f t="shared" si="20"/>
        <v xml:space="preserve"> 0</v>
      </c>
    </row>
    <row r="257" spans="1:10">
      <c r="A257" t="s">
        <v>2370</v>
      </c>
      <c r="B257" t="s">
        <v>1867</v>
      </c>
      <c r="C257">
        <f t="array" ref="C257">D257:F257</f>
        <v>893.28649280000002</v>
      </c>
      <c r="D257" s="22">
        <v>893.28649280000002</v>
      </c>
      <c r="E257" s="22">
        <v>89.318200000000004</v>
      </c>
      <c r="F257" s="22">
        <v>893.18200000000002</v>
      </c>
      <c r="G257" t="str">
        <f t="shared" si="17"/>
        <v>POOL_SAG_Q</v>
      </c>
      <c r="H257" t="str">
        <f t="shared" si="18"/>
        <v>893.182, 89.3182);</v>
      </c>
      <c r="I257" t="str">
        <f t="shared" si="19"/>
        <v>893.182</v>
      </c>
      <c r="J257" t="str">
        <f t="shared" si="20"/>
        <v xml:space="preserve"> 89.3182</v>
      </c>
    </row>
    <row r="258" spans="1:10">
      <c r="A258" t="s">
        <v>1293</v>
      </c>
      <c r="B258" t="s">
        <v>1868</v>
      </c>
      <c r="C258">
        <f t="array" ref="C258">D258:F258</f>
        <v>0</v>
      </c>
      <c r="D258" s="22">
        <v>0</v>
      </c>
      <c r="E258" s="22">
        <v>0</v>
      </c>
      <c r="F258" s="22">
        <v>0</v>
      </c>
      <c r="G258" t="str">
        <f t="shared" si="17"/>
        <v>POOL_TK42_Q</v>
      </c>
      <c r="H258" t="str">
        <f t="shared" si="18"/>
        <v>0, 0);</v>
      </c>
      <c r="I258" t="str">
        <f t="shared" si="19"/>
        <v>0</v>
      </c>
      <c r="J258" t="str">
        <f t="shared" si="20"/>
        <v xml:space="preserve"> 0</v>
      </c>
    </row>
    <row r="259" spans="1:10">
      <c r="A259" t="s">
        <v>1294</v>
      </c>
      <c r="B259" t="s">
        <v>1869</v>
      </c>
      <c r="C259">
        <f t="array" ref="C259">D259:F259</f>
        <v>0</v>
      </c>
      <c r="D259" s="22">
        <v>0</v>
      </c>
      <c r="E259" s="22">
        <v>0</v>
      </c>
      <c r="F259" s="22">
        <v>0</v>
      </c>
      <c r="G259" t="str">
        <f t="shared" si="17"/>
        <v>POOL_TK91_Q</v>
      </c>
      <c r="H259" t="str">
        <f t="shared" si="18"/>
        <v>0, 0);</v>
      </c>
      <c r="I259" t="str">
        <f t="shared" si="19"/>
        <v>0</v>
      </c>
      <c r="J259" t="str">
        <f t="shared" si="20"/>
        <v xml:space="preserve"> 0</v>
      </c>
    </row>
    <row r="260" spans="1:10">
      <c r="A260" t="s">
        <v>1295</v>
      </c>
      <c r="B260" t="s">
        <v>1870</v>
      </c>
      <c r="C260">
        <f t="array" ref="C260">D260:F260</f>
        <v>0.39082990000000001</v>
      </c>
      <c r="D260" s="22">
        <v>0.39082990000000001</v>
      </c>
      <c r="E260" s="22">
        <v>0</v>
      </c>
      <c r="F260" s="22">
        <v>0</v>
      </c>
      <c r="G260" t="str">
        <f t="shared" si="17"/>
        <v>PP51_DI101_Q</v>
      </c>
      <c r="H260" t="str">
        <f t="shared" si="18"/>
        <v>0, 0);</v>
      </c>
      <c r="I260" t="str">
        <f t="shared" si="19"/>
        <v>0</v>
      </c>
      <c r="J260" t="str">
        <f t="shared" si="20"/>
        <v xml:space="preserve"> 0</v>
      </c>
    </row>
    <row r="261" spans="1:10">
      <c r="A261" t="s">
        <v>1296</v>
      </c>
      <c r="B261" t="s">
        <v>1871</v>
      </c>
      <c r="C261">
        <f t="array" ref="C261">D261:F261</f>
        <v>0</v>
      </c>
      <c r="D261" s="22">
        <v>0</v>
      </c>
      <c r="E261" s="22">
        <v>0</v>
      </c>
      <c r="F261" s="22">
        <v>0</v>
      </c>
      <c r="G261" t="str">
        <f t="shared" si="17"/>
        <v>PP51_DI104_Q</v>
      </c>
      <c r="H261" t="str">
        <f t="shared" si="18"/>
        <v>0, 0);</v>
      </c>
      <c r="I261" t="str">
        <f t="shared" si="19"/>
        <v>0</v>
      </c>
      <c r="J261" t="str">
        <f t="shared" si="20"/>
        <v xml:space="preserve"> 0</v>
      </c>
    </row>
    <row r="262" spans="1:10">
      <c r="A262" t="s">
        <v>1297</v>
      </c>
      <c r="B262" t="s">
        <v>1872</v>
      </c>
      <c r="C262">
        <f t="array" ref="C262">D262:F262</f>
        <v>361.39702899999997</v>
      </c>
      <c r="D262" s="22">
        <v>361.39702899999997</v>
      </c>
      <c r="E262" s="22">
        <v>0</v>
      </c>
      <c r="F262" s="22">
        <v>0</v>
      </c>
      <c r="G262" t="str">
        <f t="shared" si="17"/>
        <v>PP52_DI101_Q</v>
      </c>
      <c r="H262" t="str">
        <f t="shared" si="18"/>
        <v>0, 0);</v>
      </c>
      <c r="I262" t="str">
        <f t="shared" si="19"/>
        <v>0</v>
      </c>
      <c r="J262" t="str">
        <f t="shared" si="20"/>
        <v xml:space="preserve"> 0</v>
      </c>
    </row>
    <row r="263" spans="1:10">
      <c r="A263" t="s">
        <v>1298</v>
      </c>
      <c r="B263" t="s">
        <v>1873</v>
      </c>
      <c r="C263">
        <f t="array" ref="C263">D263:F263</f>
        <v>0.39082990000000001</v>
      </c>
      <c r="D263" s="22">
        <v>0.39082990000000001</v>
      </c>
      <c r="E263" s="22">
        <v>0</v>
      </c>
      <c r="F263" s="22">
        <v>0.41959999999999997</v>
      </c>
      <c r="G263" t="str">
        <f t="shared" si="17"/>
        <v>PP52_DI101_WF</v>
      </c>
      <c r="H263" t="str">
        <f t="shared" si="18"/>
        <v>.4196, 0);</v>
      </c>
      <c r="I263" t="str">
        <f t="shared" si="19"/>
        <v>.4196</v>
      </c>
      <c r="J263" t="str">
        <f t="shared" si="20"/>
        <v xml:space="preserve"> 0</v>
      </c>
    </row>
    <row r="264" spans="1:10">
      <c r="A264" t="s">
        <v>2371</v>
      </c>
      <c r="B264" t="s">
        <v>1874</v>
      </c>
      <c r="C264">
        <f t="array" ref="C264">D264:F264</f>
        <v>0</v>
      </c>
      <c r="D264" s="22">
        <v>0</v>
      </c>
      <c r="E264" s="22">
        <v>118.54192500000001</v>
      </c>
      <c r="F264" s="22">
        <v>474.16770000000002</v>
      </c>
      <c r="G264" t="str">
        <f t="shared" si="17"/>
        <v>PP52_DI104_Q</v>
      </c>
      <c r="H264" t="str">
        <f t="shared" si="18"/>
        <v>474.1677, 118.541925);</v>
      </c>
      <c r="I264" t="str">
        <f t="shared" si="19"/>
        <v>474.1677</v>
      </c>
      <c r="J264" t="str">
        <f t="shared" si="20"/>
        <v xml:space="preserve"> 118.541925</v>
      </c>
    </row>
    <row r="265" spans="1:10">
      <c r="A265" t="s">
        <v>2372</v>
      </c>
      <c r="B265" t="s">
        <v>1875</v>
      </c>
      <c r="C265">
        <f t="array" ref="C265">D265:F265</f>
        <v>361.39702899999997</v>
      </c>
      <c r="D265" s="22">
        <v>361.39702899999997</v>
      </c>
      <c r="E265" s="22">
        <v>4.6039999999999998E-2</v>
      </c>
      <c r="F265" s="22">
        <v>0.46039999999999998</v>
      </c>
      <c r="G265" t="str">
        <f t="shared" si="17"/>
        <v>PP52_DI104_WF</v>
      </c>
      <c r="H265" t="str">
        <f t="shared" si="18"/>
        <v>.4604, .04604);</v>
      </c>
      <c r="I265" t="str">
        <f t="shared" si="19"/>
        <v>.4604</v>
      </c>
      <c r="J265" t="str">
        <f t="shared" si="20"/>
        <v xml:space="preserve"> .04604</v>
      </c>
    </row>
    <row r="266" spans="1:10">
      <c r="A266"/>
      <c r="B266" t="s">
        <v>1876</v>
      </c>
      <c r="C266">
        <f t="array" ref="C266">D266:F266</f>
        <v>0.39082990000000001</v>
      </c>
      <c r="D266" s="22">
        <v>0.39082990000000001</v>
      </c>
      <c r="E266" s="22"/>
      <c r="F266" s="22"/>
    </row>
    <row r="267" spans="1:10">
      <c r="A267" t="s">
        <v>1299</v>
      </c>
      <c r="B267" t="s">
        <v>1877</v>
      </c>
      <c r="C267">
        <f t="array" ref="C267">D267:F267</f>
        <v>0</v>
      </c>
      <c r="D267" s="22">
        <v>0</v>
      </c>
      <c r="E267" s="22">
        <v>0</v>
      </c>
      <c r="F267" s="22">
        <v>0</v>
      </c>
      <c r="G267" t="str">
        <f t="shared" si="17"/>
        <v>PP53_DI101_Q</v>
      </c>
      <c r="H267" t="str">
        <f t="shared" si="18"/>
        <v>0, 0);</v>
      </c>
      <c r="I267" t="str">
        <f t="shared" si="19"/>
        <v>0</v>
      </c>
      <c r="J267" t="str">
        <f t="shared" si="20"/>
        <v xml:space="preserve"> 0</v>
      </c>
    </row>
    <row r="268" spans="1:10">
      <c r="A268" t="s">
        <v>1300</v>
      </c>
      <c r="B268" t="s">
        <v>1878</v>
      </c>
      <c r="C268">
        <f t="array" ref="C268">D268:F268</f>
        <v>0.41959999999999997</v>
      </c>
      <c r="D268" s="22">
        <v>0.41959999999999997</v>
      </c>
      <c r="E268" s="22">
        <v>0</v>
      </c>
      <c r="F268" s="22">
        <v>0.43959999999999999</v>
      </c>
      <c r="G268" t="str">
        <f t="shared" si="17"/>
        <v>PP53_DI101_WF</v>
      </c>
      <c r="H268" t="str">
        <f t="shared" si="18"/>
        <v>.4396, 0);</v>
      </c>
      <c r="I268" t="str">
        <f t="shared" si="19"/>
        <v>.4396</v>
      </c>
      <c r="J268" t="str">
        <f t="shared" si="20"/>
        <v xml:space="preserve"> 0</v>
      </c>
    </row>
    <row r="269" spans="1:10">
      <c r="A269"/>
      <c r="B269" t="s">
        <v>1879</v>
      </c>
      <c r="C269">
        <f t="array" ref="C269">D269:F269</f>
        <v>0.39082990000000001</v>
      </c>
      <c r="D269" s="22">
        <v>0.39082990000000001</v>
      </c>
      <c r="E269" s="22"/>
      <c r="F269" s="22"/>
    </row>
    <row r="270" spans="1:10">
      <c r="A270" t="s">
        <v>2373</v>
      </c>
      <c r="B270" t="s">
        <v>1880</v>
      </c>
      <c r="C270">
        <f t="array" ref="C270">D270:F270</f>
        <v>415.59363000000002</v>
      </c>
      <c r="D270" s="22">
        <v>415.59363000000002</v>
      </c>
      <c r="E270" s="22">
        <v>435.24225000000001</v>
      </c>
      <c r="F270" s="22">
        <v>1740.9690000000001</v>
      </c>
      <c r="G270" t="str">
        <f t="shared" si="17"/>
        <v>PP53_DI104_Q</v>
      </c>
      <c r="H270" t="str">
        <f t="shared" si="18"/>
        <v>1740.969, 435.24225);</v>
      </c>
      <c r="I270" t="str">
        <f t="shared" si="19"/>
        <v>1740.969</v>
      </c>
      <c r="J270" t="str">
        <f t="shared" si="20"/>
        <v xml:space="preserve"> 435.24225</v>
      </c>
    </row>
    <row r="271" spans="1:10">
      <c r="A271" t="s">
        <v>2374</v>
      </c>
      <c r="B271" t="s">
        <v>1881</v>
      </c>
      <c r="C271">
        <f t="array" ref="C271">D271:F271</f>
        <v>0.41959999999999997</v>
      </c>
      <c r="D271" s="22">
        <v>0.41959999999999997</v>
      </c>
      <c r="E271" s="22">
        <v>4.2130000000000001E-2</v>
      </c>
      <c r="F271" s="22">
        <v>0.42130000000000001</v>
      </c>
      <c r="G271" t="str">
        <f t="shared" si="17"/>
        <v>PP53_DI104_WF</v>
      </c>
      <c r="H271" t="str">
        <f t="shared" si="18"/>
        <v>.4213, .04213);</v>
      </c>
      <c r="I271" t="str">
        <f t="shared" si="19"/>
        <v>.4213</v>
      </c>
      <c r="J271" t="str">
        <f t="shared" si="20"/>
        <v xml:space="preserve"> .04213</v>
      </c>
    </row>
    <row r="272" spans="1:10">
      <c r="A272"/>
      <c r="B272" t="s">
        <v>1882</v>
      </c>
      <c r="C272">
        <f t="array" ref="C272">D272:F272</f>
        <v>0.37421399999999999</v>
      </c>
      <c r="D272" s="22">
        <v>0.37421399999999999</v>
      </c>
      <c r="E272" s="22"/>
      <c r="F272" s="22"/>
    </row>
    <row r="273" spans="1:10">
      <c r="A273" t="s">
        <v>1301</v>
      </c>
      <c r="B273" t="s">
        <v>1883</v>
      </c>
      <c r="C273">
        <f t="array" ref="C273">D273:F273</f>
        <v>0</v>
      </c>
      <c r="D273" s="22">
        <v>0</v>
      </c>
      <c r="E273" s="22">
        <v>0</v>
      </c>
      <c r="F273" s="22">
        <v>0</v>
      </c>
      <c r="G273" t="str">
        <f t="shared" si="17"/>
        <v>PP54_DI101_Q</v>
      </c>
      <c r="H273" t="str">
        <f t="shared" si="18"/>
        <v>0, 0);</v>
      </c>
      <c r="I273" t="str">
        <f t="shared" si="19"/>
        <v>0</v>
      </c>
      <c r="J273" t="str">
        <f t="shared" si="20"/>
        <v xml:space="preserve"> 0</v>
      </c>
    </row>
    <row r="274" spans="1:10">
      <c r="A274" t="s">
        <v>1302</v>
      </c>
      <c r="B274" t="s">
        <v>1884</v>
      </c>
      <c r="C274">
        <f t="array" ref="C274">D274:F274</f>
        <v>0.43959999999999999</v>
      </c>
      <c r="D274" s="22">
        <v>0.43959999999999999</v>
      </c>
      <c r="E274" s="22">
        <v>0</v>
      </c>
      <c r="F274" s="22">
        <v>0.5202</v>
      </c>
      <c r="G274" t="str">
        <f t="shared" si="17"/>
        <v>PP54_DI101_WF</v>
      </c>
      <c r="H274" t="str">
        <f t="shared" si="18"/>
        <v>.5202, 0);</v>
      </c>
      <c r="I274" t="str">
        <f t="shared" si="19"/>
        <v>.5202</v>
      </c>
      <c r="J274" t="str">
        <f t="shared" si="20"/>
        <v xml:space="preserve"> 0</v>
      </c>
    </row>
    <row r="275" spans="1:10">
      <c r="A275"/>
      <c r="B275" t="s">
        <v>1885</v>
      </c>
      <c r="C275">
        <f t="array" ref="C275">D275:F275</f>
        <v>0.37421399999999999</v>
      </c>
      <c r="D275" s="22">
        <v>0.37421399999999999</v>
      </c>
      <c r="E275" s="22"/>
      <c r="F275" s="22"/>
    </row>
    <row r="276" spans="1:10">
      <c r="A276" t="s">
        <v>1303</v>
      </c>
      <c r="B276" t="s">
        <v>1886</v>
      </c>
      <c r="C276">
        <f t="array" ref="C276">D276:F276</f>
        <v>1544.1572060999999</v>
      </c>
      <c r="D276" s="22">
        <v>1544.1572060999999</v>
      </c>
      <c r="E276" s="22">
        <v>0</v>
      </c>
      <c r="F276" s="22">
        <v>0</v>
      </c>
      <c r="G276" t="str">
        <f t="shared" si="17"/>
        <v>PP54_DI104_Q</v>
      </c>
      <c r="H276" t="str">
        <f t="shared" si="18"/>
        <v>0, 0);</v>
      </c>
      <c r="I276" t="str">
        <f t="shared" si="19"/>
        <v>0</v>
      </c>
      <c r="J276" t="str">
        <f t="shared" si="20"/>
        <v xml:space="preserve"> 0</v>
      </c>
    </row>
    <row r="277" spans="1:10">
      <c r="A277" t="s">
        <v>1304</v>
      </c>
      <c r="B277" t="s">
        <v>1887</v>
      </c>
      <c r="C277">
        <f t="array" ref="C277">D277:F277</f>
        <v>0.43959999999999999</v>
      </c>
      <c r="D277" s="22">
        <v>0.43959999999999999</v>
      </c>
      <c r="E277" s="22">
        <v>0</v>
      </c>
      <c r="F277" s="22">
        <v>0.5202</v>
      </c>
      <c r="G277" t="str">
        <f t="shared" si="17"/>
        <v>PP54_DI104_WF</v>
      </c>
      <c r="H277" t="str">
        <f t="shared" si="18"/>
        <v>.5202, 0);</v>
      </c>
      <c r="I277" t="str">
        <f t="shared" si="19"/>
        <v>.5202</v>
      </c>
      <c r="J277" t="str">
        <f t="shared" si="20"/>
        <v xml:space="preserve"> 0</v>
      </c>
    </row>
    <row r="278" spans="1:10">
      <c r="A278"/>
      <c r="B278" t="s">
        <v>1888</v>
      </c>
      <c r="C278">
        <f t="array" ref="C278">D278:F278</f>
        <v>0.37421399999999999</v>
      </c>
      <c r="D278" s="22">
        <v>0.37421399999999999</v>
      </c>
      <c r="E278" s="22"/>
      <c r="F278" s="22"/>
    </row>
    <row r="279" spans="1:10">
      <c r="A279" t="s">
        <v>2375</v>
      </c>
      <c r="B279" t="s">
        <v>1889</v>
      </c>
      <c r="C279">
        <f t="array" ref="C279">D279:F279</f>
        <v>0</v>
      </c>
      <c r="D279" s="22">
        <v>0</v>
      </c>
      <c r="E279" s="22">
        <v>785.25900000000001</v>
      </c>
      <c r="F279" s="22">
        <v>15705.18</v>
      </c>
      <c r="G279" t="str">
        <f t="shared" ref="G279:G342" si="21">MID(A279,FIND("*/",A279)+3,FIND(":",A279)-3 -FIND("*/",A279))</f>
        <v>RIVERWATER_Q</v>
      </c>
      <c r="H279" t="str">
        <f t="shared" ref="H279:H342" si="22">MID(A279,FIND("(",A279)+1,50)</f>
        <v>15705.18, 785.259);</v>
      </c>
      <c r="I279" t="str">
        <f t="shared" ref="I279:I342" si="23">MID(H279,1,FIND(",",H279)-1)</f>
        <v>15705.18</v>
      </c>
      <c r="J279" t="str">
        <f t="shared" ref="J279:J342" si="24">MID(H279,FIND(",",H279)+1,LEN(H279)-FIND(",",H279)-2)</f>
        <v xml:space="preserve"> 785.259</v>
      </c>
    </row>
    <row r="280" spans="1:10">
      <c r="A280" t="s">
        <v>1305</v>
      </c>
      <c r="B280" t="s">
        <v>1890</v>
      </c>
      <c r="C280">
        <f t="array" ref="C280">D280:F280</f>
        <v>0.5202</v>
      </c>
      <c r="D280" s="22">
        <v>0.5202</v>
      </c>
      <c r="E280" s="22">
        <v>0</v>
      </c>
      <c r="F280" s="22">
        <v>1.8898700000000001E-2</v>
      </c>
      <c r="G280" t="str">
        <f t="shared" si="21"/>
        <v>ROUFEED_CF</v>
      </c>
      <c r="H280" t="str">
        <f t="shared" si="22"/>
        <v>.0188987, 0);</v>
      </c>
      <c r="I280" t="str">
        <f t="shared" si="23"/>
        <v>.0188987</v>
      </c>
      <c r="J280" t="str">
        <f t="shared" si="24"/>
        <v xml:space="preserve"> 0</v>
      </c>
    </row>
    <row r="281" spans="1:10">
      <c r="A281"/>
      <c r="B281" t="s">
        <v>1891</v>
      </c>
      <c r="C281">
        <f t="array" ref="C281">D281:F281</f>
        <v>0.37421399999999999</v>
      </c>
      <c r="D281" s="22">
        <v>0.37421399999999999</v>
      </c>
      <c r="E281" s="22"/>
      <c r="F281" s="22"/>
    </row>
    <row r="282" spans="1:10">
      <c r="A282"/>
      <c r="B282" t="s">
        <v>1892</v>
      </c>
      <c r="C282">
        <f t="array" ref="C282">D282:F282</f>
        <v>0</v>
      </c>
      <c r="D282" s="22">
        <v>0</v>
      </c>
      <c r="E282" s="22"/>
      <c r="F282" s="22"/>
    </row>
    <row r="283" spans="1:10">
      <c r="A283"/>
      <c r="B283" t="s">
        <v>1893</v>
      </c>
      <c r="C283">
        <f t="array" ref="C283">D283:F283</f>
        <v>0.5202</v>
      </c>
      <c r="D283" s="22">
        <v>0.5202</v>
      </c>
      <c r="E283" s="22"/>
      <c r="F283" s="22"/>
    </row>
    <row r="284" spans="1:10">
      <c r="A284"/>
      <c r="B284" t="s">
        <v>1894</v>
      </c>
      <c r="C284">
        <f t="array" ref="C284">D284:F284</f>
        <v>15630.852667700001</v>
      </c>
      <c r="D284" s="22">
        <v>15630.852667700001</v>
      </c>
      <c r="E284" s="22"/>
      <c r="F284" s="22"/>
    </row>
    <row r="285" spans="1:10">
      <c r="A285" t="s">
        <v>2376</v>
      </c>
      <c r="B285" t="s">
        <v>1895</v>
      </c>
      <c r="C285">
        <f t="array" ref="C285">D285:F285</f>
        <v>1.8898700000000001E-2</v>
      </c>
      <c r="D285" s="22">
        <v>1.8898700000000001E-2</v>
      </c>
      <c r="E285" s="22">
        <v>5.2991999999999997E-2</v>
      </c>
      <c r="F285" s="22">
        <v>2.6496</v>
      </c>
      <c r="G285" t="str">
        <f t="shared" si="21"/>
        <v>ROUFEED_WF</v>
      </c>
      <c r="H285" t="str">
        <f t="shared" si="22"/>
        <v>2.6496, .052992);</v>
      </c>
      <c r="I285" t="str">
        <f t="shared" si="23"/>
        <v>2.6496</v>
      </c>
      <c r="J285" t="str">
        <f t="shared" si="24"/>
        <v xml:space="preserve"> .052992</v>
      </c>
    </row>
    <row r="286" spans="1:10">
      <c r="A286"/>
      <c r="B286" t="s">
        <v>1896</v>
      </c>
      <c r="C286">
        <f t="array" ref="C286">D286:F286</f>
        <v>58620.139808699998</v>
      </c>
      <c r="D286" s="22">
        <v>58620.139808699998</v>
      </c>
      <c r="E286" s="22"/>
      <c r="F286" s="22"/>
    </row>
    <row r="287" spans="1:10">
      <c r="A287"/>
      <c r="B287" t="s">
        <v>1897</v>
      </c>
      <c r="C287">
        <f t="array" ref="C287">D287:F287</f>
        <v>2.6943586000000002</v>
      </c>
      <c r="D287" s="22">
        <v>2.6943586000000002</v>
      </c>
      <c r="E287" s="22"/>
      <c r="F287" s="22"/>
    </row>
    <row r="288" spans="1:10">
      <c r="A288"/>
      <c r="B288" t="s">
        <v>1898</v>
      </c>
      <c r="C288">
        <f t="array" ref="C288">D288:F288</f>
        <v>0</v>
      </c>
      <c r="D288" s="22">
        <v>0</v>
      </c>
      <c r="E288" s="22"/>
      <c r="F288" s="22"/>
    </row>
    <row r="289" spans="1:10">
      <c r="A289" t="s">
        <v>1306</v>
      </c>
      <c r="B289" t="s">
        <v>1899</v>
      </c>
      <c r="C289">
        <f t="array" ref="C289">D289:F289</f>
        <v>0</v>
      </c>
      <c r="D289" s="22">
        <v>0</v>
      </c>
      <c r="E289" s="22">
        <v>0</v>
      </c>
      <c r="F289" s="22">
        <v>0</v>
      </c>
      <c r="G289" t="str">
        <f t="shared" si="21"/>
        <v>RO_TANK_Q</v>
      </c>
      <c r="H289" t="str">
        <f t="shared" si="22"/>
        <v>0, 0);</v>
      </c>
      <c r="I289" t="str">
        <f t="shared" si="23"/>
        <v>0</v>
      </c>
      <c r="J289" t="str">
        <f t="shared" si="24"/>
        <v xml:space="preserve"> 0</v>
      </c>
    </row>
    <row r="290" spans="1:10">
      <c r="A290"/>
      <c r="B290" t="s">
        <v>1900</v>
      </c>
      <c r="C290">
        <f t="array" ref="C290">D290:F290</f>
        <v>2.8589000000000002E-3</v>
      </c>
      <c r="D290" s="22">
        <v>2.8589000000000002E-3</v>
      </c>
      <c r="E290" s="22"/>
      <c r="F290" s="22"/>
    </row>
    <row r="291" spans="1:10">
      <c r="A291"/>
      <c r="B291" t="s">
        <v>1901</v>
      </c>
      <c r="C291">
        <f t="array" ref="C291">D291:F291</f>
        <v>55695.306931400002</v>
      </c>
      <c r="D291" s="22">
        <v>55695.306931400002</v>
      </c>
      <c r="E291" s="22"/>
      <c r="F291" s="22"/>
    </row>
    <row r="292" spans="1:10">
      <c r="A292"/>
      <c r="B292" t="s">
        <v>1902</v>
      </c>
      <c r="C292">
        <f t="array" ref="C292">D292:F292</f>
        <v>0.90393939999999995</v>
      </c>
      <c r="D292" s="22">
        <v>0.90393939999999995</v>
      </c>
      <c r="E292" s="22"/>
      <c r="F292" s="22"/>
    </row>
    <row r="293" spans="1:10">
      <c r="A293" t="s">
        <v>1307</v>
      </c>
      <c r="B293" t="s">
        <v>1903</v>
      </c>
      <c r="C293">
        <f t="array" ref="C293">D293:F293</f>
        <v>3.0994999999999998E-3</v>
      </c>
      <c r="D293" s="22">
        <v>3.0994999999999998E-3</v>
      </c>
      <c r="E293" s="22">
        <v>0</v>
      </c>
      <c r="F293" s="22">
        <v>3.0994999999999998E-3</v>
      </c>
      <c r="G293" t="str">
        <f t="shared" si="21"/>
        <v>TAILS_CF</v>
      </c>
      <c r="H293" t="str">
        <f t="shared" si="22"/>
        <v>.0030995, 0);</v>
      </c>
      <c r="I293" t="str">
        <f t="shared" si="23"/>
        <v>.0030995</v>
      </c>
      <c r="J293" t="str">
        <f t="shared" si="24"/>
        <v xml:space="preserve"> 0</v>
      </c>
    </row>
    <row r="294" spans="1:10">
      <c r="A294"/>
      <c r="B294" t="s">
        <v>1904</v>
      </c>
      <c r="C294">
        <f t="array" ref="C294">D294:F294</f>
        <v>56115.602257600003</v>
      </c>
      <c r="D294" s="22">
        <v>56115.602257600003</v>
      </c>
      <c r="E294" s="22"/>
      <c r="F294" s="22"/>
    </row>
    <row r="295" spans="1:10">
      <c r="A295" t="s">
        <v>2377</v>
      </c>
      <c r="B295" t="s">
        <v>1905</v>
      </c>
      <c r="C295">
        <f t="array" ref="C295">D295:F295</f>
        <v>2.8654912000000001</v>
      </c>
      <c r="D295" s="22">
        <v>2.8654912000000001</v>
      </c>
      <c r="E295" s="22">
        <v>5.7520000000000002E-2</v>
      </c>
      <c r="F295" s="22">
        <v>2.8759999999999999</v>
      </c>
      <c r="G295" t="str">
        <f t="shared" si="21"/>
        <v>TAILS_WF</v>
      </c>
      <c r="H295" t="str">
        <f t="shared" si="22"/>
        <v>2.876, .05752);</v>
      </c>
      <c r="I295" t="str">
        <f t="shared" si="23"/>
        <v>2.876</v>
      </c>
      <c r="J295" t="str">
        <f t="shared" si="24"/>
        <v xml:space="preserve"> .05752</v>
      </c>
    </row>
    <row r="296" spans="1:10">
      <c r="A296"/>
      <c r="B296" t="s">
        <v>1906</v>
      </c>
      <c r="C296">
        <f t="array" ref="C296">D296:F296</f>
        <v>2.6627E-3</v>
      </c>
      <c r="D296" s="22">
        <v>2.6627E-3</v>
      </c>
      <c r="E296" s="22"/>
      <c r="F296" s="22"/>
    </row>
    <row r="297" spans="1:10">
      <c r="A297" t="s">
        <v>2378</v>
      </c>
      <c r="B297" t="s">
        <v>1907</v>
      </c>
      <c r="C297">
        <f t="array" ref="C297">D297:F297</f>
        <v>12305.298778099999</v>
      </c>
      <c r="D297" s="22">
        <v>12305.298778099999</v>
      </c>
      <c r="E297" s="22">
        <v>4431.6540000000005</v>
      </c>
      <c r="F297" s="22">
        <v>22158.27</v>
      </c>
      <c r="G297" t="str">
        <f t="shared" si="21"/>
        <v>TAILTHK6_CLOSE_Q</v>
      </c>
      <c r="H297" t="str">
        <f t="shared" si="22"/>
        <v>22158.27, 4431.654);</v>
      </c>
      <c r="I297" t="str">
        <f t="shared" si="23"/>
        <v>22158.27</v>
      </c>
      <c r="J297" t="str">
        <f t="shared" si="24"/>
        <v xml:space="preserve"> 4431.654</v>
      </c>
    </row>
    <row r="298" spans="1:10">
      <c r="A298"/>
      <c r="B298" t="s">
        <v>1908</v>
      </c>
      <c r="C298">
        <f t="array" ref="C298">D298:F298</f>
        <v>6.8918283000000002</v>
      </c>
      <c r="D298" s="22">
        <v>6.8918283000000002</v>
      </c>
      <c r="E298" s="22"/>
      <c r="F298" s="22"/>
    </row>
    <row r="299" spans="1:10">
      <c r="A299" t="s">
        <v>1308</v>
      </c>
      <c r="B299" t="s">
        <v>1909</v>
      </c>
      <c r="C299">
        <f t="array" ref="C299">D299:F299</f>
        <v>2.4786999999999999E-3</v>
      </c>
      <c r="D299" s="22">
        <v>2.4786999999999999E-3</v>
      </c>
      <c r="E299" s="22">
        <v>0</v>
      </c>
      <c r="F299" s="22">
        <v>2.4786999999999999E-3</v>
      </c>
      <c r="G299" t="str">
        <f t="shared" si="21"/>
        <v>TAILTHK6_OPEN_CF</v>
      </c>
      <c r="H299" t="str">
        <f t="shared" si="22"/>
        <v>.0024787, 0);</v>
      </c>
      <c r="I299" t="str">
        <f t="shared" si="23"/>
        <v>.0024787</v>
      </c>
      <c r="J299" t="str">
        <f t="shared" si="24"/>
        <v xml:space="preserve"> 0</v>
      </c>
    </row>
    <row r="300" spans="1:10">
      <c r="A300" t="s">
        <v>1309</v>
      </c>
      <c r="B300" t="s">
        <v>1910</v>
      </c>
      <c r="C300">
        <f t="array" ref="C300">D300:F300</f>
        <v>15162.240998900001</v>
      </c>
      <c r="D300" s="22">
        <v>15162.240998900001</v>
      </c>
      <c r="E300" s="22">
        <v>0</v>
      </c>
      <c r="F300" s="22">
        <v>15162.240998900001</v>
      </c>
      <c r="G300" t="str">
        <f t="shared" si="21"/>
        <v>TAILTHK6_OPEN_Q</v>
      </c>
      <c r="H300" t="str">
        <f t="shared" si="22"/>
        <v>15162.2409989, 0);</v>
      </c>
      <c r="I300" t="str">
        <f t="shared" si="23"/>
        <v>15162.2409989</v>
      </c>
      <c r="J300" t="str">
        <f t="shared" si="24"/>
        <v xml:space="preserve"> 0</v>
      </c>
    </row>
    <row r="301" spans="1:10">
      <c r="A301" t="s">
        <v>1310</v>
      </c>
      <c r="B301" t="s">
        <v>1911</v>
      </c>
      <c r="C301">
        <f t="array" ref="C301">D301:F301</f>
        <v>5.5245560999999999</v>
      </c>
      <c r="D301" s="22">
        <v>5.5245560999999999</v>
      </c>
      <c r="E301" s="22">
        <v>0</v>
      </c>
      <c r="F301" s="22">
        <v>5.5245560999999999</v>
      </c>
      <c r="G301" t="str">
        <f t="shared" si="21"/>
        <v>TAILTHK6_OPEN_WF</v>
      </c>
      <c r="H301" t="str">
        <f t="shared" si="22"/>
        <v>5.5245561, 0);</v>
      </c>
      <c r="I301" t="str">
        <f t="shared" si="23"/>
        <v>5.5245561</v>
      </c>
      <c r="J301" t="str">
        <f t="shared" si="24"/>
        <v xml:space="preserve"> 0</v>
      </c>
    </row>
    <row r="302" spans="1:10">
      <c r="A302"/>
      <c r="B302" t="s">
        <v>1912</v>
      </c>
      <c r="C302">
        <f t="array" ref="C302">D302:F302</f>
        <v>8805.2223959999992</v>
      </c>
      <c r="D302" s="22">
        <v>8805.2223959999992</v>
      </c>
      <c r="E302" s="22"/>
      <c r="F302" s="22"/>
    </row>
    <row r="303" spans="1:10">
      <c r="A303" t="s">
        <v>1311</v>
      </c>
      <c r="B303" t="s">
        <v>1913</v>
      </c>
      <c r="C303">
        <f t="array" ref="C303">D303:F303</f>
        <v>89291.287670000005</v>
      </c>
      <c r="D303" s="22">
        <v>89291.287670000005</v>
      </c>
      <c r="E303" s="22">
        <v>0</v>
      </c>
      <c r="F303" s="22">
        <v>89291.287670000005</v>
      </c>
      <c r="G303" t="str">
        <f t="shared" si="21"/>
        <v>TAILTHK6_TOTVOL_CLOSE_Q</v>
      </c>
      <c r="H303" t="str">
        <f t="shared" si="22"/>
        <v>89291.28767, 0);</v>
      </c>
      <c r="I303" t="str">
        <f t="shared" si="23"/>
        <v>89291.28767</v>
      </c>
      <c r="J303" t="str">
        <f t="shared" si="24"/>
        <v xml:space="preserve"> 0</v>
      </c>
    </row>
    <row r="304" spans="1:10">
      <c r="A304"/>
      <c r="B304" t="s">
        <v>1914</v>
      </c>
      <c r="C304">
        <f t="array" ref="C304">D304:F304</f>
        <v>89291.287670000005</v>
      </c>
      <c r="D304" s="22">
        <v>89291.287670000005</v>
      </c>
      <c r="E304" s="22"/>
      <c r="F304" s="22"/>
    </row>
    <row r="305" spans="1:10">
      <c r="A305" t="s">
        <v>2379</v>
      </c>
      <c r="B305" t="s">
        <v>1915</v>
      </c>
      <c r="C305">
        <f t="array" ref="C305">D305:F305</f>
        <v>2.6627E-3</v>
      </c>
      <c r="D305" s="22">
        <v>2.6627E-3</v>
      </c>
      <c r="E305" s="22">
        <v>2178.6019999999999</v>
      </c>
      <c r="F305" s="22">
        <v>10893.01</v>
      </c>
      <c r="G305" t="str">
        <f t="shared" si="21"/>
        <v>TAILTHK6_UNDERFLOW_Q</v>
      </c>
      <c r="H305" t="str">
        <f t="shared" si="22"/>
        <v>10893.01, 2178.602);</v>
      </c>
      <c r="I305" t="str">
        <f t="shared" si="23"/>
        <v>10893.01</v>
      </c>
      <c r="J305" t="str">
        <f t="shared" si="24"/>
        <v xml:space="preserve"> 2178.602</v>
      </c>
    </row>
    <row r="306" spans="1:10">
      <c r="A306"/>
      <c r="B306" t="s">
        <v>1916</v>
      </c>
      <c r="C306">
        <f t="array" ref="C306">D306:F306</f>
        <v>9243.6314031999991</v>
      </c>
      <c r="D306" s="22">
        <v>9243.6314031999991</v>
      </c>
      <c r="E306" s="22"/>
      <c r="F306" s="22"/>
    </row>
    <row r="307" spans="1:10">
      <c r="A307" t="s">
        <v>2380</v>
      </c>
      <c r="B307" t="s">
        <v>1917</v>
      </c>
      <c r="C307">
        <f t="array" ref="C307">D307:F307</f>
        <v>0.91462149999999998</v>
      </c>
      <c r="D307" s="22">
        <v>0.91462149999999998</v>
      </c>
      <c r="E307" s="22">
        <v>0.17602000000000001</v>
      </c>
      <c r="F307" s="22">
        <v>0.88009999999999999</v>
      </c>
      <c r="G307" t="str">
        <f t="shared" si="21"/>
        <v>TAILTHK6_UNDERFLOW_WF</v>
      </c>
      <c r="H307" t="str">
        <f t="shared" si="22"/>
        <v>.8801, .17602);</v>
      </c>
      <c r="I307" t="str">
        <f t="shared" si="23"/>
        <v>.8801</v>
      </c>
      <c r="J307" t="str">
        <f t="shared" si="24"/>
        <v xml:space="preserve"> .17602</v>
      </c>
    </row>
    <row r="308" spans="1:10">
      <c r="A308"/>
      <c r="B308" t="s">
        <v>1918</v>
      </c>
      <c r="C308">
        <f t="array" ref="C308">D308:F308</f>
        <v>2.9175E-3</v>
      </c>
      <c r="D308" s="22">
        <v>2.9175E-3</v>
      </c>
      <c r="E308" s="22"/>
      <c r="F308" s="22"/>
    </row>
    <row r="309" spans="1:10">
      <c r="A309" t="s">
        <v>2381</v>
      </c>
      <c r="B309" t="s">
        <v>1919</v>
      </c>
      <c r="C309">
        <f t="array" ref="C309">D309:F309</f>
        <v>12131.0120971</v>
      </c>
      <c r="D309" s="22">
        <v>12131.0120971</v>
      </c>
      <c r="E309" s="22">
        <v>3157.098</v>
      </c>
      <c r="F309" s="22">
        <v>15785.49</v>
      </c>
      <c r="G309" t="str">
        <f t="shared" si="21"/>
        <v>TAILTHK7_CLOSE_Q</v>
      </c>
      <c r="H309" t="str">
        <f t="shared" si="22"/>
        <v>15785.49, 3157.098);</v>
      </c>
      <c r="I309" t="str">
        <f t="shared" si="23"/>
        <v>15785.49</v>
      </c>
      <c r="J309" t="str">
        <f t="shared" si="24"/>
        <v xml:space="preserve"> 3157.098</v>
      </c>
    </row>
    <row r="310" spans="1:10">
      <c r="A310"/>
      <c r="B310" t="s">
        <v>1920</v>
      </c>
      <c r="C310">
        <f t="array" ref="C310">D310:F310</f>
        <v>6.9960801999999997</v>
      </c>
      <c r="D310" s="22">
        <v>6.9960801999999997</v>
      </c>
      <c r="E310" s="22"/>
      <c r="F310" s="22"/>
    </row>
    <row r="311" spans="1:10">
      <c r="A311" t="s">
        <v>1312</v>
      </c>
      <c r="B311" t="s">
        <v>1921</v>
      </c>
      <c r="C311">
        <f t="array" ref="C311">D311:F311</f>
        <v>2.4872000000000002E-3</v>
      </c>
      <c r="D311" s="22">
        <v>2.4872000000000002E-3</v>
      </c>
      <c r="E311" s="22">
        <v>0</v>
      </c>
      <c r="F311" s="22">
        <v>2.4872000000000002E-3</v>
      </c>
      <c r="G311" t="str">
        <f t="shared" si="21"/>
        <v>TAILTHK7_OPEN_CF</v>
      </c>
      <c r="H311" t="str">
        <f t="shared" si="22"/>
        <v>.0024872, 0);</v>
      </c>
      <c r="I311" t="str">
        <f t="shared" si="23"/>
        <v>.0024872</v>
      </c>
      <c r="J311" t="str">
        <f t="shared" si="24"/>
        <v xml:space="preserve"> 0</v>
      </c>
    </row>
    <row r="312" spans="1:10">
      <c r="A312" t="s">
        <v>1313</v>
      </c>
      <c r="B312" t="s">
        <v>1922</v>
      </c>
      <c r="C312">
        <f t="array" ref="C312">D312:F312</f>
        <v>11711.9118354</v>
      </c>
      <c r="D312" s="22">
        <v>11711.9118354</v>
      </c>
      <c r="E312" s="22">
        <v>0</v>
      </c>
      <c r="F312" s="22">
        <v>11711.9118354</v>
      </c>
      <c r="G312" t="str">
        <f t="shared" si="21"/>
        <v>TAILTHK7_OPEN_Q</v>
      </c>
      <c r="H312" t="str">
        <f t="shared" si="22"/>
        <v>11711.9118354, 0);</v>
      </c>
      <c r="I312" t="str">
        <f t="shared" si="23"/>
        <v>11711.9118354</v>
      </c>
      <c r="J312" t="str">
        <f t="shared" si="24"/>
        <v xml:space="preserve"> 0</v>
      </c>
    </row>
    <row r="313" spans="1:10">
      <c r="A313" t="s">
        <v>1314</v>
      </c>
      <c r="B313" t="s">
        <v>1923</v>
      </c>
      <c r="C313">
        <f t="array" ref="C313">D313:F313</f>
        <v>7.2594719999999997</v>
      </c>
      <c r="D313" s="22">
        <v>7.2594719999999997</v>
      </c>
      <c r="E313" s="22">
        <v>0</v>
      </c>
      <c r="F313" s="22">
        <v>7.2594719999999997</v>
      </c>
      <c r="G313" t="str">
        <f t="shared" si="21"/>
        <v>TAILTHK7_OPEN_WF</v>
      </c>
      <c r="H313" t="str">
        <f t="shared" si="22"/>
        <v>7.259472, 0);</v>
      </c>
      <c r="I313" t="str">
        <f t="shared" si="23"/>
        <v>7.259472</v>
      </c>
      <c r="J313" t="str">
        <f t="shared" si="24"/>
        <v xml:space="preserve"> 0</v>
      </c>
    </row>
    <row r="314" spans="1:10">
      <c r="A314"/>
      <c r="B314" t="s">
        <v>1924</v>
      </c>
      <c r="C314">
        <f t="array" ref="C314">D314:F314</f>
        <v>58281.747225200001</v>
      </c>
      <c r="D314" s="22">
        <v>58281.747225200001</v>
      </c>
      <c r="E314" s="22"/>
      <c r="F314" s="22"/>
    </row>
    <row r="315" spans="1:10">
      <c r="A315" t="s">
        <v>1315</v>
      </c>
      <c r="B315" t="s">
        <v>1925</v>
      </c>
      <c r="C315">
        <f t="array" ref="C315">D315:F315</f>
        <v>89291.287670000005</v>
      </c>
      <c r="D315" s="22">
        <v>89291.287670000005</v>
      </c>
      <c r="E315" s="22">
        <v>0</v>
      </c>
      <c r="F315" s="22">
        <v>89291.287670000005</v>
      </c>
      <c r="G315" t="str">
        <f t="shared" si="21"/>
        <v>TAILTHK7_TOTVOL_CLOSE_Q</v>
      </c>
      <c r="H315" t="str">
        <f t="shared" si="22"/>
        <v>89291.28767, 0);</v>
      </c>
      <c r="I315" t="str">
        <f t="shared" si="23"/>
        <v>89291.28767</v>
      </c>
      <c r="J315" t="str">
        <f t="shared" si="24"/>
        <v xml:space="preserve"> 0</v>
      </c>
    </row>
    <row r="316" spans="1:10">
      <c r="A316"/>
      <c r="B316" t="s">
        <v>1926</v>
      </c>
      <c r="C316">
        <f t="array" ref="C316">D316:F316</f>
        <v>89291.287670000005</v>
      </c>
      <c r="D316" s="22">
        <v>89291.287670000005</v>
      </c>
      <c r="E316" s="22"/>
      <c r="F316" s="22"/>
    </row>
    <row r="317" spans="1:10">
      <c r="A317"/>
      <c r="B317" t="s">
        <v>1927</v>
      </c>
      <c r="C317">
        <f t="array" ref="C317">D317:F317</f>
        <v>2.9175E-3</v>
      </c>
      <c r="D317" s="22">
        <v>2.9175E-3</v>
      </c>
      <c r="E317" s="22"/>
      <c r="F317" s="22"/>
    </row>
    <row r="318" spans="1:10">
      <c r="A318" t="s">
        <v>2382</v>
      </c>
      <c r="B318" t="s">
        <v>1928</v>
      </c>
      <c r="C318">
        <f t="array" ref="C318">D318:F318</f>
        <v>27270.291529300001</v>
      </c>
      <c r="D318" s="22">
        <v>27270.291529300001</v>
      </c>
      <c r="E318" s="22">
        <v>10561.69</v>
      </c>
      <c r="F318" s="22">
        <v>52808.45</v>
      </c>
      <c r="G318" t="str">
        <f t="shared" si="21"/>
        <v>TAILTHK7_UNDERFLOW_Q</v>
      </c>
      <c r="H318" t="str">
        <f t="shared" si="22"/>
        <v>52808.45, 10561.69);</v>
      </c>
      <c r="I318" t="str">
        <f t="shared" si="23"/>
        <v>52808.45</v>
      </c>
      <c r="J318" t="str">
        <f t="shared" si="24"/>
        <v xml:space="preserve"> 10561.69</v>
      </c>
    </row>
    <row r="319" spans="1:10">
      <c r="A319" t="s">
        <v>2383</v>
      </c>
      <c r="B319" t="s">
        <v>1929</v>
      </c>
      <c r="C319">
        <f t="array" ref="C319">D319:F319</f>
        <v>0.77794269999999999</v>
      </c>
      <c r="D319" s="22">
        <v>0.77794269999999999</v>
      </c>
      <c r="E319" s="22">
        <v>0.14227999999999999</v>
      </c>
      <c r="F319" s="22">
        <v>0.71140000000000003</v>
      </c>
      <c r="G319" t="str">
        <f t="shared" si="21"/>
        <v>TAILTHK7_UNDERFLOW_WF</v>
      </c>
      <c r="H319" t="str">
        <f t="shared" si="22"/>
        <v>.7114, .14228);</v>
      </c>
      <c r="I319" t="str">
        <f t="shared" si="23"/>
        <v>.7114</v>
      </c>
      <c r="J319" t="str">
        <f t="shared" si="24"/>
        <v xml:space="preserve"> .14228</v>
      </c>
    </row>
    <row r="320" spans="1:10">
      <c r="A320"/>
      <c r="B320" t="s">
        <v>1930</v>
      </c>
      <c r="C320">
        <f t="array" ref="C320">D320:F320</f>
        <v>2.8701999999999998E-3</v>
      </c>
      <c r="D320" s="22">
        <v>2.8701999999999998E-3</v>
      </c>
      <c r="E320" s="22"/>
      <c r="F320" s="22"/>
    </row>
    <row r="321" spans="1:10">
      <c r="A321" t="s">
        <v>2384</v>
      </c>
      <c r="B321" t="s">
        <v>1931</v>
      </c>
      <c r="C321">
        <f t="array" ref="C321">D321:F321</f>
        <v>13626.386096300001</v>
      </c>
      <c r="D321" s="22">
        <v>13626.386096300001</v>
      </c>
      <c r="E321" s="22">
        <v>3370.056</v>
      </c>
      <c r="F321" s="22">
        <v>16850.28</v>
      </c>
      <c r="G321" t="str">
        <f t="shared" si="21"/>
        <v>TAILTHK8_CLOSE_Q</v>
      </c>
      <c r="H321" t="str">
        <f t="shared" si="22"/>
        <v>16850.28, 3370.056);</v>
      </c>
      <c r="I321" t="str">
        <f t="shared" si="23"/>
        <v>16850.28</v>
      </c>
      <c r="J321" t="str">
        <f t="shared" si="24"/>
        <v xml:space="preserve"> 3370.056</v>
      </c>
    </row>
    <row r="322" spans="1:10">
      <c r="A322"/>
      <c r="B322" t="s">
        <v>1932</v>
      </c>
      <c r="C322">
        <f t="array" ref="C322">D322:F322</f>
        <v>6.1883223999999997</v>
      </c>
      <c r="D322" s="22">
        <v>6.1883223999999997</v>
      </c>
      <c r="E322" s="22"/>
      <c r="F322" s="22"/>
    </row>
    <row r="323" spans="1:10">
      <c r="A323" t="s">
        <v>1316</v>
      </c>
      <c r="B323" t="s">
        <v>1933</v>
      </c>
      <c r="C323">
        <f t="array" ref="C323">D323:F323</f>
        <v>2.4009999999999999E-3</v>
      </c>
      <c r="D323" s="22">
        <v>2.4009999999999999E-3</v>
      </c>
      <c r="E323" s="22">
        <v>0</v>
      </c>
      <c r="F323" s="22">
        <v>2.4009999999999999E-3</v>
      </c>
      <c r="G323" t="str">
        <f t="shared" si="21"/>
        <v>TAILTHK8_OPEN_CF</v>
      </c>
      <c r="H323" t="str">
        <f t="shared" si="22"/>
        <v>.002401, 0);</v>
      </c>
      <c r="I323" t="str">
        <f t="shared" si="23"/>
        <v>.002401</v>
      </c>
      <c r="J323" t="str">
        <f t="shared" si="24"/>
        <v xml:space="preserve"> 0</v>
      </c>
    </row>
    <row r="324" spans="1:10">
      <c r="A324" t="s">
        <v>1317</v>
      </c>
      <c r="B324" t="s">
        <v>1934</v>
      </c>
      <c r="C324">
        <f t="array" ref="C324">D324:F324</f>
        <v>10768.248810999999</v>
      </c>
      <c r="D324" s="22">
        <v>10768.248810999999</v>
      </c>
      <c r="E324" s="22">
        <v>0</v>
      </c>
      <c r="F324" s="22">
        <v>10768.248810999999</v>
      </c>
      <c r="G324" t="str">
        <f t="shared" si="21"/>
        <v>TAILTHK8_OPEN_Q</v>
      </c>
      <c r="H324" t="str">
        <f t="shared" si="22"/>
        <v>10768.248811, 0);</v>
      </c>
      <c r="I324" t="str">
        <f t="shared" si="23"/>
        <v>10768.248811</v>
      </c>
      <c r="J324" t="str">
        <f t="shared" si="24"/>
        <v xml:space="preserve"> 0</v>
      </c>
    </row>
    <row r="325" spans="1:10">
      <c r="A325" t="s">
        <v>1318</v>
      </c>
      <c r="B325" t="s">
        <v>1935</v>
      </c>
      <c r="C325">
        <f t="array" ref="C325">D325:F325</f>
        <v>7.9275899000000001</v>
      </c>
      <c r="D325" s="22">
        <v>7.9275899000000001</v>
      </c>
      <c r="E325" s="22">
        <v>0</v>
      </c>
      <c r="F325" s="22">
        <v>7.9275899000000001</v>
      </c>
      <c r="G325" t="str">
        <f t="shared" si="21"/>
        <v>TAILTHK8_OPEN_WF</v>
      </c>
      <c r="H325" t="str">
        <f t="shared" si="22"/>
        <v>7.9275899, 0);</v>
      </c>
      <c r="I325" t="str">
        <f t="shared" si="23"/>
        <v>7.9275899</v>
      </c>
      <c r="J325" t="str">
        <f t="shared" si="24"/>
        <v xml:space="preserve"> 0</v>
      </c>
    </row>
    <row r="326" spans="1:10">
      <c r="A326"/>
      <c r="B326" t="s">
        <v>1936</v>
      </c>
      <c r="C326">
        <f t="array" ref="C326">D326:F326</f>
        <v>43519.808261300001</v>
      </c>
      <c r="D326" s="22">
        <v>43519.808261300001</v>
      </c>
      <c r="E326" s="22"/>
      <c r="F326" s="22"/>
    </row>
    <row r="327" spans="1:10">
      <c r="A327" t="s">
        <v>1319</v>
      </c>
      <c r="B327" t="s">
        <v>1937</v>
      </c>
      <c r="C327">
        <f t="array" ref="C327">D327:F327</f>
        <v>89291.287670000005</v>
      </c>
      <c r="D327" s="22">
        <v>89291.287670000005</v>
      </c>
      <c r="E327" s="22">
        <v>0</v>
      </c>
      <c r="F327" s="22">
        <v>89291.287670000005</v>
      </c>
      <c r="G327" t="str">
        <f t="shared" si="21"/>
        <v>TAILTHK8_TOTVOL_CLOSE_Q</v>
      </c>
      <c r="H327" t="str">
        <f t="shared" si="22"/>
        <v>89291.28767, 0);</v>
      </c>
      <c r="I327" t="str">
        <f t="shared" si="23"/>
        <v>89291.28767</v>
      </c>
      <c r="J327" t="str">
        <f t="shared" si="24"/>
        <v xml:space="preserve"> 0</v>
      </c>
    </row>
    <row r="328" spans="1:10">
      <c r="A328"/>
      <c r="B328" t="s">
        <v>1938</v>
      </c>
      <c r="C328">
        <f t="array" ref="C328">D328:F328</f>
        <v>89291.287670000005</v>
      </c>
      <c r="D328" s="22">
        <v>89291.287670000005</v>
      </c>
      <c r="E328" s="22"/>
      <c r="F328" s="22"/>
    </row>
    <row r="329" spans="1:10">
      <c r="A329" t="s">
        <v>2385</v>
      </c>
      <c r="B329" t="s">
        <v>1939</v>
      </c>
      <c r="C329">
        <f t="array" ref="C329">D329:F329</f>
        <v>2.8701999999999998E-3</v>
      </c>
      <c r="D329" s="22">
        <v>2.8701999999999998E-3</v>
      </c>
      <c r="E329" s="22">
        <v>4229.8819999999996</v>
      </c>
      <c r="F329" s="22">
        <v>21149.41</v>
      </c>
      <c r="G329" t="str">
        <f t="shared" si="21"/>
        <v>TAILTHK8_UNDERFLOW_Q</v>
      </c>
      <c r="H329" t="str">
        <f t="shared" si="22"/>
        <v>21149.41, 4229.882);</v>
      </c>
      <c r="I329" t="str">
        <f t="shared" si="23"/>
        <v>21149.41</v>
      </c>
      <c r="J329" t="str">
        <f t="shared" si="24"/>
        <v xml:space="preserve"> 4229.882</v>
      </c>
    </row>
    <row r="330" spans="1:10">
      <c r="A330"/>
      <c r="B330" t="s">
        <v>1940</v>
      </c>
      <c r="C330">
        <f t="array" ref="C330">D330:F330</f>
        <v>19181.383998900001</v>
      </c>
      <c r="D330" s="22">
        <v>19181.383998900001</v>
      </c>
      <c r="E330" s="22"/>
      <c r="F330" s="22"/>
    </row>
    <row r="331" spans="1:10">
      <c r="A331" t="s">
        <v>2386</v>
      </c>
      <c r="B331" t="s">
        <v>1941</v>
      </c>
      <c r="C331">
        <f t="array" ref="C331">D331:F331</f>
        <v>1.0779221000000001</v>
      </c>
      <c r="D331" s="22">
        <v>1.0779221000000001</v>
      </c>
      <c r="E331" s="22">
        <v>0.19753999999999999</v>
      </c>
      <c r="F331" s="22">
        <v>0.98770000000000002</v>
      </c>
      <c r="G331" t="str">
        <f t="shared" si="21"/>
        <v>TAILTHK8_UNDERFLOW_WF</v>
      </c>
      <c r="H331" t="str">
        <f t="shared" si="22"/>
        <v>.9877, .19754);</v>
      </c>
      <c r="I331" t="str">
        <f t="shared" si="23"/>
        <v>.9877</v>
      </c>
      <c r="J331" t="str">
        <f t="shared" si="24"/>
        <v xml:space="preserve"> .19754</v>
      </c>
    </row>
    <row r="332" spans="1:10">
      <c r="A332"/>
      <c r="B332" t="s">
        <v>1942</v>
      </c>
      <c r="C332">
        <f t="array" ref="C332">D332:F332</f>
        <v>110606.777883</v>
      </c>
      <c r="D332" s="22">
        <v>110606.777883</v>
      </c>
      <c r="E332" s="22"/>
      <c r="F332" s="22"/>
    </row>
    <row r="333" spans="1:10">
      <c r="A333" t="s">
        <v>2387</v>
      </c>
      <c r="B333" t="s">
        <v>1943</v>
      </c>
      <c r="C333">
        <f t="array" ref="C333">D333:F333</f>
        <v>54463.764163</v>
      </c>
      <c r="D333" s="22">
        <v>54463.764163</v>
      </c>
      <c r="E333" s="22">
        <v>1086.4297999999999</v>
      </c>
      <c r="F333" s="22">
        <v>54321.49</v>
      </c>
      <c r="G333" t="str">
        <f t="shared" si="21"/>
        <v>TANK_CLOSE_Q</v>
      </c>
      <c r="H333" t="str">
        <f t="shared" si="22"/>
        <v>54321.49, 1086.4298);</v>
      </c>
      <c r="I333" t="str">
        <f t="shared" si="23"/>
        <v>54321.49</v>
      </c>
      <c r="J333" t="str">
        <f t="shared" si="24"/>
        <v xml:space="preserve"> 1086.4298</v>
      </c>
    </row>
    <row r="334" spans="1:10">
      <c r="A334" t="s">
        <v>1320</v>
      </c>
      <c r="B334" t="s">
        <v>1944</v>
      </c>
      <c r="C334">
        <f t="array" ref="C334">D334:F334</f>
        <v>56675.082796800001</v>
      </c>
      <c r="D334" s="22">
        <v>56675.082796800001</v>
      </c>
      <c r="E334" s="22">
        <v>0</v>
      </c>
      <c r="F334" s="22">
        <v>56675.082796800001</v>
      </c>
      <c r="G334" t="str">
        <f t="shared" si="21"/>
        <v>TANK_OPEN_Q</v>
      </c>
      <c r="H334" t="str">
        <f t="shared" si="22"/>
        <v>56675.0827968, 0);</v>
      </c>
      <c r="I334" t="str">
        <f t="shared" si="23"/>
        <v>56675.0827968</v>
      </c>
      <c r="J334" t="str">
        <f t="shared" si="24"/>
        <v xml:space="preserve"> 0</v>
      </c>
    </row>
    <row r="335" spans="1:10">
      <c r="A335"/>
      <c r="B335" t="s">
        <v>1945</v>
      </c>
      <c r="C335">
        <f t="array" ref="C335">D335:F335</f>
        <v>25980.465189499999</v>
      </c>
      <c r="D335" s="22">
        <v>25980.465189499999</v>
      </c>
      <c r="E335" s="22"/>
      <c r="F335" s="22"/>
    </row>
    <row r="336" spans="1:10">
      <c r="A336"/>
      <c r="B336" t="s">
        <v>1946</v>
      </c>
      <c r="C336">
        <f t="array" ref="C336">D336:F336</f>
        <v>2.898E-3</v>
      </c>
      <c r="D336" s="22">
        <v>2.898E-3</v>
      </c>
      <c r="E336" s="22"/>
      <c r="F336" s="22"/>
    </row>
    <row r="337" spans="1:10">
      <c r="A337"/>
      <c r="B337" t="s">
        <v>1947</v>
      </c>
      <c r="C337">
        <f t="array" ref="C337">D337:F337</f>
        <v>46451.675528200001</v>
      </c>
      <c r="D337" s="22">
        <v>46451.675528200001</v>
      </c>
      <c r="E337" s="22"/>
      <c r="F337" s="22"/>
    </row>
    <row r="338" spans="1:10">
      <c r="A338"/>
      <c r="B338" t="s">
        <v>1948</v>
      </c>
      <c r="C338">
        <f t="array" ref="C338">D338:F338</f>
        <v>0.9018138</v>
      </c>
      <c r="D338" s="22">
        <v>0.9018138</v>
      </c>
      <c r="E338" s="22"/>
      <c r="F338" s="22"/>
    </row>
    <row r="339" spans="1:10">
      <c r="A339" t="s">
        <v>2388</v>
      </c>
      <c r="B339" t="s">
        <v>1949</v>
      </c>
      <c r="C339">
        <f t="array" ref="C339">D339:F339</f>
        <v>0.3216</v>
      </c>
      <c r="D339" s="22">
        <v>0.3216</v>
      </c>
      <c r="E339" s="22">
        <v>1.6080000000000001E-2</v>
      </c>
      <c r="F339" s="22">
        <v>0.3216</v>
      </c>
      <c r="G339" t="str">
        <f t="shared" si="21"/>
        <v>TK23_CLOSE_CF</v>
      </c>
      <c r="H339" t="str">
        <f t="shared" si="22"/>
        <v>.3216, .01608);</v>
      </c>
      <c r="I339" t="str">
        <f t="shared" si="23"/>
        <v>.3216</v>
      </c>
      <c r="J339" t="str">
        <f t="shared" si="24"/>
        <v xml:space="preserve"> .01608</v>
      </c>
    </row>
    <row r="340" spans="1:10">
      <c r="A340" t="s">
        <v>1321</v>
      </c>
      <c r="B340" t="s">
        <v>1950</v>
      </c>
      <c r="C340">
        <f t="array" ref="C340">D340:F340</f>
        <v>0</v>
      </c>
      <c r="D340" s="22">
        <v>0</v>
      </c>
      <c r="E340" s="22">
        <v>0</v>
      </c>
      <c r="F340" s="22">
        <v>0</v>
      </c>
      <c r="G340" t="str">
        <f t="shared" si="21"/>
        <v>TK23_CLOSE_Q</v>
      </c>
      <c r="H340" t="str">
        <f t="shared" si="22"/>
        <v>0, 0);</v>
      </c>
      <c r="I340" t="str">
        <f t="shared" si="23"/>
        <v>0</v>
      </c>
      <c r="J340" t="str">
        <f t="shared" si="24"/>
        <v xml:space="preserve"> 0</v>
      </c>
    </row>
    <row r="341" spans="1:10">
      <c r="A341" t="s">
        <v>1322</v>
      </c>
      <c r="B341" t="s">
        <v>1951</v>
      </c>
      <c r="C341">
        <f t="array" ref="C341">D341:F341</f>
        <v>0.53920000000000001</v>
      </c>
      <c r="D341" s="22">
        <v>0.53920000000000001</v>
      </c>
      <c r="E341" s="22">
        <v>5.3920000000000003E-2</v>
      </c>
      <c r="F341" s="22">
        <v>0.53920000000000001</v>
      </c>
      <c r="G341" t="str">
        <f t="shared" si="21"/>
        <v>TK23_CLOSE_WF</v>
      </c>
      <c r="H341" t="str">
        <f t="shared" si="22"/>
        <v>.5392, .05392);</v>
      </c>
      <c r="I341" t="str">
        <f t="shared" si="23"/>
        <v>.5392</v>
      </c>
      <c r="J341" t="str">
        <f t="shared" si="24"/>
        <v xml:space="preserve"> .05392</v>
      </c>
    </row>
    <row r="342" spans="1:10">
      <c r="A342" t="s">
        <v>1323</v>
      </c>
      <c r="B342" t="s">
        <v>1952</v>
      </c>
      <c r="C342">
        <f t="array" ref="C342">D342:F342</f>
        <v>0.3216</v>
      </c>
      <c r="D342" s="22">
        <v>0.3216</v>
      </c>
      <c r="E342" s="22">
        <v>3.2160000000000001E-2</v>
      </c>
      <c r="F342" s="22">
        <v>0.3216</v>
      </c>
      <c r="G342" t="str">
        <f t="shared" si="21"/>
        <v>TK23_DI105_CF</v>
      </c>
      <c r="H342" t="str">
        <f t="shared" si="22"/>
        <v>.3216, .03216);</v>
      </c>
      <c r="I342" t="str">
        <f t="shared" si="23"/>
        <v>.3216</v>
      </c>
      <c r="J342" t="str">
        <f t="shared" si="24"/>
        <v xml:space="preserve"> .03216</v>
      </c>
    </row>
    <row r="343" spans="1:10">
      <c r="A343" t="s">
        <v>1324</v>
      </c>
      <c r="B343" t="s">
        <v>1953</v>
      </c>
      <c r="C343">
        <f t="array" ref="C343">D343:F343</f>
        <v>0</v>
      </c>
      <c r="D343" s="22">
        <v>0</v>
      </c>
      <c r="E343" s="22">
        <v>0</v>
      </c>
      <c r="F343" s="22">
        <v>0</v>
      </c>
      <c r="G343" t="str">
        <f t="shared" ref="G343:G386" si="25">MID(A343,FIND("*/",A343)+3,FIND(":",A343)-3 -FIND("*/",A343))</f>
        <v>TK23_DI105_Q</v>
      </c>
      <c r="H343" t="str">
        <f t="shared" ref="H343:H386" si="26">MID(A343,FIND("(",A343)+1,50)</f>
        <v>0, 0);</v>
      </c>
      <c r="I343" t="str">
        <f t="shared" ref="I343:I386" si="27">MID(H343,1,FIND(",",H343)-1)</f>
        <v>0</v>
      </c>
      <c r="J343" t="str">
        <f t="shared" ref="J343:J386" si="28">MID(H343,FIND(",",H343)+1,LEN(H343)-FIND(",",H343)-2)</f>
        <v xml:space="preserve"> 0</v>
      </c>
    </row>
    <row r="344" spans="1:10">
      <c r="A344"/>
      <c r="B344" t="s">
        <v>1954</v>
      </c>
      <c r="C344">
        <f t="array" ref="C344">D344:F344</f>
        <v>0.53920000000000001</v>
      </c>
      <c r="D344" s="22">
        <v>0.53920000000000001</v>
      </c>
      <c r="E344" s="22"/>
      <c r="F344" s="22"/>
    </row>
    <row r="345" spans="1:10">
      <c r="A345" t="s">
        <v>1325</v>
      </c>
      <c r="B345" t="s">
        <v>1955</v>
      </c>
      <c r="C345">
        <f t="array" ref="C345">D345:F345</f>
        <v>0.3216</v>
      </c>
      <c r="D345" s="22">
        <v>0.3216</v>
      </c>
      <c r="E345" s="22">
        <v>0</v>
      </c>
      <c r="F345" s="22">
        <v>0.3216</v>
      </c>
      <c r="G345" t="str">
        <f t="shared" si="25"/>
        <v>TK23_OPEN_CF</v>
      </c>
      <c r="H345" t="str">
        <f t="shared" si="26"/>
        <v>.3216, 0);</v>
      </c>
      <c r="I345" t="str">
        <f t="shared" si="27"/>
        <v>.3216</v>
      </c>
      <c r="J345" t="str">
        <f t="shared" si="28"/>
        <v xml:space="preserve"> 0</v>
      </c>
    </row>
    <row r="346" spans="1:10">
      <c r="A346" t="s">
        <v>1326</v>
      </c>
      <c r="B346" t="s">
        <v>1956</v>
      </c>
      <c r="C346">
        <f t="array" ref="C346">D346:F346</f>
        <v>0</v>
      </c>
      <c r="D346" s="22">
        <v>0</v>
      </c>
      <c r="E346" s="22">
        <v>0</v>
      </c>
      <c r="F346" s="22">
        <v>0</v>
      </c>
      <c r="G346" t="str">
        <f t="shared" si="25"/>
        <v>TK23_OPEN_Q</v>
      </c>
      <c r="H346" t="str">
        <f t="shared" si="26"/>
        <v>0, 0);</v>
      </c>
      <c r="I346" t="str">
        <f t="shared" si="27"/>
        <v>0</v>
      </c>
      <c r="J346" t="str">
        <f t="shared" si="28"/>
        <v xml:space="preserve"> 0</v>
      </c>
    </row>
    <row r="347" spans="1:10">
      <c r="A347" t="s">
        <v>1327</v>
      </c>
      <c r="B347" t="s">
        <v>1957</v>
      </c>
      <c r="C347">
        <f t="array" ref="C347">D347:F347</f>
        <v>0.53920000000000001</v>
      </c>
      <c r="D347" s="22">
        <v>0.53920000000000001</v>
      </c>
      <c r="E347" s="22">
        <v>0</v>
      </c>
      <c r="F347" s="22">
        <v>0.53920000000000001</v>
      </c>
      <c r="G347" t="str">
        <f t="shared" si="25"/>
        <v>TK23_OPEN_WF</v>
      </c>
      <c r="H347" t="str">
        <f t="shared" si="26"/>
        <v>.5392, 0);</v>
      </c>
      <c r="I347" t="str">
        <f t="shared" si="27"/>
        <v>.5392</v>
      </c>
      <c r="J347" t="str">
        <f t="shared" si="28"/>
        <v xml:space="preserve"> 0</v>
      </c>
    </row>
    <row r="348" spans="1:10">
      <c r="A348" t="s">
        <v>2389</v>
      </c>
      <c r="B348" t="s">
        <v>1958</v>
      </c>
      <c r="C348">
        <f t="array" ref="C348">D348:F348</f>
        <v>0.30489260000000001</v>
      </c>
      <c r="D348" s="22">
        <v>0.30489260000000001</v>
      </c>
      <c r="E348" s="22">
        <v>1.4905E-2</v>
      </c>
      <c r="F348" s="22">
        <v>0.29809999999999998</v>
      </c>
      <c r="G348" t="str">
        <f t="shared" si="25"/>
        <v>TK24_CLOSE_CF</v>
      </c>
      <c r="H348" t="str">
        <f t="shared" si="26"/>
        <v>.2981, .014905);</v>
      </c>
      <c r="I348" t="str">
        <f t="shared" si="27"/>
        <v>.2981</v>
      </c>
      <c r="J348" t="str">
        <f t="shared" si="28"/>
        <v xml:space="preserve"> .014905</v>
      </c>
    </row>
    <row r="349" spans="1:10">
      <c r="A349" t="s">
        <v>1328</v>
      </c>
      <c r="B349" t="s">
        <v>1959</v>
      </c>
      <c r="C349">
        <f t="array" ref="C349">D349:F349</f>
        <v>0</v>
      </c>
      <c r="D349" s="22">
        <v>0</v>
      </c>
      <c r="E349" s="22">
        <v>0</v>
      </c>
      <c r="F349" s="22">
        <v>0</v>
      </c>
      <c r="G349" t="str">
        <f t="shared" si="25"/>
        <v>TK24_CLOSE_Q</v>
      </c>
      <c r="H349" t="str">
        <f t="shared" si="26"/>
        <v>0, 0);</v>
      </c>
      <c r="I349" t="str">
        <f t="shared" si="27"/>
        <v>0</v>
      </c>
      <c r="J349" t="str">
        <f t="shared" si="28"/>
        <v xml:space="preserve"> 0</v>
      </c>
    </row>
    <row r="350" spans="1:10">
      <c r="A350" t="s">
        <v>1329</v>
      </c>
      <c r="B350" t="s">
        <v>1960</v>
      </c>
      <c r="C350">
        <f t="array" ref="C350">D350:F350</f>
        <v>0.51060000000000005</v>
      </c>
      <c r="D350" s="22">
        <v>0.51060000000000005</v>
      </c>
      <c r="E350" s="22">
        <v>5.1060000000000001E-2</v>
      </c>
      <c r="F350" s="22">
        <v>0.51060000000000005</v>
      </c>
      <c r="G350" t="str">
        <f t="shared" si="25"/>
        <v>TK24_CLOSE_WF</v>
      </c>
      <c r="H350" t="str">
        <f t="shared" si="26"/>
        <v>.5106, .05106);</v>
      </c>
      <c r="I350" t="str">
        <f t="shared" si="27"/>
        <v>.5106</v>
      </c>
      <c r="J350" t="str">
        <f t="shared" si="28"/>
        <v xml:space="preserve"> .05106</v>
      </c>
    </row>
    <row r="351" spans="1:10">
      <c r="A351" t="s">
        <v>2390</v>
      </c>
      <c r="B351" t="s">
        <v>1961</v>
      </c>
      <c r="C351">
        <f t="array" ref="C351">D351:F351</f>
        <v>0.30489260000000001</v>
      </c>
      <c r="D351" s="22">
        <v>0.30489260000000001</v>
      </c>
      <c r="E351" s="22">
        <v>3.4029999999999998E-2</v>
      </c>
      <c r="F351" s="22">
        <v>0.34029999999999999</v>
      </c>
      <c r="G351" t="str">
        <f t="shared" si="25"/>
        <v>TK24_DI105_CF</v>
      </c>
      <c r="H351" t="str">
        <f t="shared" si="26"/>
        <v>.3403, .03403);</v>
      </c>
      <c r="I351" t="str">
        <f t="shared" si="27"/>
        <v>.3403</v>
      </c>
      <c r="J351" t="str">
        <f t="shared" si="28"/>
        <v xml:space="preserve"> .03403</v>
      </c>
    </row>
    <row r="352" spans="1:10">
      <c r="A352" t="s">
        <v>1330</v>
      </c>
      <c r="B352" t="s">
        <v>1962</v>
      </c>
      <c r="C352">
        <f t="array" ref="C352">D352:F352</f>
        <v>0</v>
      </c>
      <c r="D352" s="22">
        <v>0</v>
      </c>
      <c r="E352" s="22">
        <v>0</v>
      </c>
      <c r="F352" s="22">
        <v>0</v>
      </c>
      <c r="G352" t="str">
        <f t="shared" si="25"/>
        <v>TK24_DI105_Q</v>
      </c>
      <c r="H352" t="str">
        <f t="shared" si="26"/>
        <v>0, 0);</v>
      </c>
      <c r="I352" t="str">
        <f t="shared" si="27"/>
        <v>0</v>
      </c>
      <c r="J352" t="str">
        <f t="shared" si="28"/>
        <v xml:space="preserve"> 0</v>
      </c>
    </row>
    <row r="353" spans="1:10">
      <c r="A353"/>
      <c r="B353" t="s">
        <v>1963</v>
      </c>
      <c r="C353">
        <f t="array" ref="C353">D353:F353</f>
        <v>0.51060000000000005</v>
      </c>
      <c r="D353" s="22">
        <v>0.51060000000000005</v>
      </c>
      <c r="E353" s="22"/>
      <c r="F353" s="22"/>
    </row>
    <row r="354" spans="1:10">
      <c r="A354" t="s">
        <v>1331</v>
      </c>
      <c r="B354" t="s">
        <v>1964</v>
      </c>
      <c r="C354">
        <f t="array" ref="C354">D354:F354</f>
        <v>0.30489260000000001</v>
      </c>
      <c r="D354" s="22">
        <v>0.30489260000000001</v>
      </c>
      <c r="E354" s="22">
        <v>0</v>
      </c>
      <c r="F354" s="22">
        <v>0.30489260000000001</v>
      </c>
      <c r="G354" t="str">
        <f t="shared" si="25"/>
        <v>TK24_OPEN_CF</v>
      </c>
      <c r="H354" t="str">
        <f t="shared" si="26"/>
        <v>.3048926, 0);</v>
      </c>
      <c r="I354" t="str">
        <f t="shared" si="27"/>
        <v>.3048926</v>
      </c>
      <c r="J354" t="str">
        <f t="shared" si="28"/>
        <v xml:space="preserve"> 0</v>
      </c>
    </row>
    <row r="355" spans="1:10">
      <c r="A355" t="s">
        <v>1332</v>
      </c>
      <c r="B355" t="s">
        <v>1965</v>
      </c>
      <c r="C355">
        <f t="array" ref="C355">D355:F355</f>
        <v>0</v>
      </c>
      <c r="D355" s="22">
        <v>0</v>
      </c>
      <c r="E355" s="22">
        <v>0</v>
      </c>
      <c r="F355" s="22">
        <v>0</v>
      </c>
      <c r="G355" t="str">
        <f t="shared" si="25"/>
        <v>TK24_OPEN_Q</v>
      </c>
      <c r="H355" t="str">
        <f t="shared" si="26"/>
        <v>0, 0);</v>
      </c>
      <c r="I355" t="str">
        <f t="shared" si="27"/>
        <v>0</v>
      </c>
      <c r="J355" t="str">
        <f t="shared" si="28"/>
        <v xml:space="preserve"> 0</v>
      </c>
    </row>
    <row r="356" spans="1:10">
      <c r="A356" t="s">
        <v>1333</v>
      </c>
      <c r="B356" t="s">
        <v>1966</v>
      </c>
      <c r="C356">
        <f t="array" ref="C356">D356:F356</f>
        <v>0.51060000000000005</v>
      </c>
      <c r="D356" s="22">
        <v>0.51060000000000005</v>
      </c>
      <c r="E356" s="22">
        <v>0</v>
      </c>
      <c r="F356" s="22">
        <v>0.51060000000000005</v>
      </c>
      <c r="G356" t="str">
        <f t="shared" si="25"/>
        <v>TK24_OPEN_WF</v>
      </c>
      <c r="H356" t="str">
        <f t="shared" si="26"/>
        <v>.5106, 0);</v>
      </c>
      <c r="I356" t="str">
        <f t="shared" si="27"/>
        <v>.5106</v>
      </c>
      <c r="J356" t="str">
        <f t="shared" si="28"/>
        <v xml:space="preserve"> 0</v>
      </c>
    </row>
    <row r="357" spans="1:10">
      <c r="A357" t="s">
        <v>2391</v>
      </c>
      <c r="B357" t="s">
        <v>1967</v>
      </c>
      <c r="C357">
        <f t="array" ref="C357">D357:F357</f>
        <v>0.37367430000000001</v>
      </c>
      <c r="D357" s="22">
        <v>0.37367430000000001</v>
      </c>
      <c r="E357" s="22">
        <v>1.7014999999999999E-2</v>
      </c>
      <c r="F357" s="22">
        <v>0.34029999999999999</v>
      </c>
      <c r="G357" t="str">
        <f t="shared" si="25"/>
        <v>TK25_CLOSE_CF</v>
      </c>
      <c r="H357" t="str">
        <f t="shared" si="26"/>
        <v>.3403, .017015);</v>
      </c>
      <c r="I357" t="str">
        <f t="shared" si="27"/>
        <v>.3403</v>
      </c>
      <c r="J357" t="str">
        <f t="shared" si="28"/>
        <v xml:space="preserve"> .017015</v>
      </c>
    </row>
    <row r="358" spans="1:10">
      <c r="A358" t="s">
        <v>2392</v>
      </c>
      <c r="B358" t="s">
        <v>1968</v>
      </c>
      <c r="C358">
        <f t="array" ref="C358">D358:F358</f>
        <v>1558.6002658</v>
      </c>
      <c r="D358" s="22">
        <v>1558.6002658</v>
      </c>
      <c r="E358" s="22">
        <v>31.154900000000001</v>
      </c>
      <c r="F358" s="22">
        <v>1557.7449999999999</v>
      </c>
      <c r="G358" t="str">
        <f t="shared" si="25"/>
        <v>TK25_CLOSE_Q</v>
      </c>
      <c r="H358" t="str">
        <f t="shared" si="26"/>
        <v>1557.745, 31.1549);</v>
      </c>
      <c r="I358" t="str">
        <f t="shared" si="27"/>
        <v>1557.745</v>
      </c>
      <c r="J358" t="str">
        <f t="shared" si="28"/>
        <v xml:space="preserve"> 31.1549</v>
      </c>
    </row>
    <row r="359" spans="1:10">
      <c r="A359" t="s">
        <v>2393</v>
      </c>
      <c r="B359" t="s">
        <v>1969</v>
      </c>
      <c r="C359">
        <f t="array" ref="C359">D359:F359</f>
        <v>0.45278770000000002</v>
      </c>
      <c r="D359" s="22">
        <v>0.45278770000000002</v>
      </c>
      <c r="E359" s="22">
        <v>4.793E-2</v>
      </c>
      <c r="F359" s="22">
        <v>0.4793</v>
      </c>
      <c r="G359" t="str">
        <f t="shared" si="25"/>
        <v>TK25_CLOSE_WF</v>
      </c>
      <c r="H359" t="str">
        <f t="shared" si="26"/>
        <v>.4793, .04793);</v>
      </c>
      <c r="I359" t="str">
        <f t="shared" si="27"/>
        <v>.4793</v>
      </c>
      <c r="J359" t="str">
        <f t="shared" si="28"/>
        <v xml:space="preserve"> .04793</v>
      </c>
    </row>
    <row r="360" spans="1:10">
      <c r="A360" t="s">
        <v>2394</v>
      </c>
      <c r="B360" t="s">
        <v>1970</v>
      </c>
      <c r="C360">
        <f t="array" ref="C360">D360:F360</f>
        <v>0.37367430000000001</v>
      </c>
      <c r="D360" s="22">
        <v>0.37367430000000001</v>
      </c>
      <c r="E360" s="22">
        <v>2.981E-2</v>
      </c>
      <c r="F360" s="22">
        <v>0.29810009999999998</v>
      </c>
      <c r="G360" t="str">
        <f t="shared" si="25"/>
        <v>TK25_DI105_CF</v>
      </c>
      <c r="H360" t="str">
        <f t="shared" si="26"/>
        <v>.2981001, .02981);</v>
      </c>
      <c r="I360" t="str">
        <f t="shared" si="27"/>
        <v>.2981001</v>
      </c>
      <c r="J360" t="str">
        <f t="shared" si="28"/>
        <v xml:space="preserve"> .02981</v>
      </c>
    </row>
    <row r="361" spans="1:10">
      <c r="A361" t="s">
        <v>2395</v>
      </c>
      <c r="B361" t="s">
        <v>1971</v>
      </c>
      <c r="C361">
        <f t="array" ref="C361">D361:F361</f>
        <v>1771.3037405</v>
      </c>
      <c r="D361" s="22">
        <v>1771.3037405</v>
      </c>
      <c r="E361" s="22">
        <v>351.80340000000001</v>
      </c>
      <c r="F361" s="22">
        <v>1759.0170000000001</v>
      </c>
      <c r="G361" t="str">
        <f t="shared" si="25"/>
        <v>TK25_DI105_Q</v>
      </c>
      <c r="H361" t="str">
        <f t="shared" si="26"/>
        <v>1759.017, 351.8034);</v>
      </c>
      <c r="I361" t="str">
        <f t="shared" si="27"/>
        <v>1759.017</v>
      </c>
      <c r="J361" t="str">
        <f t="shared" si="28"/>
        <v xml:space="preserve"> 351.8034</v>
      </c>
    </row>
    <row r="362" spans="1:10">
      <c r="A362"/>
      <c r="B362" t="s">
        <v>1972</v>
      </c>
      <c r="C362">
        <f t="array" ref="C362">D362:F362</f>
        <v>0.45278770000000002</v>
      </c>
      <c r="D362" s="22">
        <v>0.45278770000000002</v>
      </c>
      <c r="E362" s="22"/>
      <c r="F362" s="22"/>
    </row>
    <row r="363" spans="1:10">
      <c r="A363" t="s">
        <v>1334</v>
      </c>
      <c r="B363" t="s">
        <v>1973</v>
      </c>
      <c r="C363">
        <f t="array" ref="C363">D363:F363</f>
        <v>0.37265589999999998</v>
      </c>
      <c r="D363" s="22">
        <v>0.37265589999999998</v>
      </c>
      <c r="E363" s="22">
        <v>0</v>
      </c>
      <c r="F363" s="22">
        <v>0.37265589999999998</v>
      </c>
      <c r="G363" t="str">
        <f t="shared" si="25"/>
        <v>TK25_OPEN_CF</v>
      </c>
      <c r="H363" t="str">
        <f t="shared" si="26"/>
        <v>.3726559, 0);</v>
      </c>
      <c r="I363" t="str">
        <f t="shared" si="27"/>
        <v>.3726559</v>
      </c>
      <c r="J363" t="str">
        <f t="shared" si="28"/>
        <v xml:space="preserve"> 0</v>
      </c>
    </row>
    <row r="364" spans="1:10">
      <c r="A364" t="s">
        <v>1335</v>
      </c>
      <c r="B364" t="s">
        <v>1974</v>
      </c>
      <c r="C364">
        <f t="array" ref="C364">D364:F364</f>
        <v>2662.5930512999998</v>
      </c>
      <c r="D364" s="22">
        <v>2662.5930512999998</v>
      </c>
      <c r="E364" s="22">
        <v>0</v>
      </c>
      <c r="F364" s="22">
        <v>2662.5930512999998</v>
      </c>
      <c r="G364" t="str">
        <f t="shared" si="25"/>
        <v>TK25_OPEN_Q</v>
      </c>
      <c r="H364" t="str">
        <f t="shared" si="26"/>
        <v>2662.5930513, 0);</v>
      </c>
      <c r="I364" t="str">
        <f t="shared" si="27"/>
        <v>2662.5930513</v>
      </c>
      <c r="J364" t="str">
        <f t="shared" si="28"/>
        <v xml:space="preserve"> 0</v>
      </c>
    </row>
    <row r="365" spans="1:10">
      <c r="A365" t="s">
        <v>1336</v>
      </c>
      <c r="B365" t="s">
        <v>1975</v>
      </c>
      <c r="C365">
        <f t="array" ref="C365">D365:F365</f>
        <v>0.4571559</v>
      </c>
      <c r="D365" s="22">
        <v>0.4571559</v>
      </c>
      <c r="E365" s="22">
        <v>0</v>
      </c>
      <c r="F365" s="22">
        <v>0.4571559</v>
      </c>
      <c r="G365" t="str">
        <f t="shared" si="25"/>
        <v>TK25_OPEN_WF</v>
      </c>
      <c r="H365" t="str">
        <f t="shared" si="26"/>
        <v>.4571559, 0);</v>
      </c>
      <c r="I365" t="str">
        <f t="shared" si="27"/>
        <v>.4571559</v>
      </c>
      <c r="J365" t="str">
        <f t="shared" si="28"/>
        <v xml:space="preserve"> 0</v>
      </c>
    </row>
    <row r="366" spans="1:10">
      <c r="A366" t="s">
        <v>2396</v>
      </c>
      <c r="B366" t="s">
        <v>1976</v>
      </c>
      <c r="C366">
        <f t="array" ref="C366">D366:F366</f>
        <v>0.37247659999999999</v>
      </c>
      <c r="D366" s="22">
        <v>0.37247659999999999</v>
      </c>
      <c r="E366" s="22">
        <v>1.6310000000000002E-2</v>
      </c>
      <c r="F366" s="22">
        <v>0.32619999999999999</v>
      </c>
      <c r="G366" t="str">
        <f t="shared" si="25"/>
        <v>TK26_CLOSE_CF</v>
      </c>
      <c r="H366" t="str">
        <f t="shared" si="26"/>
        <v>.3262, .01631);</v>
      </c>
      <c r="I366" t="str">
        <f t="shared" si="27"/>
        <v>.3262</v>
      </c>
      <c r="J366" t="str">
        <f t="shared" si="28"/>
        <v xml:space="preserve"> .01631</v>
      </c>
    </row>
    <row r="367" spans="1:10">
      <c r="A367" t="s">
        <v>2397</v>
      </c>
      <c r="B367" t="s">
        <v>1977</v>
      </c>
      <c r="C367">
        <f t="array" ref="C367">D367:F367</f>
        <v>2662.8927263999999</v>
      </c>
      <c r="D367" s="22">
        <v>2662.8927263999999</v>
      </c>
      <c r="E367" s="22">
        <v>53.191400000000002</v>
      </c>
      <c r="F367" s="22">
        <v>2659.57</v>
      </c>
      <c r="G367" t="str">
        <f t="shared" si="25"/>
        <v>TK26_CLOSE_Q</v>
      </c>
      <c r="H367" t="str">
        <f t="shared" si="26"/>
        <v>2659.57, 53.1914);</v>
      </c>
      <c r="I367" t="str">
        <f t="shared" si="27"/>
        <v>2659.57</v>
      </c>
      <c r="J367" t="str">
        <f t="shared" si="28"/>
        <v xml:space="preserve"> 53.1914</v>
      </c>
    </row>
    <row r="368" spans="1:10">
      <c r="A368" t="s">
        <v>2398</v>
      </c>
      <c r="B368" t="s">
        <v>1978</v>
      </c>
      <c r="C368">
        <f t="array" ref="C368">D368:F368</f>
        <v>0.44257859999999999</v>
      </c>
      <c r="D368" s="22">
        <v>0.44257859999999999</v>
      </c>
      <c r="E368" s="22">
        <v>5.314E-2</v>
      </c>
      <c r="F368" s="22">
        <v>0.53139999999999998</v>
      </c>
      <c r="G368" t="str">
        <f t="shared" si="25"/>
        <v>TK26_CLOSE_WF</v>
      </c>
      <c r="H368" t="str">
        <f t="shared" si="26"/>
        <v>.5314, .05314);</v>
      </c>
      <c r="I368" t="str">
        <f t="shared" si="27"/>
        <v>.5314</v>
      </c>
      <c r="J368" t="str">
        <f t="shared" si="28"/>
        <v xml:space="preserve"> .05314</v>
      </c>
    </row>
    <row r="369" spans="1:10">
      <c r="A369" t="s">
        <v>2399</v>
      </c>
      <c r="B369" t="s">
        <v>1979</v>
      </c>
      <c r="C369">
        <f t="array" ref="C369">D369:F369</f>
        <v>0.37247659999999999</v>
      </c>
      <c r="D369" s="22">
        <v>0.37247659999999999</v>
      </c>
      <c r="E369" s="22">
        <v>3.2620000000000003E-2</v>
      </c>
      <c r="F369" s="22">
        <v>0.32619999999999999</v>
      </c>
      <c r="G369" t="str">
        <f t="shared" si="25"/>
        <v>TK26_DI105_CF</v>
      </c>
      <c r="H369" t="str">
        <f t="shared" si="26"/>
        <v>.3262, .03262);</v>
      </c>
      <c r="I369" t="str">
        <f t="shared" si="27"/>
        <v>.3262</v>
      </c>
      <c r="J369" t="str">
        <f t="shared" si="28"/>
        <v xml:space="preserve"> .03262</v>
      </c>
    </row>
    <row r="370" spans="1:10">
      <c r="A370" t="s">
        <v>1337</v>
      </c>
      <c r="B370" t="s">
        <v>1980</v>
      </c>
      <c r="C370">
        <f t="array" ref="C370">D370:F370</f>
        <v>0</v>
      </c>
      <c r="D370" s="22">
        <v>0</v>
      </c>
      <c r="E370" s="22">
        <v>0</v>
      </c>
      <c r="F370" s="22">
        <v>0</v>
      </c>
      <c r="G370" t="str">
        <f t="shared" si="25"/>
        <v>TK26_DI105_Q</v>
      </c>
      <c r="H370" t="str">
        <f t="shared" si="26"/>
        <v>0, 0);</v>
      </c>
      <c r="I370" t="str">
        <f t="shared" si="27"/>
        <v>0</v>
      </c>
      <c r="J370" t="str">
        <f t="shared" si="28"/>
        <v xml:space="preserve"> 0</v>
      </c>
    </row>
    <row r="371" spans="1:10">
      <c r="A371"/>
      <c r="B371" t="s">
        <v>1981</v>
      </c>
      <c r="C371">
        <f t="array" ref="C371">D371:F371</f>
        <v>0.44257859999999999</v>
      </c>
      <c r="D371" s="22">
        <v>0.44257859999999999</v>
      </c>
      <c r="E371" s="22"/>
      <c r="F371" s="22"/>
    </row>
    <row r="372" spans="1:10">
      <c r="A372" t="s">
        <v>1338</v>
      </c>
      <c r="B372" t="s">
        <v>1982</v>
      </c>
      <c r="C372">
        <f t="array" ref="C372">D372:F372</f>
        <v>0.36751499999999998</v>
      </c>
      <c r="D372" s="22">
        <v>0.36751499999999998</v>
      </c>
      <c r="E372" s="22">
        <v>0</v>
      </c>
      <c r="F372" s="22">
        <v>0.36751499999999998</v>
      </c>
      <c r="G372" t="str">
        <f t="shared" si="25"/>
        <v>TK26_OPEN_CF</v>
      </c>
      <c r="H372" t="str">
        <f t="shared" si="26"/>
        <v>.367515, 0);</v>
      </c>
      <c r="I372" t="str">
        <f t="shared" si="27"/>
        <v>.367515</v>
      </c>
      <c r="J372" t="str">
        <f t="shared" si="28"/>
        <v xml:space="preserve"> 0</v>
      </c>
    </row>
    <row r="373" spans="1:10">
      <c r="A373" t="s">
        <v>1339</v>
      </c>
      <c r="B373" t="s">
        <v>1983</v>
      </c>
      <c r="C373">
        <f t="array" ref="C373">D373:F373</f>
        <v>1370.4528453</v>
      </c>
      <c r="D373" s="22">
        <v>1370.4528453</v>
      </c>
      <c r="E373" s="22">
        <v>0</v>
      </c>
      <c r="F373" s="22">
        <v>1370.4528453</v>
      </c>
      <c r="G373" t="str">
        <f t="shared" si="25"/>
        <v>TK26_OPEN_Q</v>
      </c>
      <c r="H373" t="str">
        <f t="shared" si="26"/>
        <v>1370.4528453, 0);</v>
      </c>
      <c r="I373" t="str">
        <f t="shared" si="27"/>
        <v>1370.4528453</v>
      </c>
      <c r="J373" t="str">
        <f t="shared" si="28"/>
        <v xml:space="preserve"> 0</v>
      </c>
    </row>
    <row r="374" spans="1:10">
      <c r="A374" t="s">
        <v>1340</v>
      </c>
      <c r="B374" t="s">
        <v>1984</v>
      </c>
      <c r="C374">
        <f t="array" ref="C374">D374:F374</f>
        <v>0.4493876</v>
      </c>
      <c r="D374" s="22">
        <v>0.4493876</v>
      </c>
      <c r="E374" s="22">
        <v>0</v>
      </c>
      <c r="F374" s="22">
        <v>0.4493876</v>
      </c>
      <c r="G374" t="str">
        <f t="shared" si="25"/>
        <v>TK26_OPEN_WF</v>
      </c>
      <c r="H374" t="str">
        <f t="shared" si="26"/>
        <v>.4493876, 0);</v>
      </c>
      <c r="I374" t="str">
        <f t="shared" si="27"/>
        <v>.4493876</v>
      </c>
      <c r="J374" t="str">
        <f t="shared" si="28"/>
        <v xml:space="preserve"> 0</v>
      </c>
    </row>
    <row r="375" spans="1:10">
      <c r="A375" t="s">
        <v>2400</v>
      </c>
      <c r="B375" t="s">
        <v>1985</v>
      </c>
      <c r="C375">
        <f t="array" ref="C375">D375:F375</f>
        <v>792.75598909999997</v>
      </c>
      <c r="D375" s="22">
        <v>792.75598909999997</v>
      </c>
      <c r="E375" s="22">
        <v>79.19999</v>
      </c>
      <c r="F375" s="22">
        <v>791.99990000000003</v>
      </c>
      <c r="G375" t="str">
        <f t="shared" si="25"/>
        <v>TK83_CHIL_Q</v>
      </c>
      <c r="H375" t="str">
        <f t="shared" si="26"/>
        <v>791.9999, 79.19999);</v>
      </c>
      <c r="I375" t="str">
        <f t="shared" si="27"/>
        <v>791.9999</v>
      </c>
      <c r="J375" t="str">
        <f t="shared" si="28"/>
        <v xml:space="preserve"> 79.19999</v>
      </c>
    </row>
    <row r="376" spans="1:10">
      <c r="A376" t="s">
        <v>2401</v>
      </c>
      <c r="B376" t="s">
        <v>1986</v>
      </c>
      <c r="C376">
        <f t="array" ref="C376">D376:F376</f>
        <v>3111.3005910000002</v>
      </c>
      <c r="D376" s="22">
        <v>3111.3005910000002</v>
      </c>
      <c r="E376" s="22">
        <v>62.216679999999997</v>
      </c>
      <c r="F376" s="22">
        <v>3110.8339999999998</v>
      </c>
      <c r="G376" t="str">
        <f t="shared" si="25"/>
        <v>TK83_CLOSE_Q</v>
      </c>
      <c r="H376" t="str">
        <f t="shared" si="26"/>
        <v>3110.834, 62.21668);</v>
      </c>
      <c r="I376" t="str">
        <f t="shared" si="27"/>
        <v>3110.834</v>
      </c>
      <c r="J376" t="str">
        <f t="shared" si="28"/>
        <v xml:space="preserve"> 62.21668</v>
      </c>
    </row>
    <row r="377" spans="1:10">
      <c r="A377"/>
      <c r="B377" t="s">
        <v>1987</v>
      </c>
      <c r="C377">
        <f t="array" ref="C377">D377:F377</f>
        <v>-84.795708200000007</v>
      </c>
      <c r="D377" s="22">
        <v>-84.795708200000007</v>
      </c>
      <c r="E377" s="22"/>
      <c r="F377" s="22"/>
    </row>
    <row r="378" spans="1:10">
      <c r="A378" t="s">
        <v>2402</v>
      </c>
      <c r="B378" t="s">
        <v>1988</v>
      </c>
      <c r="C378">
        <f t="array" ref="C378">D378:F378</f>
        <v>194.48565400000001</v>
      </c>
      <c r="D378" s="22">
        <v>194.48565400000001</v>
      </c>
      <c r="E378" s="22">
        <v>19.448070000000001</v>
      </c>
      <c r="F378" s="22">
        <v>194.48070000000001</v>
      </c>
      <c r="G378" t="str">
        <f t="shared" si="25"/>
        <v>TK83_D25_Q</v>
      </c>
      <c r="H378" t="str">
        <f t="shared" si="26"/>
        <v>194.4807, 19.44807);</v>
      </c>
      <c r="I378" t="str">
        <f t="shared" si="27"/>
        <v>194.4807</v>
      </c>
      <c r="J378" t="str">
        <f t="shared" si="28"/>
        <v xml:space="preserve"> 19.44807</v>
      </c>
    </row>
    <row r="379" spans="1:10">
      <c r="A379" t="s">
        <v>2403</v>
      </c>
      <c r="B379" t="s">
        <v>1989</v>
      </c>
      <c r="C379">
        <f t="array" ref="C379">D379:F379</f>
        <v>266.7622202</v>
      </c>
      <c r="D379" s="22">
        <v>266.7622202</v>
      </c>
      <c r="E379" s="22">
        <v>26.67529</v>
      </c>
      <c r="F379" s="22">
        <v>266.75290000000001</v>
      </c>
      <c r="G379" t="str">
        <f t="shared" si="25"/>
        <v>TK83_MB1_Q</v>
      </c>
      <c r="H379" t="str">
        <f t="shared" si="26"/>
        <v>266.7529, 26.67529);</v>
      </c>
      <c r="I379" t="str">
        <f t="shared" si="27"/>
        <v>266.7529</v>
      </c>
      <c r="J379" t="str">
        <f t="shared" si="28"/>
        <v xml:space="preserve"> 26.67529</v>
      </c>
    </row>
    <row r="380" spans="1:10">
      <c r="A380" t="s">
        <v>2404</v>
      </c>
      <c r="B380" t="s">
        <v>1990</v>
      </c>
      <c r="C380">
        <f t="array" ref="C380">D380:F380</f>
        <v>189.0331802</v>
      </c>
      <c r="D380" s="22">
        <v>189.0331802</v>
      </c>
      <c r="E380" s="22">
        <v>18.902850000000001</v>
      </c>
      <c r="F380" s="22">
        <v>189.02850000000001</v>
      </c>
      <c r="G380" t="str">
        <f t="shared" si="25"/>
        <v>TK83_MB2_Q</v>
      </c>
      <c r="H380" t="str">
        <f t="shared" si="26"/>
        <v>189.0285, 18.90285);</v>
      </c>
      <c r="I380" t="str">
        <f t="shared" si="27"/>
        <v>189.0285</v>
      </c>
      <c r="J380" t="str">
        <f t="shared" si="28"/>
        <v xml:space="preserve"> 18.90285</v>
      </c>
    </row>
    <row r="381" spans="1:10">
      <c r="A381" t="s">
        <v>2405</v>
      </c>
      <c r="B381" t="s">
        <v>1991</v>
      </c>
      <c r="C381">
        <f t="array" ref="C381">D381:F381</f>
        <v>189.0331802</v>
      </c>
      <c r="D381" s="22">
        <v>189.0331802</v>
      </c>
      <c r="E381" s="22">
        <v>18.902850000000001</v>
      </c>
      <c r="F381" s="22">
        <v>189.02850000000001</v>
      </c>
      <c r="G381" t="str">
        <f t="shared" si="25"/>
        <v>TK83_MB3_Q</v>
      </c>
      <c r="H381" t="str">
        <f t="shared" si="26"/>
        <v>189.0285, 18.90285);</v>
      </c>
      <c r="I381" t="str">
        <f t="shared" si="27"/>
        <v>189.0285</v>
      </c>
      <c r="J381" t="str">
        <f t="shared" si="28"/>
        <v xml:space="preserve"> 18.90285</v>
      </c>
    </row>
    <row r="382" spans="1:10">
      <c r="A382" t="s">
        <v>1341</v>
      </c>
      <c r="B382" t="s">
        <v>1992</v>
      </c>
      <c r="C382">
        <f t="array" ref="C382">D382:F382</f>
        <v>2453.5346378999998</v>
      </c>
      <c r="D382" s="22">
        <v>2453.5346378999998</v>
      </c>
      <c r="E382" s="22">
        <v>0</v>
      </c>
      <c r="F382" s="22">
        <v>2453.5346378999998</v>
      </c>
      <c r="G382" t="str">
        <f t="shared" si="25"/>
        <v>TK83_OPEN_Q</v>
      </c>
      <c r="H382" t="str">
        <f t="shared" si="26"/>
        <v>2453.5346379, 0);</v>
      </c>
      <c r="I382" t="str">
        <f t="shared" si="27"/>
        <v>2453.5346379</v>
      </c>
      <c r="J382" t="str">
        <f t="shared" si="28"/>
        <v xml:space="preserve"> 0</v>
      </c>
    </row>
    <row r="383" spans="1:10">
      <c r="A383"/>
      <c r="B383" t="s">
        <v>1993</v>
      </c>
      <c r="C383">
        <f t="array" ref="C383">D383:F383</f>
        <v>19033.679198500002</v>
      </c>
      <c r="D383" s="22">
        <v>19033.679198500002</v>
      </c>
      <c r="E383" s="22"/>
      <c r="F383" s="22"/>
    </row>
    <row r="384" spans="1:10">
      <c r="A384" t="s">
        <v>2406</v>
      </c>
      <c r="B384" t="s">
        <v>1994</v>
      </c>
      <c r="C384">
        <f t="array" ref="C384">D384:F384</f>
        <v>0.37367430000000001</v>
      </c>
      <c r="D384" s="22">
        <v>0.37367430000000001</v>
      </c>
      <c r="E384" s="22">
        <v>2.981E-2</v>
      </c>
      <c r="F384" s="22">
        <v>0.29810009999999998</v>
      </c>
      <c r="G384" t="str">
        <f t="shared" si="25"/>
        <v>TKC_PIPE_CF</v>
      </c>
      <c r="H384" t="str">
        <f t="shared" si="26"/>
        <v>.2981001, .02981);</v>
      </c>
      <c r="I384" t="str">
        <f t="shared" si="27"/>
        <v>.2981001</v>
      </c>
      <c r="J384" t="str">
        <f t="shared" si="28"/>
        <v xml:space="preserve"> .02981</v>
      </c>
    </row>
    <row r="385" spans="1:10">
      <c r="A385" t="s">
        <v>2407</v>
      </c>
      <c r="B385" t="s">
        <v>1995</v>
      </c>
      <c r="C385">
        <f t="array" ref="C385">D385:F385</f>
        <v>1771.3037405</v>
      </c>
      <c r="D385" s="22">
        <v>1771.3037405</v>
      </c>
      <c r="E385" s="22">
        <v>307.17435999999998</v>
      </c>
      <c r="F385" s="22">
        <v>1806.9079999999999</v>
      </c>
      <c r="G385" t="str">
        <f t="shared" si="25"/>
        <v>TKC_PIPE_Q</v>
      </c>
      <c r="H385" t="str">
        <f t="shared" si="26"/>
        <v>1806.908, 307.17436);</v>
      </c>
      <c r="I385" t="str">
        <f t="shared" si="27"/>
        <v>1806.908</v>
      </c>
      <c r="J385" t="str">
        <f t="shared" si="28"/>
        <v xml:space="preserve"> 307.17436</v>
      </c>
    </row>
    <row r="386" spans="1:10">
      <c r="A386" t="s">
        <v>2408</v>
      </c>
      <c r="B386" t="s">
        <v>1996</v>
      </c>
      <c r="C386">
        <f t="array" ref="C386">D386:F386</f>
        <v>0.45278770000000002</v>
      </c>
      <c r="D386" s="22">
        <v>0.45278770000000002</v>
      </c>
      <c r="E386" s="22">
        <v>8.9980000000000004E-2</v>
      </c>
      <c r="F386" s="22">
        <v>0.44990000000000002</v>
      </c>
      <c r="G386" t="str">
        <f t="shared" si="25"/>
        <v>TKC_PIPE_WF</v>
      </c>
      <c r="H386" t="str">
        <f t="shared" si="26"/>
        <v>.4499, .08998);</v>
      </c>
      <c r="I386" t="str">
        <f t="shared" si="27"/>
        <v>.4499</v>
      </c>
      <c r="J386" t="str">
        <f t="shared" si="28"/>
        <v xml:space="preserve"> .08998</v>
      </c>
    </row>
    <row r="387" spans="1:10">
      <c r="A387" s="42"/>
    </row>
    <row r="388" spans="1:10">
      <c r="A388" s="42"/>
    </row>
    <row r="389" spans="1:10">
      <c r="A389" s="42"/>
    </row>
    <row r="390" spans="1:10">
      <c r="A390" s="42"/>
    </row>
    <row r="391" spans="1:10">
      <c r="A391" s="42"/>
    </row>
    <row r="392" spans="1:10">
      <c r="A392" s="42"/>
    </row>
    <row r="393" spans="1:10">
      <c r="A393" s="42"/>
    </row>
    <row r="394" spans="1:10">
      <c r="A394" s="42"/>
    </row>
    <row r="395" spans="1:10">
      <c r="A395" s="42"/>
    </row>
    <row r="396" spans="1:10">
      <c r="A396" s="42"/>
    </row>
    <row r="397" spans="1:10">
      <c r="A397" s="42"/>
    </row>
    <row r="398" spans="1:10">
      <c r="A398" s="42"/>
    </row>
    <row r="399" spans="1:10">
      <c r="A399" s="42"/>
    </row>
    <row r="400" spans="1:10">
      <c r="A400" s="42"/>
    </row>
    <row r="401" spans="1:1">
      <c r="A401" s="42"/>
    </row>
    <row r="402" spans="1:1">
      <c r="A402" s="42"/>
    </row>
    <row r="403" spans="1:1">
      <c r="A403" s="42"/>
    </row>
    <row r="404" spans="1:1">
      <c r="A404" s="42"/>
    </row>
    <row r="405" spans="1:1">
      <c r="A405" s="42"/>
    </row>
    <row r="406" spans="1:1">
      <c r="A406" s="42"/>
    </row>
    <row r="407" spans="1:1">
      <c r="A407" s="42"/>
    </row>
    <row r="408" spans="1:1">
      <c r="A408" s="42"/>
    </row>
    <row r="409" spans="1:1">
      <c r="A409" s="42"/>
    </row>
    <row r="410" spans="1:1">
      <c r="A410" s="42"/>
    </row>
    <row r="411" spans="1:1">
      <c r="A411" s="42"/>
    </row>
    <row r="412" spans="1:1">
      <c r="A412" s="42"/>
    </row>
    <row r="413" spans="1:1">
      <c r="A413" s="42"/>
    </row>
    <row r="414" spans="1:1">
      <c r="A414" s="42"/>
    </row>
    <row r="415" spans="1:1">
      <c r="A415" s="42"/>
    </row>
    <row r="416" spans="1:1">
      <c r="A416" s="42"/>
    </row>
    <row r="417" spans="1:1">
      <c r="A417" s="42"/>
    </row>
    <row r="418" spans="1:1">
      <c r="A418" s="42"/>
    </row>
    <row r="419" spans="1:1">
      <c r="A419" s="42"/>
    </row>
    <row r="420" spans="1:1">
      <c r="A420" s="42"/>
    </row>
    <row r="421" spans="1:1">
      <c r="A421" s="42"/>
    </row>
    <row r="422" spans="1:1">
      <c r="A422" s="42"/>
    </row>
    <row r="423" spans="1:1">
      <c r="A423" s="42"/>
    </row>
    <row r="424" spans="1:1">
      <c r="A424" s="42"/>
    </row>
    <row r="425" spans="1:1">
      <c r="A425" s="42"/>
    </row>
    <row r="426" spans="1:1">
      <c r="A426" s="42"/>
    </row>
    <row r="427" spans="1:1">
      <c r="A427" s="42"/>
    </row>
    <row r="428" spans="1:1">
      <c r="A428" s="42"/>
    </row>
    <row r="429" spans="1:1">
      <c r="A429" s="42"/>
    </row>
    <row r="430" spans="1:1">
      <c r="A430" s="42"/>
    </row>
    <row r="431" spans="1:1">
      <c r="A431" s="42"/>
    </row>
    <row r="432" spans="1:1">
      <c r="A432" s="42"/>
    </row>
    <row r="433" spans="1:1">
      <c r="A433" s="42"/>
    </row>
    <row r="434" spans="1:1">
      <c r="A434" s="42"/>
    </row>
    <row r="435" spans="1:1">
      <c r="A435" s="42"/>
    </row>
    <row r="436" spans="1:1">
      <c r="A436" s="42"/>
    </row>
    <row r="437" spans="1:1">
      <c r="A437" s="42"/>
    </row>
    <row r="438" spans="1:1">
      <c r="A438" s="42"/>
    </row>
    <row r="439" spans="1:1">
      <c r="A439" s="42"/>
    </row>
    <row r="440" spans="1:1">
      <c r="A440" s="42"/>
    </row>
    <row r="441" spans="1:1">
      <c r="A441" s="42"/>
    </row>
    <row r="442" spans="1:1">
      <c r="A442" s="42"/>
    </row>
    <row r="443" spans="1:1">
      <c r="A443" s="42"/>
    </row>
    <row r="444" spans="1:1">
      <c r="A444" s="42"/>
    </row>
    <row r="445" spans="1:1">
      <c r="A445" s="42"/>
    </row>
    <row r="446" spans="1:1">
      <c r="A446" s="42"/>
    </row>
    <row r="447" spans="1:1">
      <c r="A447" s="42"/>
    </row>
    <row r="448" spans="1:1">
      <c r="A448" s="42"/>
    </row>
    <row r="449" spans="1:1">
      <c r="A449" s="42"/>
    </row>
    <row r="450" spans="1:1">
      <c r="A450" s="42"/>
    </row>
    <row r="451" spans="1:1">
      <c r="A451" s="42"/>
    </row>
    <row r="452" spans="1:1">
      <c r="A452" s="42"/>
    </row>
    <row r="453" spans="1:1">
      <c r="A453" s="42"/>
    </row>
    <row r="454" spans="1:1">
      <c r="A454" s="42"/>
    </row>
    <row r="455" spans="1:1">
      <c r="A455" s="42"/>
    </row>
    <row r="456" spans="1:1">
      <c r="A456" s="42"/>
    </row>
    <row r="457" spans="1:1">
      <c r="A457" s="42"/>
    </row>
    <row r="458" spans="1:1">
      <c r="A458" s="42"/>
    </row>
    <row r="459" spans="1:1">
      <c r="A459" s="42"/>
    </row>
    <row r="460" spans="1:1">
      <c r="A460" s="42"/>
    </row>
    <row r="461" spans="1:1">
      <c r="A461" s="42"/>
    </row>
    <row r="462" spans="1:1">
      <c r="A462" s="42"/>
    </row>
    <row r="463" spans="1:1">
      <c r="A463" s="42"/>
    </row>
    <row r="464" spans="1:1">
      <c r="A464" s="42"/>
    </row>
    <row r="465" spans="1:1">
      <c r="A465" s="42"/>
    </row>
    <row r="466" spans="1:1">
      <c r="A466" s="42"/>
    </row>
    <row r="467" spans="1:1">
      <c r="A467" s="42"/>
    </row>
    <row r="468" spans="1:1">
      <c r="A468" s="42"/>
    </row>
    <row r="469" spans="1:1">
      <c r="A469" s="42"/>
    </row>
    <row r="470" spans="1:1">
      <c r="A470" s="42"/>
    </row>
    <row r="471" spans="1:1">
      <c r="A471" s="42"/>
    </row>
    <row r="472" spans="1:1">
      <c r="A472" s="42"/>
    </row>
    <row r="473" spans="1:1">
      <c r="A473" s="42"/>
    </row>
    <row r="474" spans="1:1">
      <c r="A474" s="42"/>
    </row>
    <row r="475" spans="1:1">
      <c r="A475" s="42"/>
    </row>
  </sheetData>
  <pageMargins left="0.7" right="0.7" top="0.75" bottom="0.75" header="0.3" footer="0.3"/>
</worksheet>
</file>

<file path=customUI.xml><?xml version="1.0" encoding="utf-8"?>
<customUI xmlns="http://schemas.microsoft.com/office/2006/01/customui">
  <ribbon startFromScratch="false">
    <tabs>
      <tab idMso="TabData">
        <group id="Group5" label="Resolver">
          <button id="Button5" label="Resolve" size="large" onAction="Resolve" imageMso="FileStartWorkfl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574</vt:i4>
      </vt:variant>
    </vt:vector>
  </HeadingPairs>
  <TitlesOfParts>
    <vt:vector size="585" baseType="lpstr">
      <vt:lpstr>ResolverReservedData</vt:lpstr>
      <vt:lpstr>Ammonia Reconciliation Problem</vt:lpstr>
      <vt:lpstr>Test1 Problem</vt:lpstr>
      <vt:lpstr>Large Nonlinear Problem</vt:lpstr>
      <vt:lpstr>Simple Linear Problem</vt:lpstr>
      <vt:lpstr>TestNL4 Problem</vt:lpstr>
      <vt:lpstr>Simple  Mass Volume Problem</vt:lpstr>
      <vt:lpstr>Reconciliation Report 1</vt:lpstr>
      <vt:lpstr>Reconciliation Report 2</vt:lpstr>
      <vt:lpstr>Bilinear</vt:lpstr>
      <vt:lpstr>Bilinear(raw)</vt:lpstr>
      <vt:lpstr>_xx1</vt:lpstr>
      <vt:lpstr>_xx2</vt:lpstr>
      <vt:lpstr>_xx3</vt:lpstr>
      <vt:lpstr>_xx4</vt:lpstr>
      <vt:lpstr>_xx5</vt:lpstr>
      <vt:lpstr>_yy1</vt:lpstr>
      <vt:lpstr>_yy2</vt:lpstr>
      <vt:lpstr>_yy3</vt:lpstr>
      <vt:lpstr>'Simple Linear Problem'!abs_btm</vt:lpstr>
      <vt:lpstr>abs_btm</vt:lpstr>
      <vt:lpstr>abs_btm_dens</vt:lpstr>
      <vt:lpstr>abs_btm_mass</vt:lpstr>
      <vt:lpstr>abs_btm_vol</vt:lpstr>
      <vt:lpstr>'Simple Linear Problem'!abs_ovhd</vt:lpstr>
      <vt:lpstr>abs_ovhd</vt:lpstr>
      <vt:lpstr>abs_ovhd_dens</vt:lpstr>
      <vt:lpstr>abs_ovhd_mass</vt:lpstr>
      <vt:lpstr>abs_ovhd_vol</vt:lpstr>
      <vt:lpstr>'Simple Linear Problem'!acid_gas</vt:lpstr>
      <vt:lpstr>acid_gas</vt:lpstr>
      <vt:lpstr>acid_gas_dens</vt:lpstr>
      <vt:lpstr>acid_gas_mass</vt:lpstr>
      <vt:lpstr>acid_gas_vol</vt:lpstr>
      <vt:lpstr>Bilinear!BOREWATER_Q</vt:lpstr>
      <vt:lpstr>'Simple Linear Problem'!bypass</vt:lpstr>
      <vt:lpstr>bypass</vt:lpstr>
      <vt:lpstr>bypass_dens</vt:lpstr>
      <vt:lpstr>bypass_mass</vt:lpstr>
      <vt:lpstr>bypass_vol</vt:lpstr>
      <vt:lpstr>'Large Nonlinear Problem'!CCLASStreamConcThickenerFeedStream_Ag</vt:lpstr>
      <vt:lpstr>'Large Nonlinear Problem'!CCLASStreamConcThickenerFeedStream_Au</vt:lpstr>
      <vt:lpstr>'Large Nonlinear Problem'!CCLASStreamConcThickenerFeedStream_Cu</vt:lpstr>
      <vt:lpstr>'Large Nonlinear Problem'!CCLASStreamConcThickenerFeedStream_F</vt:lpstr>
      <vt:lpstr>'Large Nonlinear Problem'!CCLASStreamConcThickenerFeedStream_Fe</vt:lpstr>
      <vt:lpstr>'Large Nonlinear Problem'!CCLASStreamConcThickenerFeedStream_Mass</vt:lpstr>
      <vt:lpstr>'Large Nonlinear Problem'!CCLASStreamConcThickenerFeedStream_S</vt:lpstr>
      <vt:lpstr>'Large Nonlinear Problem'!CCLASStreamConcThickenerFeedStream_U</vt:lpstr>
      <vt:lpstr>'Large Nonlinear Problem'!CCLASStreamFlotationTailsStream_Ag</vt:lpstr>
      <vt:lpstr>'Large Nonlinear Problem'!CCLASStreamFlotationTailsStream_Au</vt:lpstr>
      <vt:lpstr>'Large Nonlinear Problem'!CCLASStreamFlotationTailsStream_Cu</vt:lpstr>
      <vt:lpstr>'Large Nonlinear Problem'!CCLASStreamFlotationTailsStream_F</vt:lpstr>
      <vt:lpstr>'Large Nonlinear Problem'!CCLASStreamFlotationTailsStream_Fe</vt:lpstr>
      <vt:lpstr>'Large Nonlinear Problem'!CCLASStreamFlotationTailsStream_Mass</vt:lpstr>
      <vt:lpstr>'Large Nonlinear Problem'!CCLASStreamFlotationTailsStream_S</vt:lpstr>
      <vt:lpstr>'Large Nonlinear Problem'!CCLASStreamFlotationTailsStream_U</vt:lpstr>
      <vt:lpstr>'Large Nonlinear Problem'!CCLASStreamRougherFeedStream_Ag</vt:lpstr>
      <vt:lpstr>'Large Nonlinear Problem'!CCLASStreamRougherFeedStream_Au</vt:lpstr>
      <vt:lpstr>'Large Nonlinear Problem'!CCLASStreamRougherFeedStream_Cu</vt:lpstr>
      <vt:lpstr>'Large Nonlinear Problem'!CCLASStreamRougherFeedStream_F</vt:lpstr>
      <vt:lpstr>'Large Nonlinear Problem'!CCLASStreamRougherFeedStream_Fe</vt:lpstr>
      <vt:lpstr>'Large Nonlinear Problem'!CCLASStreamRougherFeedStream_Mass</vt:lpstr>
      <vt:lpstr>'Large Nonlinear Problem'!CCLASStreamRougherFeedStream_S</vt:lpstr>
      <vt:lpstr>'Large Nonlinear Problem'!CCLASStreamRougherFeedStream_U</vt:lpstr>
      <vt:lpstr>'Large Nonlinear Problem'!ConcStorageTank1_close_Ag</vt:lpstr>
      <vt:lpstr>'Large Nonlinear Problem'!ConcStorageTank1_close_Au</vt:lpstr>
      <vt:lpstr>'Large Nonlinear Problem'!ConcStorageTank1_close_Cu</vt:lpstr>
      <vt:lpstr>'Large Nonlinear Problem'!ConcStorageTank1_close_F</vt:lpstr>
      <vt:lpstr>'Large Nonlinear Problem'!ConcStorageTank1_close_Fe</vt:lpstr>
      <vt:lpstr>'Large Nonlinear Problem'!ConcStorageTank1_close_Mass</vt:lpstr>
      <vt:lpstr>'Large Nonlinear Problem'!ConcStorageTank1_close_S</vt:lpstr>
      <vt:lpstr>'Large Nonlinear Problem'!ConcStorageTank1_close_U</vt:lpstr>
      <vt:lpstr>'Large Nonlinear Problem'!ConcStorageTank1_open_Ag</vt:lpstr>
      <vt:lpstr>'Large Nonlinear Problem'!ConcStorageTank1_open_Au</vt:lpstr>
      <vt:lpstr>'Large Nonlinear Problem'!ConcStorageTank1_open_Cu</vt:lpstr>
      <vt:lpstr>'Large Nonlinear Problem'!ConcStorageTank1_open_F</vt:lpstr>
      <vt:lpstr>'Large Nonlinear Problem'!ConcStorageTank1_open_Fe</vt:lpstr>
      <vt:lpstr>'Large Nonlinear Problem'!ConcStorageTank1_open_Mass</vt:lpstr>
      <vt:lpstr>'Large Nonlinear Problem'!ConcStorageTank1_open_S</vt:lpstr>
      <vt:lpstr>'Large Nonlinear Problem'!ConcStorageTank1_open_U</vt:lpstr>
      <vt:lpstr>'Large Nonlinear Problem'!ConcStorageTank1FeedStream_Ag</vt:lpstr>
      <vt:lpstr>'Large Nonlinear Problem'!ConcStorageTank1FeedStream_Au</vt:lpstr>
      <vt:lpstr>'Large Nonlinear Problem'!ConcStorageTank1FeedStream_Cu</vt:lpstr>
      <vt:lpstr>'Large Nonlinear Problem'!ConcStorageTank1FeedStream_F</vt:lpstr>
      <vt:lpstr>'Large Nonlinear Problem'!ConcStorageTank1FeedStream_Fe</vt:lpstr>
      <vt:lpstr>'Large Nonlinear Problem'!ConcStorageTank1FeedStream_Mass</vt:lpstr>
      <vt:lpstr>'Large Nonlinear Problem'!ConcStorageTank1FeedStream_S</vt:lpstr>
      <vt:lpstr>'Large Nonlinear Problem'!ConcStorageTank1FeedStream_U</vt:lpstr>
      <vt:lpstr>'Large Nonlinear Problem'!ConcStorageTank1UnderflowStream_Ag</vt:lpstr>
      <vt:lpstr>'Large Nonlinear Problem'!ConcStorageTank1UnderflowStream_Au</vt:lpstr>
      <vt:lpstr>'Large Nonlinear Problem'!ConcStorageTank1UnderflowStream_Cu</vt:lpstr>
      <vt:lpstr>'Large Nonlinear Problem'!ConcStorageTank1UnderflowStream_F</vt:lpstr>
      <vt:lpstr>'Large Nonlinear Problem'!ConcStorageTank1UnderflowStream_Fe</vt:lpstr>
      <vt:lpstr>'Large Nonlinear Problem'!ConcStorageTank1UnderflowStream_Mass</vt:lpstr>
      <vt:lpstr>'Large Nonlinear Problem'!ConcStorageTank1UnderflowStream_S</vt:lpstr>
      <vt:lpstr>'Large Nonlinear Problem'!ConcStorageTank1UnderflowStream_U</vt:lpstr>
      <vt:lpstr>'Large Nonlinear Problem'!ConcStorageTank2_close_Ag</vt:lpstr>
      <vt:lpstr>'Large Nonlinear Problem'!ConcStorageTank2_close_Au</vt:lpstr>
      <vt:lpstr>'Large Nonlinear Problem'!ConcStorageTank2_close_Cu</vt:lpstr>
      <vt:lpstr>'Large Nonlinear Problem'!ConcStorageTank2_close_F</vt:lpstr>
      <vt:lpstr>'Large Nonlinear Problem'!ConcStorageTank2_close_Fe</vt:lpstr>
      <vt:lpstr>'Large Nonlinear Problem'!ConcStorageTank2_close_Mass</vt:lpstr>
      <vt:lpstr>'Large Nonlinear Problem'!ConcStorageTank2_close_S</vt:lpstr>
      <vt:lpstr>'Large Nonlinear Problem'!ConcStorageTank2_close_U</vt:lpstr>
      <vt:lpstr>'Large Nonlinear Problem'!ConcStorageTank2_open_Ag</vt:lpstr>
      <vt:lpstr>'Large Nonlinear Problem'!ConcStorageTank2_open_Au</vt:lpstr>
      <vt:lpstr>'Large Nonlinear Problem'!ConcStorageTank2_open_Cu</vt:lpstr>
      <vt:lpstr>'Large Nonlinear Problem'!ConcStorageTank2_open_F</vt:lpstr>
      <vt:lpstr>'Large Nonlinear Problem'!ConcStorageTank2_open_Fe</vt:lpstr>
      <vt:lpstr>'Large Nonlinear Problem'!ConcStorageTank2_open_Mass</vt:lpstr>
      <vt:lpstr>'Large Nonlinear Problem'!ConcStorageTank2_open_S</vt:lpstr>
      <vt:lpstr>'Large Nonlinear Problem'!ConcStorageTank2_open_U</vt:lpstr>
      <vt:lpstr>'Large Nonlinear Problem'!ConcStorageTank2FeedStream_Ag</vt:lpstr>
      <vt:lpstr>'Large Nonlinear Problem'!ConcStorageTank2FeedStream_Au</vt:lpstr>
      <vt:lpstr>'Large Nonlinear Problem'!ConcStorageTank2FeedStream_Cu</vt:lpstr>
      <vt:lpstr>'Large Nonlinear Problem'!ConcStorageTank2FeedStream_F</vt:lpstr>
      <vt:lpstr>'Large Nonlinear Problem'!ConcStorageTank2FeedStream_Fe</vt:lpstr>
      <vt:lpstr>'Large Nonlinear Problem'!ConcStorageTank2FeedStream_Mass</vt:lpstr>
      <vt:lpstr>'Large Nonlinear Problem'!ConcStorageTank2FeedStream_S</vt:lpstr>
      <vt:lpstr>'Large Nonlinear Problem'!ConcStorageTank2FeedStream_U</vt:lpstr>
      <vt:lpstr>'Large Nonlinear Problem'!ConcStorageTank2UnderflowStream_Ag</vt:lpstr>
      <vt:lpstr>'Large Nonlinear Problem'!ConcStorageTank2UnderflowStream_Au</vt:lpstr>
      <vt:lpstr>'Large Nonlinear Problem'!ConcStorageTank2UnderflowStream_Cu</vt:lpstr>
      <vt:lpstr>'Large Nonlinear Problem'!ConcStorageTank2UnderflowStream_F</vt:lpstr>
      <vt:lpstr>'Large Nonlinear Problem'!ConcStorageTank2UnderflowStream_Fe</vt:lpstr>
      <vt:lpstr>'Large Nonlinear Problem'!ConcStorageTank2UnderflowStream_Mass</vt:lpstr>
      <vt:lpstr>'Large Nonlinear Problem'!ConcStorageTank2UnderflowStream_S</vt:lpstr>
      <vt:lpstr>'Large Nonlinear Problem'!ConcStorageTank2UnderflowStream_U</vt:lpstr>
      <vt:lpstr>'Large Nonlinear Problem'!ConcThickener_close_Ag</vt:lpstr>
      <vt:lpstr>'Large Nonlinear Problem'!ConcThickener_close_Au</vt:lpstr>
      <vt:lpstr>'Large Nonlinear Problem'!ConcThickener_close_Cu</vt:lpstr>
      <vt:lpstr>'Large Nonlinear Problem'!ConcThickener_close_F</vt:lpstr>
      <vt:lpstr>'Large Nonlinear Problem'!ConcThickener_close_Fe</vt:lpstr>
      <vt:lpstr>'Large Nonlinear Problem'!ConcThickener_close_Mass</vt:lpstr>
      <vt:lpstr>'Large Nonlinear Problem'!ConcThickener_close_S</vt:lpstr>
      <vt:lpstr>'Large Nonlinear Problem'!ConcThickener_close_U</vt:lpstr>
      <vt:lpstr>'Large Nonlinear Problem'!ConcThickener_open_Ag</vt:lpstr>
      <vt:lpstr>'Large Nonlinear Problem'!ConcThickener_open_Au</vt:lpstr>
      <vt:lpstr>'Large Nonlinear Problem'!ConcThickener_open_Cu</vt:lpstr>
      <vt:lpstr>'Large Nonlinear Problem'!ConcThickener_open_F</vt:lpstr>
      <vt:lpstr>'Large Nonlinear Problem'!ConcThickener_open_Fe</vt:lpstr>
      <vt:lpstr>'Large Nonlinear Problem'!ConcThickener_open_Mass</vt:lpstr>
      <vt:lpstr>'Large Nonlinear Problem'!ConcThickener_open_S</vt:lpstr>
      <vt:lpstr>'Large Nonlinear Problem'!ConcThickener_open_U</vt:lpstr>
      <vt:lpstr>'Large Nonlinear Problem'!ConcThickenerUnderflowStream_Ag</vt:lpstr>
      <vt:lpstr>'Large Nonlinear Problem'!ConcThickenerUnderflowStream_Au</vt:lpstr>
      <vt:lpstr>'Large Nonlinear Problem'!ConcThickenerUnderflowStream_Cu</vt:lpstr>
      <vt:lpstr>'Large Nonlinear Problem'!ConcThickenerUnderflowStream_F</vt:lpstr>
      <vt:lpstr>'Large Nonlinear Problem'!ConcThickenerUnderflowStream_Fe</vt:lpstr>
      <vt:lpstr>'Large Nonlinear Problem'!ConcThickenerUnderflowStream_Mass</vt:lpstr>
      <vt:lpstr>'Large Nonlinear Problem'!ConcThickenerUnderflowStream_S</vt:lpstr>
      <vt:lpstr>'Large Nonlinear Problem'!ConcThickenerUnderflowStream_U</vt:lpstr>
      <vt:lpstr>Bilinear!CONCTHK_OVERFLOW_Q</vt:lpstr>
      <vt:lpstr>Bilinear!CONCTHK_TK23_CF</vt:lpstr>
      <vt:lpstr>Bilinear!CONCTHK_TK23_Q</vt:lpstr>
      <vt:lpstr>Bilinear!CONCTHK_TK23_WF</vt:lpstr>
      <vt:lpstr>Bilinear!CONCTHK_TK24_CF</vt:lpstr>
      <vt:lpstr>Bilinear!CONCTHK_TK24_Q</vt:lpstr>
      <vt:lpstr>Bilinear!CONCTHK_TK24_WF</vt:lpstr>
      <vt:lpstr>Bilinear!CONCTHK_TK25_CF</vt:lpstr>
      <vt:lpstr>Bilinear!CONCTHK_TK25_Q</vt:lpstr>
      <vt:lpstr>Bilinear!CONCTHK_TK25_WF</vt:lpstr>
      <vt:lpstr>Bilinear!CONCTHK_TK26_CF</vt:lpstr>
      <vt:lpstr>Bilinear!CONCTHK_TK26_Q</vt:lpstr>
      <vt:lpstr>Bilinear!CONCTHK_TK26_WF</vt:lpstr>
      <vt:lpstr>Bilinear!CONCTHK_TKC_CF</vt:lpstr>
      <vt:lpstr>Bilinear!CONCTHK_TKC_Q</vt:lpstr>
      <vt:lpstr>Bilinear!CONCTHK_TKC_WF</vt:lpstr>
      <vt:lpstr>Bilinear!CONCTHK1_OVERFLOW_Q</vt:lpstr>
      <vt:lpstr>Bilinear!CONCTHK2_OVERFLOW_Q</vt:lpstr>
      <vt:lpstr>Bilinear!CONCTHK21_CLOSE_CF</vt:lpstr>
      <vt:lpstr>Bilinear!CONCTHK21_CLOSE_Q</vt:lpstr>
      <vt:lpstr>Bilinear!CONCTHK21_CLOSE_WF</vt:lpstr>
      <vt:lpstr>Bilinear!CONCTHK21_OPEN_CF</vt:lpstr>
      <vt:lpstr>Bilinear!CONCTHK21_OPEN_Q</vt:lpstr>
      <vt:lpstr>Bilinear!CONCTHK21_OPEN_WF</vt:lpstr>
      <vt:lpstr>Bilinear!CONCTHK21_PP51_CF</vt:lpstr>
      <vt:lpstr>Bilinear!CONCTHK21_PP51_Q</vt:lpstr>
      <vt:lpstr>Bilinear!CONCTHK21_PP51_WF</vt:lpstr>
      <vt:lpstr>Bilinear!CONCTHK21_PP52_CF</vt:lpstr>
      <vt:lpstr>Bilinear!CONCTHK21_PP52_Q</vt:lpstr>
      <vt:lpstr>Bilinear!CONCTHK21_PP52_WF</vt:lpstr>
      <vt:lpstr>Bilinear!CONCTHK21_TOTVOL_CLOSE_Q</vt:lpstr>
      <vt:lpstr>Bilinear!CONCTHK21_TOTVOL_OPEN_Q</vt:lpstr>
      <vt:lpstr>Bilinear!CONCTHK22_CLOSE_CF</vt:lpstr>
      <vt:lpstr>Bilinear!CONCTHK22_CLOSE_Q</vt:lpstr>
      <vt:lpstr>Bilinear!CONCTHK22_CLOSE_WF</vt:lpstr>
      <vt:lpstr>Bilinear!CONCTHK22_OPEN_CF</vt:lpstr>
      <vt:lpstr>Bilinear!CONCTHK22_OPEN_Q</vt:lpstr>
      <vt:lpstr>Bilinear!CONCTHK22_OPEN_WF</vt:lpstr>
      <vt:lpstr>Bilinear!CONCTHK22_PP53_CF</vt:lpstr>
      <vt:lpstr>Bilinear!CONCTHK22_PP53_Q</vt:lpstr>
      <vt:lpstr>Bilinear!CONCTHK22_PP53_WF</vt:lpstr>
      <vt:lpstr>Bilinear!CONCTHK22_PP54_CF</vt:lpstr>
      <vt:lpstr>Bilinear!CONCTHK22_PP54_Q</vt:lpstr>
      <vt:lpstr>Bilinear!CONCTHK22_PP54_WF</vt:lpstr>
      <vt:lpstr>Bilinear!CONCTHK22_TOTVOL_CLOSE_Q</vt:lpstr>
      <vt:lpstr>Bilinear!CONCTHK22_TOTVOL_OPEN_Q</vt:lpstr>
      <vt:lpstr>'Simple Linear Problem'!condensate</vt:lpstr>
      <vt:lpstr>condensate</vt:lpstr>
      <vt:lpstr>condensate_dens</vt:lpstr>
      <vt:lpstr>condensate_mass</vt:lpstr>
      <vt:lpstr>condensate_vol</vt:lpstr>
      <vt:lpstr>'Large Nonlinear Problem'!CrushedOreStream_Ag</vt:lpstr>
      <vt:lpstr>'Large Nonlinear Problem'!CrushedOreStream_Au</vt:lpstr>
      <vt:lpstr>'Large Nonlinear Problem'!CrushedOreStream_Cu</vt:lpstr>
      <vt:lpstr>'Large Nonlinear Problem'!CrushedOreStream_F</vt:lpstr>
      <vt:lpstr>'Large Nonlinear Problem'!CrushedOreStream_Fe</vt:lpstr>
      <vt:lpstr>'Large Nonlinear Problem'!CrushedOreStream_S</vt:lpstr>
      <vt:lpstr>'Large Nonlinear Problem'!CrushedOreStream_U</vt:lpstr>
      <vt:lpstr>'Simple  Mass Volume Problem'!D_4_Feed</vt:lpstr>
      <vt:lpstr>'Simple Linear Problem'!D_4_Feed</vt:lpstr>
      <vt:lpstr>D_4_Feed</vt:lpstr>
      <vt:lpstr>'Simple  Mass Volume Problem'!D_4_Product</vt:lpstr>
      <vt:lpstr>'Simple Linear Problem'!D_4_Product</vt:lpstr>
      <vt:lpstr>D_4_Product</vt:lpstr>
      <vt:lpstr>'Simple  Mass Volume Problem'!D_7_Feed</vt:lpstr>
      <vt:lpstr>'Simple Linear Problem'!D_7_Feed</vt:lpstr>
      <vt:lpstr>D_7_Feed</vt:lpstr>
      <vt:lpstr>'Simple  Mass Volume Problem'!D_7_Product</vt:lpstr>
      <vt:lpstr>'Simple Linear Problem'!D_7_Product</vt:lpstr>
      <vt:lpstr>D_7_Product</vt:lpstr>
      <vt:lpstr>Bilinear!DI101_CONCTHK21_CF</vt:lpstr>
      <vt:lpstr>Bilinear!DI101_CONCTHK21_Q</vt:lpstr>
      <vt:lpstr>Bilinear!DI101_CONCTHK21_WF</vt:lpstr>
      <vt:lpstr>Bilinear!DI101_CONCTHK22_CF</vt:lpstr>
      <vt:lpstr>Bilinear!DI101_CONCTHK22_Q</vt:lpstr>
      <vt:lpstr>Bilinear!DI101_CONCTHK22_WF</vt:lpstr>
      <vt:lpstr>Bilinear!DI101_TOTAL_CF</vt:lpstr>
      <vt:lpstr>Bilinear!DI101_TOTAL_Q</vt:lpstr>
      <vt:lpstr>Bilinear!DI101_TOTAL_WF</vt:lpstr>
      <vt:lpstr>Bilinear!DI150_TAILTHK6_CF</vt:lpstr>
      <vt:lpstr>Bilinear!DI150_TAILTHK6_Q</vt:lpstr>
      <vt:lpstr>Bilinear!DI150_TAILTHK6_WF</vt:lpstr>
      <vt:lpstr>Bilinear!DI150_TAILTHK7_CF</vt:lpstr>
      <vt:lpstr>Bilinear!DI150_TAILTHK7_Q</vt:lpstr>
      <vt:lpstr>Bilinear!DI150_TAILTHK7_WF</vt:lpstr>
      <vt:lpstr>Bilinear!DI150_TAILTHK8_CF</vt:lpstr>
      <vt:lpstr>Bilinear!DI150_TAILTHK8_Q</vt:lpstr>
      <vt:lpstr>Bilinear!DI150_TAILTHK8_WF</vt:lpstr>
      <vt:lpstr>'Simple Linear Problem'!fat_oil</vt:lpstr>
      <vt:lpstr>fat_oil</vt:lpstr>
      <vt:lpstr>fat_oil_dens</vt:lpstr>
      <vt:lpstr>fat_oil_mass</vt:lpstr>
      <vt:lpstr>fat_oil_vol</vt:lpstr>
      <vt:lpstr>Bilinear!FEED_CF</vt:lpstr>
      <vt:lpstr>Bilinear!FEED_Q</vt:lpstr>
      <vt:lpstr>Bilinear!FEED_WF</vt:lpstr>
      <vt:lpstr>Bilinear!FINALCONC_CF</vt:lpstr>
      <vt:lpstr>Bilinear!FINALCONC_Q</vt:lpstr>
      <vt:lpstr>Bilinear!FINALCONC_WF</vt:lpstr>
      <vt:lpstr>'Simple Linear Problem'!fuel_gas</vt:lpstr>
      <vt:lpstr>fuel_gas</vt:lpstr>
      <vt:lpstr>fuel_gas_dens</vt:lpstr>
      <vt:lpstr>fuel_gas_mass</vt:lpstr>
      <vt:lpstr>fuel_gas_vol</vt:lpstr>
      <vt:lpstr>Bilinear!H2O_RECOVERED_Q</vt:lpstr>
      <vt:lpstr>Bilinear!H2ODISCHARGE_Q</vt:lpstr>
      <vt:lpstr>Bilinear!H2OFRESH_TK83_Q</vt:lpstr>
      <vt:lpstr>Bilinear!H2OPROCESSTOTAL_Q</vt:lpstr>
      <vt:lpstr>Bilinear!H2OSEAL_1CLN_Q</vt:lpstr>
      <vt:lpstr>Bilinear!H2OSEAL_DI30_Q</vt:lpstr>
      <vt:lpstr>Bilinear!H2OSEAL_Q</vt:lpstr>
      <vt:lpstr>Bilinear!H2OSEAL_REM_1_Q</vt:lpstr>
      <vt:lpstr>Bilinear!H2OSEAL_REM_2_Q</vt:lpstr>
      <vt:lpstr>'Simple  Mass Volume Problem'!J_4_Feed</vt:lpstr>
      <vt:lpstr>'Simple Linear Problem'!J_4_Feed</vt:lpstr>
      <vt:lpstr>J_4_Feed</vt:lpstr>
      <vt:lpstr>'Simple  Mass Volume Problem'!J_4_Product</vt:lpstr>
      <vt:lpstr>'Simple Linear Problem'!J_4_Product</vt:lpstr>
      <vt:lpstr>J_4_Product</vt:lpstr>
      <vt:lpstr>'Simple  Mass Volume Problem'!J_6_Feed</vt:lpstr>
      <vt:lpstr>'Simple Linear Problem'!J_6_Feed</vt:lpstr>
      <vt:lpstr>J_6_Feed</vt:lpstr>
      <vt:lpstr>'Simple  Mass Volume Problem'!J_6_Product</vt:lpstr>
      <vt:lpstr>'Simple Linear Problem'!J_6_Product</vt:lpstr>
      <vt:lpstr>J_6_Product</vt:lpstr>
      <vt:lpstr>'Simple Linear Problem'!lean_oil</vt:lpstr>
      <vt:lpstr>lean_oil</vt:lpstr>
      <vt:lpstr>lean_oil_dens</vt:lpstr>
      <vt:lpstr>lean_oil_mass</vt:lpstr>
      <vt:lpstr>lean_oil_vol</vt:lpstr>
      <vt:lpstr>Bilinear!MILL_MIXER_CF</vt:lpstr>
      <vt:lpstr>Bilinear!MILL_MIXER_Q</vt:lpstr>
      <vt:lpstr>Bilinear!MILL_MIXER_WF</vt:lpstr>
      <vt:lpstr>'Large Nonlinear Problem'!OSAStreamConcThickenerFeedStream_Ag</vt:lpstr>
      <vt:lpstr>'Large Nonlinear Problem'!OSAStreamConcThickenerFeedStream_Au</vt:lpstr>
      <vt:lpstr>'Large Nonlinear Problem'!OSAStreamConcThickenerFeedStream_Cu</vt:lpstr>
      <vt:lpstr>'Large Nonlinear Problem'!OSAStreamConcThickenerFeedStream_F</vt:lpstr>
      <vt:lpstr>'Large Nonlinear Problem'!OSAStreamConcThickenerFeedStream_Fe</vt:lpstr>
      <vt:lpstr>'Large Nonlinear Problem'!OSAStreamConcThickenerFeedStream_Mass</vt:lpstr>
      <vt:lpstr>'Large Nonlinear Problem'!OSAStreamConcThickenerFeedStream_S</vt:lpstr>
      <vt:lpstr>'Large Nonlinear Problem'!OSAStreamConcThickenerFeedStream_U</vt:lpstr>
      <vt:lpstr>'Large Nonlinear Problem'!OSAStreamFlotationTailsStream_Ag</vt:lpstr>
      <vt:lpstr>'Large Nonlinear Problem'!OSAStreamFlotationTailsStream_Au</vt:lpstr>
      <vt:lpstr>'Large Nonlinear Problem'!OSAStreamFlotationTailsStream_Cu</vt:lpstr>
      <vt:lpstr>'Large Nonlinear Problem'!OSAStreamFlotationTailsStream_F</vt:lpstr>
      <vt:lpstr>'Large Nonlinear Problem'!OSAStreamFlotationTailsStream_Fe</vt:lpstr>
      <vt:lpstr>'Large Nonlinear Problem'!OSAStreamFlotationTailsStream_Mass</vt:lpstr>
      <vt:lpstr>'Large Nonlinear Problem'!OSAStreamFlotationTailsStream_S</vt:lpstr>
      <vt:lpstr>'Large Nonlinear Problem'!OSAStreamFlotationTailsStream_U</vt:lpstr>
      <vt:lpstr>'Large Nonlinear Problem'!OSAStreamRougherFeedStream_Ag</vt:lpstr>
      <vt:lpstr>'Large Nonlinear Problem'!OSAStreamRougherFeedStream_Au</vt:lpstr>
      <vt:lpstr>'Large Nonlinear Problem'!OSAStreamRougherFeedStream_Cu</vt:lpstr>
      <vt:lpstr>'Large Nonlinear Problem'!OSAStreamRougherFeedStream_F</vt:lpstr>
      <vt:lpstr>'Large Nonlinear Problem'!OSAStreamRougherFeedStream_Fe</vt:lpstr>
      <vt:lpstr>'Large Nonlinear Problem'!OSAStreamRougherFeedStream_Mass</vt:lpstr>
      <vt:lpstr>'Large Nonlinear Problem'!OSAStreamRougherFeedStream_S</vt:lpstr>
      <vt:lpstr>'Large Nonlinear Problem'!OSAStreamRougherFeedStream_U</vt:lpstr>
      <vt:lpstr>Bilinear!PIPE_TKCLC_CF</vt:lpstr>
      <vt:lpstr>Bilinear!PIPE_TKCLC_Q</vt:lpstr>
      <vt:lpstr>Bilinear!PIPE_TKCLC_WF</vt:lpstr>
      <vt:lpstr>Bilinear!PIPELINE_CLOSE_CF</vt:lpstr>
      <vt:lpstr>Bilinear!PIPELINE_CLOSE_Q</vt:lpstr>
      <vt:lpstr>Bilinear!PIPELINE_CLOSE_WF</vt:lpstr>
      <vt:lpstr>Bilinear!PIPELINE_OPEN_CF</vt:lpstr>
      <vt:lpstr>Bilinear!PIPELINE_OPEN_Q</vt:lpstr>
      <vt:lpstr>Bilinear!PIPELINE_OPEN_WF</vt:lpstr>
      <vt:lpstr>Bilinear!PLANTA_RO_FEED_Q</vt:lpstr>
      <vt:lpstr>Bilinear!POND_RECVR_Q</vt:lpstr>
      <vt:lpstr>Bilinear!POOL_2CLN_Q</vt:lpstr>
      <vt:lpstr>Bilinear!POOL_2CLNCONC_Q</vt:lpstr>
      <vt:lpstr>Bilinear!POOL_BC1SUMP_Q</vt:lpstr>
      <vt:lpstr>Bilinear!POOL_BC2SUMP_Q</vt:lpstr>
      <vt:lpstr>Bilinear!POOL_BC3SUMP_Q</vt:lpstr>
      <vt:lpstr>Bilinear!POOL_DI30_Q</vt:lpstr>
      <vt:lpstr>Bilinear!POOL_M1_Q</vt:lpstr>
      <vt:lpstr>Bilinear!POOL_MB1_Q</vt:lpstr>
      <vt:lpstr>Bilinear!POOL_MB2_Q</vt:lpstr>
      <vt:lpstr>Bilinear!POOL_MB3_Q</vt:lpstr>
      <vt:lpstr>Bilinear!POOL_MIXER_Q</vt:lpstr>
      <vt:lpstr>Bilinear!POOL_REM_1_Q</vt:lpstr>
      <vt:lpstr>Bilinear!POOL_REM_2_Q</vt:lpstr>
      <vt:lpstr>Bilinear!POOL_SAG_Q</vt:lpstr>
      <vt:lpstr>Bilinear!POOL_TK42_Q</vt:lpstr>
      <vt:lpstr>Bilinear!POOL_TK91_Q</vt:lpstr>
      <vt:lpstr>Bilinear!PP51_DI101_CF</vt:lpstr>
      <vt:lpstr>Bilinear!PP51_DI101_Q</vt:lpstr>
      <vt:lpstr>Bilinear!PP51_DI101_WF</vt:lpstr>
      <vt:lpstr>Bilinear!PP51_DI104_CF</vt:lpstr>
      <vt:lpstr>Bilinear!PP51_DI104_Q</vt:lpstr>
      <vt:lpstr>Bilinear!PP51_DI104_WF</vt:lpstr>
      <vt:lpstr>Bilinear!PP52_DI101_CF</vt:lpstr>
      <vt:lpstr>Bilinear!PP52_DI101_Q</vt:lpstr>
      <vt:lpstr>Bilinear!PP52_DI101_WF</vt:lpstr>
      <vt:lpstr>Bilinear!PP52_DI104_CF</vt:lpstr>
      <vt:lpstr>Bilinear!PP52_DI104_Q</vt:lpstr>
      <vt:lpstr>Bilinear!PP52_DI104_WF</vt:lpstr>
      <vt:lpstr>Bilinear!PP53_DI101_CF</vt:lpstr>
      <vt:lpstr>Bilinear!PP53_DI101_Q</vt:lpstr>
      <vt:lpstr>Bilinear!PP53_DI101_WF</vt:lpstr>
      <vt:lpstr>Bilinear!PP53_DI104_CF</vt:lpstr>
      <vt:lpstr>Bilinear!PP53_DI104_Q</vt:lpstr>
      <vt:lpstr>Bilinear!PP53_DI104_WF</vt:lpstr>
      <vt:lpstr>Bilinear!PP54_DI101_CF</vt:lpstr>
      <vt:lpstr>Bilinear!PP54_DI101_Q</vt:lpstr>
      <vt:lpstr>Bilinear!PP54_DI101_WF</vt:lpstr>
      <vt:lpstr>Bilinear!PP54_DI104_CF</vt:lpstr>
      <vt:lpstr>Bilinear!PP54_DI104_Q</vt:lpstr>
      <vt:lpstr>Bilinear!PP54_DI104_WF</vt:lpstr>
      <vt:lpstr>'Large Nonlinear Problem'!PressureFilterFeedStream_Ag</vt:lpstr>
      <vt:lpstr>'Large Nonlinear Problem'!PressureFilterFeedStream_Au</vt:lpstr>
      <vt:lpstr>'Large Nonlinear Problem'!PressureFilterFeedStream_Cu</vt:lpstr>
      <vt:lpstr>'Large Nonlinear Problem'!PressureFilterFeedStream_F</vt:lpstr>
      <vt:lpstr>'Large Nonlinear Problem'!PressureFilterFeedStream_Fe</vt:lpstr>
      <vt:lpstr>'Large Nonlinear Problem'!PressureFilterFeedStream_Mass</vt:lpstr>
      <vt:lpstr>'Large Nonlinear Problem'!PressureFilterFeedStream_S</vt:lpstr>
      <vt:lpstr>'Large Nonlinear Problem'!PressureFilterFeedStream_U</vt:lpstr>
      <vt:lpstr>'Large Nonlinear Problem'!PressureFilterUnderflowStream_Ag</vt:lpstr>
      <vt:lpstr>'Large Nonlinear Problem'!PressureFilterUnderflowStream_Au</vt:lpstr>
      <vt:lpstr>'Large Nonlinear Problem'!PressureFilterUnderflowStream_Cu</vt:lpstr>
      <vt:lpstr>'Large Nonlinear Problem'!PressureFilterUnderflowStream_F</vt:lpstr>
      <vt:lpstr>'Large Nonlinear Problem'!PressureFilterUnderflowStream_Fe</vt:lpstr>
      <vt:lpstr>'Large Nonlinear Problem'!PressureFilterUnderflowStream_Mass</vt:lpstr>
      <vt:lpstr>'Large Nonlinear Problem'!PressureFilterUnderflowStream_S</vt:lpstr>
      <vt:lpstr>'Large Nonlinear Problem'!PressureFilterUnderflowStream_U</vt:lpstr>
      <vt:lpstr>ReactorEff</vt:lpstr>
      <vt:lpstr>'Simple Linear Problem'!recycle</vt:lpstr>
      <vt:lpstr>recycle</vt:lpstr>
      <vt:lpstr>recycle_dens</vt:lpstr>
      <vt:lpstr>recycle_mass</vt:lpstr>
      <vt:lpstr>recycle_vol</vt:lpstr>
      <vt:lpstr>Bilinear!RIVERWATER_Q</vt:lpstr>
      <vt:lpstr>Bilinear!RO_POND_Q</vt:lpstr>
      <vt:lpstr>Bilinear!RO_TANK_Q</vt:lpstr>
      <vt:lpstr>Bilinear!ROUFEED_CF</vt:lpstr>
      <vt:lpstr>Bilinear!ROUFEED_Q</vt:lpstr>
      <vt:lpstr>Bilinear!ROUFEED_WF</vt:lpstr>
      <vt:lpstr>'Large Nonlinear Problem'!SAGMillFeedStream_Ag</vt:lpstr>
      <vt:lpstr>'Large Nonlinear Problem'!SAGMillFeedStream_Au</vt:lpstr>
      <vt:lpstr>'Large Nonlinear Problem'!SAGMillFeedStream_Cu</vt:lpstr>
      <vt:lpstr>'Large Nonlinear Problem'!SAGMillFeedStream_F</vt:lpstr>
      <vt:lpstr>'Large Nonlinear Problem'!SAGMillFeedStream_Fe</vt:lpstr>
      <vt:lpstr>'Large Nonlinear Problem'!SAGMillFeedStream_Mass</vt:lpstr>
      <vt:lpstr>'Large Nonlinear Problem'!SAGMillFeedStream_S</vt:lpstr>
      <vt:lpstr>'Large Nonlinear Problem'!SAGMillFeedStream_U</vt:lpstr>
      <vt:lpstr>'Simple Linear Problem'!sep_ovhd</vt:lpstr>
      <vt:lpstr>sep_ovhd</vt:lpstr>
      <vt:lpstr>sep_ovhd_dens</vt:lpstr>
      <vt:lpstr>sep_ovhd_mass</vt:lpstr>
      <vt:lpstr>sep_ovhd_vol</vt:lpstr>
      <vt:lpstr>'Simple Linear Problem'!sour_gas</vt:lpstr>
      <vt:lpstr>sour_gas</vt:lpstr>
      <vt:lpstr>sour_gas_dens</vt:lpstr>
      <vt:lpstr>sour_gas_mass</vt:lpstr>
      <vt:lpstr>sour_gas_vol</vt:lpstr>
      <vt:lpstr>'Large Nonlinear Problem'!SpillageReturnStream_Ag</vt:lpstr>
      <vt:lpstr>'Large Nonlinear Problem'!SpillageReturnStream_Au</vt:lpstr>
      <vt:lpstr>'Large Nonlinear Problem'!SpillageReturnStream_Cu</vt:lpstr>
      <vt:lpstr>'Large Nonlinear Problem'!SpillageReturnStream_F</vt:lpstr>
      <vt:lpstr>'Large Nonlinear Problem'!SpillageReturnStream_Fe</vt:lpstr>
      <vt:lpstr>'Large Nonlinear Problem'!SpillageReturnStream_Mass</vt:lpstr>
      <vt:lpstr>'Large Nonlinear Problem'!SpillageReturnStream_S</vt:lpstr>
      <vt:lpstr>'Large Nonlinear Problem'!SpillageReturnStream_U</vt:lpstr>
      <vt:lpstr>SplitterEff</vt:lpstr>
      <vt:lpstr>Stream1_A</vt:lpstr>
      <vt:lpstr>Stream1_H</vt:lpstr>
      <vt:lpstr>Stream1_N</vt:lpstr>
      <vt:lpstr>Stream1_NH</vt:lpstr>
      <vt:lpstr>Stream2_A</vt:lpstr>
      <vt:lpstr>Stream2_H</vt:lpstr>
      <vt:lpstr>Stream2_N</vt:lpstr>
      <vt:lpstr>Stream2_NH</vt:lpstr>
      <vt:lpstr>Stream3_A</vt:lpstr>
      <vt:lpstr>Stream3_H</vt:lpstr>
      <vt:lpstr>Stream3_N</vt:lpstr>
      <vt:lpstr>Stream3_NH</vt:lpstr>
      <vt:lpstr>Stream4_A</vt:lpstr>
      <vt:lpstr>Stream4_H</vt:lpstr>
      <vt:lpstr>Stream4_N</vt:lpstr>
      <vt:lpstr>Stream4_NH</vt:lpstr>
      <vt:lpstr>Stream5_A</vt:lpstr>
      <vt:lpstr>Stream5_H</vt:lpstr>
      <vt:lpstr>Stream5_N</vt:lpstr>
      <vt:lpstr>Stream5_NH</vt:lpstr>
      <vt:lpstr>Stream6_A</vt:lpstr>
      <vt:lpstr>Stream6_H</vt:lpstr>
      <vt:lpstr>Stream6_N</vt:lpstr>
      <vt:lpstr>Stream6_NH</vt:lpstr>
      <vt:lpstr>Stream7_A</vt:lpstr>
      <vt:lpstr>Stream7_H</vt:lpstr>
      <vt:lpstr>Stream7_N</vt:lpstr>
      <vt:lpstr>Stream7_NH</vt:lpstr>
      <vt:lpstr>'Simple  Mass Volume Problem'!T_3_Feed</vt:lpstr>
      <vt:lpstr>'Simple Linear Problem'!T_3_Feed</vt:lpstr>
      <vt:lpstr>T_3_Feed</vt:lpstr>
      <vt:lpstr>'Simple  Mass Volume Problem'!T_3_Product</vt:lpstr>
      <vt:lpstr>'Simple Linear Problem'!T_3_Product</vt:lpstr>
      <vt:lpstr>T_3_Product</vt:lpstr>
      <vt:lpstr>'Simple  Mass Volume Problem'!T_5_Feed</vt:lpstr>
      <vt:lpstr>'Simple Linear Problem'!T_5_Feed</vt:lpstr>
      <vt:lpstr>T_5_Feed</vt:lpstr>
      <vt:lpstr>'Simple  Mass Volume Problem'!T_5_Product</vt:lpstr>
      <vt:lpstr>'Simple Linear Problem'!T_5_Product</vt:lpstr>
      <vt:lpstr>T_5_Product</vt:lpstr>
      <vt:lpstr>Bilinear!TAILPOND_CF</vt:lpstr>
      <vt:lpstr>Bilinear!TAILPOND_Q</vt:lpstr>
      <vt:lpstr>Bilinear!TAILPOND_WF</vt:lpstr>
      <vt:lpstr>Bilinear!TAILS_CF</vt:lpstr>
      <vt:lpstr>Bilinear!TAILS_Q</vt:lpstr>
      <vt:lpstr>Bilinear!TAILS_WF</vt:lpstr>
      <vt:lpstr>'Large Nonlinear Problem'!TailsThickenerUnderflowStream_Ag</vt:lpstr>
      <vt:lpstr>'Large Nonlinear Problem'!TailsThickenerUnderflowStream_Au</vt:lpstr>
      <vt:lpstr>'Large Nonlinear Problem'!TailsThickenerUnderflowStream_Cu</vt:lpstr>
      <vt:lpstr>'Large Nonlinear Problem'!TailsThickenerUnderflowStream_F</vt:lpstr>
      <vt:lpstr>'Large Nonlinear Problem'!TailsThickenerUnderflowStream_Fe</vt:lpstr>
      <vt:lpstr>'Large Nonlinear Problem'!TailsThickenerUnderflowStream_Mass</vt:lpstr>
      <vt:lpstr>'Large Nonlinear Problem'!TailsThickenerUnderflowStream_S</vt:lpstr>
      <vt:lpstr>'Large Nonlinear Problem'!TailsThickenerUnderflowStream_U</vt:lpstr>
      <vt:lpstr>'Large Nonlinear Problem'!TailsThickening_close_Ag</vt:lpstr>
      <vt:lpstr>'Large Nonlinear Problem'!TailsThickening_close_Au</vt:lpstr>
      <vt:lpstr>'Large Nonlinear Problem'!TailsThickening_close_Cu</vt:lpstr>
      <vt:lpstr>'Large Nonlinear Problem'!TailsThickening_close_F</vt:lpstr>
      <vt:lpstr>'Large Nonlinear Problem'!TailsThickening_close_Fe</vt:lpstr>
      <vt:lpstr>'Large Nonlinear Problem'!TailsThickening_close_Mass</vt:lpstr>
      <vt:lpstr>'Large Nonlinear Problem'!TailsThickening_close_S</vt:lpstr>
      <vt:lpstr>'Large Nonlinear Problem'!TailsThickening_close_U</vt:lpstr>
      <vt:lpstr>'Large Nonlinear Problem'!TailsThickening_open_Ag</vt:lpstr>
      <vt:lpstr>'Large Nonlinear Problem'!TailsThickening_open_Au</vt:lpstr>
      <vt:lpstr>'Large Nonlinear Problem'!TailsThickening_open_Cu</vt:lpstr>
      <vt:lpstr>'Large Nonlinear Problem'!TailsThickening_open_F</vt:lpstr>
      <vt:lpstr>'Large Nonlinear Problem'!TailsThickening_open_Fe</vt:lpstr>
      <vt:lpstr>'Large Nonlinear Problem'!TailsThickening_open_Mass</vt:lpstr>
      <vt:lpstr>'Large Nonlinear Problem'!TailsThickening_open_S</vt:lpstr>
      <vt:lpstr>'Large Nonlinear Problem'!TailsThickening_open_U</vt:lpstr>
      <vt:lpstr>Bilinear!TAILTHK_OVERFLOW_Q</vt:lpstr>
      <vt:lpstr>Bilinear!TAILTHK6_CLOSE_CF</vt:lpstr>
      <vt:lpstr>Bilinear!TAILTHK6_CLOSE_Q</vt:lpstr>
      <vt:lpstr>Bilinear!TAILTHK6_CLOSE_WF</vt:lpstr>
      <vt:lpstr>Bilinear!TAILTHK6_OPEN_CF</vt:lpstr>
      <vt:lpstr>Bilinear!TAILTHK6_OPEN_Q</vt:lpstr>
      <vt:lpstr>Bilinear!TAILTHK6_OPEN_WF</vt:lpstr>
      <vt:lpstr>Bilinear!TAILTHK6_OVERFLOW_Q</vt:lpstr>
      <vt:lpstr>Bilinear!TAILTHK6_TOTVOL_CLOSE_Q</vt:lpstr>
      <vt:lpstr>Bilinear!TAILTHK6_TOTVOL_OPEN_Q</vt:lpstr>
      <vt:lpstr>Bilinear!TAILTHK6_UNDERFLOW_CF</vt:lpstr>
      <vt:lpstr>Bilinear!TAILTHK6_UNDERFLOW_Q</vt:lpstr>
      <vt:lpstr>Bilinear!TAILTHK6_UNDERFLOW_WF</vt:lpstr>
      <vt:lpstr>Bilinear!TAILTHK7_CLOSE_CF</vt:lpstr>
      <vt:lpstr>Bilinear!TAILTHK7_CLOSE_Q</vt:lpstr>
      <vt:lpstr>Bilinear!TAILTHK7_CLOSE_WF</vt:lpstr>
      <vt:lpstr>Bilinear!TAILTHK7_OPEN_CF</vt:lpstr>
      <vt:lpstr>Bilinear!TAILTHK7_OPEN_Q</vt:lpstr>
      <vt:lpstr>Bilinear!TAILTHK7_OPEN_WF</vt:lpstr>
      <vt:lpstr>Bilinear!TAILTHK7_OVERFLOW_Q</vt:lpstr>
      <vt:lpstr>Bilinear!TAILTHK7_TOTVOL_CLOSE_Q</vt:lpstr>
      <vt:lpstr>Bilinear!TAILTHK7_TOTVOL_OPEN_Q</vt:lpstr>
      <vt:lpstr>Bilinear!TAILTHK7_UNDERFLOW_CF</vt:lpstr>
      <vt:lpstr>Bilinear!TAILTHK7_UNDERFLOW_Q</vt:lpstr>
      <vt:lpstr>Bilinear!TAILTHK7_UNDERFLOW_WF</vt:lpstr>
      <vt:lpstr>Bilinear!TAILTHK8_CLOSE_CF</vt:lpstr>
      <vt:lpstr>Bilinear!TAILTHK8_CLOSE_Q</vt:lpstr>
      <vt:lpstr>Bilinear!TAILTHK8_CLOSE_WF</vt:lpstr>
      <vt:lpstr>Bilinear!TAILTHK8_OPEN_CF</vt:lpstr>
      <vt:lpstr>Bilinear!TAILTHK8_OPEN_Q</vt:lpstr>
      <vt:lpstr>Bilinear!TAILTHK8_OPEN_WF</vt:lpstr>
      <vt:lpstr>Bilinear!TAILTHK8_OVERFLOW_Q</vt:lpstr>
      <vt:lpstr>Bilinear!TAILTHK8_TOTVOL_CLOSE_Q</vt:lpstr>
      <vt:lpstr>Bilinear!TAILTHK8_TOTVOL_OPEN_Q</vt:lpstr>
      <vt:lpstr>Bilinear!TAILTHK8_UNDERFLOW_CF</vt:lpstr>
      <vt:lpstr>Bilinear!TAILTHK8_UNDERFLOW_Q</vt:lpstr>
      <vt:lpstr>Bilinear!TAILTHK8_UNDERFLOW_WF</vt:lpstr>
      <vt:lpstr>Bilinear!TANK_CLOSE_Q</vt:lpstr>
      <vt:lpstr>Bilinear!TANK_OPEN_Q</vt:lpstr>
      <vt:lpstr>Bilinear!TK10_TK11_Q</vt:lpstr>
      <vt:lpstr>Bilinear!TK140_TK165_CF</vt:lpstr>
      <vt:lpstr>Bilinear!TK140_TK165_Q</vt:lpstr>
      <vt:lpstr>Bilinear!TK140_TK165_WF</vt:lpstr>
      <vt:lpstr>Bilinear!TK23_CLOSE_CF</vt:lpstr>
      <vt:lpstr>Bilinear!TK23_CLOSE_Q</vt:lpstr>
      <vt:lpstr>Bilinear!TK23_CLOSE_WF</vt:lpstr>
      <vt:lpstr>Bilinear!TK23_DI105_CF</vt:lpstr>
      <vt:lpstr>Bilinear!TK23_DI105_Q</vt:lpstr>
      <vt:lpstr>Bilinear!TK23_DI105_WF</vt:lpstr>
      <vt:lpstr>Bilinear!TK23_OPEN_CF</vt:lpstr>
      <vt:lpstr>Bilinear!TK23_OPEN_Q</vt:lpstr>
      <vt:lpstr>Bilinear!TK23_OPEN_WF</vt:lpstr>
      <vt:lpstr>Bilinear!TK24_CLOSE_CF</vt:lpstr>
      <vt:lpstr>Bilinear!TK24_CLOSE_Q</vt:lpstr>
      <vt:lpstr>Bilinear!TK24_CLOSE_WF</vt:lpstr>
      <vt:lpstr>Bilinear!TK24_DI105_CF</vt:lpstr>
      <vt:lpstr>Bilinear!TK24_DI105_Q</vt:lpstr>
      <vt:lpstr>Bilinear!TK24_DI105_WF</vt:lpstr>
      <vt:lpstr>Bilinear!TK24_OPEN_CF</vt:lpstr>
      <vt:lpstr>Bilinear!TK24_OPEN_Q</vt:lpstr>
      <vt:lpstr>Bilinear!TK24_OPEN_WF</vt:lpstr>
      <vt:lpstr>Bilinear!TK25_CLOSE_CF</vt:lpstr>
      <vt:lpstr>Bilinear!TK25_CLOSE_Q</vt:lpstr>
      <vt:lpstr>Bilinear!TK25_CLOSE_WF</vt:lpstr>
      <vt:lpstr>Bilinear!TK25_DI105_CF</vt:lpstr>
      <vt:lpstr>Bilinear!TK25_DI105_Q</vt:lpstr>
      <vt:lpstr>Bilinear!TK25_DI105_WF</vt:lpstr>
      <vt:lpstr>Bilinear!TK25_OPEN_CF</vt:lpstr>
      <vt:lpstr>Bilinear!TK25_OPEN_Q</vt:lpstr>
      <vt:lpstr>Bilinear!TK25_OPEN_WF</vt:lpstr>
      <vt:lpstr>Bilinear!TK26_CLOSE_CF</vt:lpstr>
      <vt:lpstr>Bilinear!TK26_CLOSE_Q</vt:lpstr>
      <vt:lpstr>Bilinear!TK26_CLOSE_WF</vt:lpstr>
      <vt:lpstr>Bilinear!TK26_DI105_CF</vt:lpstr>
      <vt:lpstr>Bilinear!TK26_DI105_Q</vt:lpstr>
      <vt:lpstr>Bilinear!TK26_DI105_WF</vt:lpstr>
      <vt:lpstr>Bilinear!TK26_OPEN_CF</vt:lpstr>
      <vt:lpstr>Bilinear!TK26_OPEN_Q</vt:lpstr>
      <vt:lpstr>Bilinear!TK26_OPEN_WF</vt:lpstr>
      <vt:lpstr>Bilinear!TK83_CHIL_Q</vt:lpstr>
      <vt:lpstr>Bilinear!TK83_CLOSE_Q</vt:lpstr>
      <vt:lpstr>Bilinear!TK83_D20_Q</vt:lpstr>
      <vt:lpstr>Bilinear!TK83_D25_Q</vt:lpstr>
      <vt:lpstr>Bilinear!TK83_MB1_Q</vt:lpstr>
      <vt:lpstr>Bilinear!TK83_MB2_Q</vt:lpstr>
      <vt:lpstr>Bilinear!TK83_MB3_Q</vt:lpstr>
      <vt:lpstr>Bilinear!TK83_OPEN_Q</vt:lpstr>
      <vt:lpstr>Bilinear!TK83_TANK_Q</vt:lpstr>
      <vt:lpstr>Bilinear!TKC_PIPE_CF</vt:lpstr>
      <vt:lpstr>Bilinear!TKC_PIPE_Q</vt:lpstr>
      <vt:lpstr>Bilinear!TKC_PIPE_WF</vt:lpstr>
      <vt:lpstr>'Simple Linear Problem'!treat_gas</vt:lpstr>
      <vt:lpstr>treat_gas</vt:lpstr>
      <vt:lpstr>treat_gas_dens</vt:lpstr>
      <vt:lpstr>treat_gas_mass</vt:lpstr>
      <vt:lpstr>treat_gas_vol</vt:lpstr>
      <vt:lpstr>'Simple  Mass Volume Problem'!World_Feed</vt:lpstr>
      <vt:lpstr>World_Feed</vt:lpstr>
      <vt:lpstr>'Simple  Mass Volume Problem'!World_Product</vt:lpstr>
      <vt:lpstr>World_Product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PeterL</dc:creator>
  <cp:lastModifiedBy>PeterL</cp:lastModifiedBy>
  <dcterms:created xsi:type="dcterms:W3CDTF">2011-12-24T05:18:06Z</dcterms:created>
  <dcterms:modified xsi:type="dcterms:W3CDTF">2012-02-19T02:46:21Z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oogle.Documents.Tracking">
    <vt:lpwstr>false</vt:lpwstr>
  </property>
  <property fmtid="{D5CDD505-2E9C-101B-9397-08002B2CF9AE}" pid="3" name="Google.Documents.DocumentId">
    <vt:lpwstr>1yEsz7o65XgalonJkFWR7g4Q31065C7tOSdNxg5PgL2c</vt:lpwstr>
  </property>
  <property fmtid="{D5CDD505-2E9C-101B-9397-08002B2CF9AE}" pid="4" name="Google.Documents.RevisionId">
    <vt:lpwstr>06991082584390805377</vt:lpwstr>
  </property>
  <property fmtid="{D5CDD505-2E9C-101B-9397-08002B2CF9AE}" pid="5" name="Google.Documents.PreviousRevisionId">
    <vt:lpwstr>03367207778680669438</vt:lpwstr>
  </property>
  <property fmtid="{D5CDD505-2E9C-101B-9397-08002B2CF9AE}" pid="6" name="Google.Documents.PluginVersion">
    <vt:lpwstr>2.0.2662.553</vt:lpwstr>
  </property>
  <property fmtid="{D5CDD505-2E9C-101B-9397-08002B2CF9AE}" pid="7" name="Google.Documents.MergeIncapabilityFlags">
    <vt:i4>0</vt:i4>
  </property>
</Properties>
</file>