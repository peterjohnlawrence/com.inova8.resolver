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20" windowWidth="19155" windowHeight="9780" firstSheet="1" activeTab="1"/>
  </bookViews>
  <sheets>
    <sheet name="ResolverReservedData" sheetId="8" state="veryHidden" r:id="rId1"/>
    <sheet name="Simple Linear Problem" sheetId="4" r:id="rId2"/>
    <sheet name="Ammonia Reconciliation Problem" sheetId="28" r:id="rId3"/>
  </sheets>
  <functionGroups/>
  <externalReferences>
    <externalReference r:id="rId4"/>
    <externalReference r:id="rId5"/>
  </externalReferences>
  <definedNames>
    <definedName name="abs_btm" localSheetId="1">'Simple Linear Problem'!$I$6</definedName>
    <definedName name="abs_btm">'[1]Test1 Problem'!$I$6</definedName>
    <definedName name="abs_ovhd" localSheetId="1">'Simple Linear Problem'!$I$9</definedName>
    <definedName name="abs_ovhd">'[1]Test1 Problem'!$I$9</definedName>
    <definedName name="acid_gas" localSheetId="1">'Simple Linear Problem'!$I$4</definedName>
    <definedName name="acid_gas">'[1]Test1 Problem'!$I$4</definedName>
    <definedName name="bypass" localSheetId="1">'Simple Linear Problem'!$I$15</definedName>
    <definedName name="bypass">'[1]Test1 Problem'!$I$15</definedName>
    <definedName name="condensate" localSheetId="1">'Simple Linear Problem'!$I$14</definedName>
    <definedName name="condensate">'[1]Test1 Problem'!$I$14</definedName>
    <definedName name="D_4_Feed" localSheetId="1">'Simple Linear Problem'!$C$4</definedName>
    <definedName name="D_4_Feed">'[1]Test1 Problem'!$C$4</definedName>
    <definedName name="D_4_Product" localSheetId="1">'Simple Linear Problem'!$E$4</definedName>
    <definedName name="D_4_Product">'[1]Test1 Problem'!$E$4</definedName>
    <definedName name="D_7_Feed" localSheetId="1">'Simple Linear Problem'!$C$9</definedName>
    <definedName name="D_7_Feed">'[1]Test1 Problem'!$C$9</definedName>
    <definedName name="D_7_Product" localSheetId="1">'Simple Linear Problem'!$E$9</definedName>
    <definedName name="D_7_Product">'[1]Test1 Problem'!$E$9</definedName>
    <definedName name="fat_oil" localSheetId="1">'Simple Linear Problem'!$I$10</definedName>
    <definedName name="fat_oil">'[1]Test1 Problem'!$I$10</definedName>
    <definedName name="fuel_gas" localSheetId="1">'Simple Linear Problem'!$I$13</definedName>
    <definedName name="fuel_gas">'[1]Test1 Problem'!$I$13</definedName>
    <definedName name="J_4_Feed" localSheetId="1">'Simple Linear Problem'!$C$5</definedName>
    <definedName name="J_4_Feed">'[1]Test1 Problem'!$C$5</definedName>
    <definedName name="J_4_Product" localSheetId="1">'Simple Linear Problem'!$E$5</definedName>
    <definedName name="J_4_Product">'[1]Test1 Problem'!$E$5</definedName>
    <definedName name="J_6_Feed" localSheetId="1">'Simple Linear Problem'!$C$6</definedName>
    <definedName name="J_6_Feed">'[1]Test1 Problem'!$C$6</definedName>
    <definedName name="J_6_Product" localSheetId="1">'Simple Linear Problem'!$E$6</definedName>
    <definedName name="J_6_Product">'[1]Test1 Problem'!$E$6</definedName>
    <definedName name="lean_oil" localSheetId="1">'Simple Linear Problem'!$I$8</definedName>
    <definedName name="lean_oil">'[1]Test1 Problem'!$I$8</definedName>
    <definedName name="ReactorEff">'Ammonia Reconciliation Problem'!$C$11</definedName>
    <definedName name="recycle" localSheetId="1">'Simple Linear Problem'!$I$7</definedName>
    <definedName name="recycle">'[1]Test1 Problem'!$I$7</definedName>
    <definedName name="ResolverData" localSheetId="2" hidden="1">ResolverReservedData!$B$1</definedName>
    <definedName name="ResolverData" localSheetId="1" hidden="1">ResolverReservedData!$A$1</definedName>
    <definedName name="sep_ovhd" localSheetId="1">'Simple Linear Problem'!$I$11</definedName>
    <definedName name="sep_ovhd">'[1]Test1 Problem'!$I$11</definedName>
    <definedName name="solver_adj" localSheetId="2" hidden="1">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</definedName>
    <definedName name="solver_adj" localSheetId="1" hidden="1">'Simple Linear Problem'!$I$4:$I$15</definedName>
    <definedName name="solver_cvg" localSheetId="2" hidden="1">0.0001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st" localSheetId="2" hidden="1">1</definedName>
    <definedName name="solver_est" localSheetId="1" hidden="1">1</definedName>
    <definedName name="solver_itr" localSheetId="2" hidden="1">100</definedName>
    <definedName name="solver_itr" localSheetId="1" hidden="1">100</definedName>
    <definedName name="solver_lhs1" localSheetId="2" hidden="1">'Ammonia Reconciliation Problem'!$D$15:$D$19</definedName>
    <definedName name="solver_lhs1" localSheetId="1" hidden="1">'Simple Linear Problem'!$C$4:$C$9</definedName>
    <definedName name="solver_lhs2" localSheetId="2" hidden="1">'Ammonia Reconciliation Problem'!$H$15:$H$19</definedName>
    <definedName name="solver_lhs2" localSheetId="1" hidden="1">'Simple Linear Problem'!$C$10</definedName>
    <definedName name="solver_lhs3" localSheetId="2" hidden="1">'Ammonia Reconciliation Problem'!$L$15:$L$19</definedName>
    <definedName name="solver_lhs4" localSheetId="2" hidden="1">'Ammonia Reconciliation Problem'!$P$16:$P$17</definedName>
    <definedName name="solver_lin" localSheetId="2" hidden="1">2</definedName>
    <definedName name="solver_lin" localSheetId="1" hidden="1">2</definedName>
    <definedName name="solver_neg" localSheetId="2" hidden="1">2</definedName>
    <definedName name="solver_neg" localSheetId="1" hidden="1">2</definedName>
    <definedName name="solver_num" localSheetId="2" hidden="1">4</definedName>
    <definedName name="solver_num" localSheetId="1" hidden="1">1</definedName>
    <definedName name="solver_nwt" localSheetId="2" hidden="1">1</definedName>
    <definedName name="solver_nwt" localSheetId="1" hidden="1">1</definedName>
    <definedName name="solver_opt" localSheetId="2" hidden="1">'Ammonia Reconciliation Problem'!$B$28</definedName>
    <definedName name="solver_opt" localSheetId="1" hidden="1">'Simple Linear Problem'!$C$18</definedName>
    <definedName name="solver_pre" localSheetId="2" hidden="1">0.000001</definedName>
    <definedName name="solver_pre" localSheetId="1" hidden="1">0.000001</definedName>
    <definedName name="solver_rel1" localSheetId="2" hidden="1">2</definedName>
    <definedName name="solver_rel1" localSheetId="1" hidden="1">2</definedName>
    <definedName name="solver_rel2" localSheetId="2" hidden="1">2</definedName>
    <definedName name="solver_rel2" localSheetId="1" hidden="1">2</definedName>
    <definedName name="solver_rel3" localSheetId="2" hidden="1">2</definedName>
    <definedName name="solver_rel4" localSheetId="2" hidden="1">2</definedName>
    <definedName name="solver_rhs1" localSheetId="2" hidden="1">'Ammonia Reconciliation Problem'!$F$15:$F$19</definedName>
    <definedName name="solver_rhs1" localSheetId="1" hidden="1">'Simple Linear Problem'!$E$4:$E$9</definedName>
    <definedName name="solver_rhs2" localSheetId="2" hidden="1">'Ammonia Reconciliation Problem'!$J$15:$J$19</definedName>
    <definedName name="solver_rhs2" localSheetId="1" hidden="1">'Simple Linear Problem'!$E$10</definedName>
    <definedName name="solver_rhs3" localSheetId="2" hidden="1">'Ammonia Reconciliation Problem'!$N$15:$N$19</definedName>
    <definedName name="solver_rhs4" localSheetId="2" hidden="1">'Ammonia Reconciliation Problem'!$R$16:$R$17</definedName>
    <definedName name="solver_scl" localSheetId="2" hidden="1">2</definedName>
    <definedName name="solver_scl" localSheetId="1" hidden="1">2</definedName>
    <definedName name="solver_sho" localSheetId="2" hidden="1">2</definedName>
    <definedName name="solver_sho" localSheetId="1" hidden="1">2</definedName>
    <definedName name="solver_tim" localSheetId="2" hidden="1">100</definedName>
    <definedName name="solver_tim" localSheetId="1" hidden="1">100</definedName>
    <definedName name="solver_tol" localSheetId="2" hidden="1">0.05</definedName>
    <definedName name="solver_tol" localSheetId="1" hidden="1">0.05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ur_gas" localSheetId="1">'Simple Linear Problem'!$I$12</definedName>
    <definedName name="sour_gas">'[1]Test1 Problem'!$I$12</definedName>
    <definedName name="SplitterEff">'Ammonia Reconciliation Problem'!$C$12</definedName>
    <definedName name="Stream1_A">'Ammonia Reconciliation Problem'!$K$4</definedName>
    <definedName name="Stream1_H">'Ammonia Reconciliation Problem'!$G$4</definedName>
    <definedName name="Stream1_N">'Ammonia Reconciliation Problem'!$C$4</definedName>
    <definedName name="Stream1_NH">'Ammonia Reconciliation Problem'!$O$4</definedName>
    <definedName name="Stream2_A">'Ammonia Reconciliation Problem'!$K$5</definedName>
    <definedName name="Stream2_H">'Ammonia Reconciliation Problem'!$G$5</definedName>
    <definedName name="Stream2_N">'Ammonia Reconciliation Problem'!$C$5</definedName>
    <definedName name="Stream2_NH">'Ammonia Reconciliation Problem'!$O$5</definedName>
    <definedName name="Stream3_A">'Ammonia Reconciliation Problem'!$K$6</definedName>
    <definedName name="Stream3_H">'Ammonia Reconciliation Problem'!$G$6</definedName>
    <definedName name="Stream3_N">'Ammonia Reconciliation Problem'!$C$6</definedName>
    <definedName name="Stream3_NH">'Ammonia Reconciliation Problem'!$O$6</definedName>
    <definedName name="Stream4_A">'Ammonia Reconciliation Problem'!$K$7</definedName>
    <definedName name="Stream4_H">'Ammonia Reconciliation Problem'!$G$7</definedName>
    <definedName name="Stream4_N">'Ammonia Reconciliation Problem'!$C$7</definedName>
    <definedName name="Stream4_NH">'Ammonia Reconciliation Problem'!$O$7</definedName>
    <definedName name="Stream5_A">'Ammonia Reconciliation Problem'!$K$8</definedName>
    <definedName name="Stream5_H">'Ammonia Reconciliation Problem'!$G$8</definedName>
    <definedName name="Stream5_N">'Ammonia Reconciliation Problem'!$C$8</definedName>
    <definedName name="Stream5_NH">'Ammonia Reconciliation Problem'!$O$8</definedName>
    <definedName name="Stream6_A">'Ammonia Reconciliation Problem'!$K$9</definedName>
    <definedName name="Stream6_H">'Ammonia Reconciliation Problem'!$G$9</definedName>
    <definedName name="Stream6_N">'Ammonia Reconciliation Problem'!$C$9</definedName>
    <definedName name="Stream6_NH">'Ammonia Reconciliation Problem'!$O$9</definedName>
    <definedName name="Stream7_A">'Ammonia Reconciliation Problem'!$K$10</definedName>
    <definedName name="Stream7_H">'Ammonia Reconciliation Problem'!$G$10</definedName>
    <definedName name="Stream7_N">'Ammonia Reconciliation Problem'!$C$10</definedName>
    <definedName name="Stream7_NH">'Ammonia Reconciliation Problem'!$O$10</definedName>
    <definedName name="T_3_Feed" localSheetId="1">'Simple Linear Problem'!$C$8</definedName>
    <definedName name="T_3_Feed">'[1]Test1 Problem'!$C$8</definedName>
    <definedName name="T_3_Product" localSheetId="1">'Simple Linear Problem'!$E$8</definedName>
    <definedName name="T_3_Product">'[1]Test1 Problem'!$E$8</definedName>
    <definedName name="T_5_Feed" localSheetId="1">'Simple Linear Problem'!$C$7</definedName>
    <definedName name="T_5_Feed">'[1]Test1 Problem'!$C$7</definedName>
    <definedName name="T_5_Product" localSheetId="1">'Simple Linear Problem'!$E$7</definedName>
    <definedName name="T_5_Product">'[1]Test1 Problem'!$E$7</definedName>
    <definedName name="testrange">'Simple Linear Problem'!$I$17:$I$18</definedName>
    <definedName name="treat_gas" localSheetId="1">'Simple Linear Problem'!$I$5</definedName>
    <definedName name="treat_gas">'[1]Test1 Problem'!$I$5</definedName>
    <definedName name="World_Feed" localSheetId="2">'[1]Simple Linear Problem'!$C$10</definedName>
    <definedName name="World_Feed">'Simple Linear Problem'!$C$10</definedName>
    <definedName name="World_Product" localSheetId="2">'[1]Simple Linear Problem'!$E$10</definedName>
    <definedName name="World_Product">'Simple Linear Problem'!$E$10</definedName>
  </definedNames>
  <calcPr calcId="125725"/>
</workbook>
</file>

<file path=xl/calcChain.xml><?xml version="1.0" encoding="utf-8"?>
<calcChain xmlns="http://schemas.openxmlformats.org/spreadsheetml/2006/main">
  <c r="A6" i="8"/>
  <c r="A5" a="1"/>
  <c r="A5" s="1"/>
  <c r="A4"/>
  <c r="A2"/>
  <c r="C5" i="4"/>
  <c r="C4"/>
  <c r="E4"/>
  <c r="B9" i="8"/>
  <c r="B8" a="1"/>
  <c r="B8" s="1"/>
  <c r="B7" a="1"/>
  <c r="B7" s="1"/>
  <c r="B6" a="1"/>
  <c r="B6" s="1"/>
  <c r="B5" a="1"/>
  <c r="B5" s="1"/>
  <c r="B4"/>
  <c r="B2"/>
  <c r="B1"/>
  <c r="B27" i="28"/>
  <c r="B26" a="1"/>
  <c r="B25" a="1"/>
  <c r="B24" a="1"/>
  <c r="B23" a="1"/>
  <c r="C12" a="1"/>
  <c r="C12" s="1"/>
  <c r="C11" a="1"/>
  <c r="C11" s="1"/>
  <c r="O10" a="1"/>
  <c r="O10" s="1"/>
  <c r="K10" a="1"/>
  <c r="K10" s="1"/>
  <c r="G10" a="1"/>
  <c r="G10" s="1"/>
  <c r="C10" a="1"/>
  <c r="C10" s="1"/>
  <c r="O9" a="1"/>
  <c r="O9" s="1"/>
  <c r="K9" a="1"/>
  <c r="K9" s="1"/>
  <c r="G9" a="1"/>
  <c r="G9" s="1"/>
  <c r="C9" a="1"/>
  <c r="C9" s="1"/>
  <c r="O8" a="1"/>
  <c r="O8" s="1"/>
  <c r="K8" a="1"/>
  <c r="K8" s="1"/>
  <c r="G8" a="1"/>
  <c r="G8" s="1"/>
  <c r="C8" a="1"/>
  <c r="C8" s="1"/>
  <c r="O7" a="1"/>
  <c r="O7" s="1"/>
  <c r="R17" s="1"/>
  <c r="K7" a="1"/>
  <c r="K7" s="1"/>
  <c r="G7" a="1"/>
  <c r="G7" s="1"/>
  <c r="C7" a="1"/>
  <c r="C7" s="1"/>
  <c r="O6" a="1"/>
  <c r="O6" s="1"/>
  <c r="K6" a="1"/>
  <c r="K6" s="1"/>
  <c r="G6" a="1"/>
  <c r="G6" s="1"/>
  <c r="C6" a="1"/>
  <c r="C6" s="1"/>
  <c r="O5" a="1"/>
  <c r="O5" s="1"/>
  <c r="K5" a="1"/>
  <c r="K5" s="1"/>
  <c r="G5" a="1"/>
  <c r="G5" s="1"/>
  <c r="C5" a="1"/>
  <c r="C5" s="1"/>
  <c r="O4" a="1"/>
  <c r="O4" s="1"/>
  <c r="K4" a="1"/>
  <c r="K4" s="1"/>
  <c r="L15" s="1"/>
  <c r="G4" a="1"/>
  <c r="G4" s="1"/>
  <c r="H15" s="1"/>
  <c r="C4" a="1"/>
  <c r="C4" s="1"/>
  <c r="B28"/>
  <c r="C18" i="4"/>
  <c r="A7" i="8"/>
  <c r="B10"/>
  <c r="A3" l="1"/>
  <c r="B3"/>
  <c r="B22" i="28"/>
  <c r="B21"/>
  <c r="N15"/>
  <c r="B25" s="1"/>
  <c r="L16"/>
  <c r="L17"/>
  <c r="N16"/>
  <c r="L18"/>
  <c r="N17"/>
  <c r="N18"/>
  <c r="L19"/>
  <c r="R16"/>
  <c r="B26" s="1"/>
  <c r="P17"/>
  <c r="H16"/>
  <c r="J15"/>
  <c r="B24" s="1"/>
  <c r="J16"/>
  <c r="H17"/>
  <c r="J17"/>
  <c r="H18"/>
  <c r="J18"/>
  <c r="H19"/>
  <c r="N19"/>
  <c r="F19"/>
  <c r="J19"/>
  <c r="D15"/>
  <c r="B23" s="1"/>
  <c r="F15"/>
  <c r="D16"/>
  <c r="D17"/>
  <c r="F16"/>
  <c r="D18"/>
  <c r="F17"/>
  <c r="F18"/>
  <c r="D19"/>
  <c r="A1" i="8" l="1"/>
  <c r="C10" i="4" l="1"/>
  <c r="C17"/>
  <c r="K31"/>
  <c r="C8" l="1"/>
  <c r="C9"/>
  <c r="C6"/>
  <c r="E9"/>
  <c r="E5"/>
  <c r="F5" s="1"/>
  <c r="E10"/>
  <c r="F10" s="1"/>
  <c r="C14"/>
  <c r="E8"/>
  <c r="E7"/>
  <c r="E6"/>
  <c r="C7"/>
  <c r="C15"/>
  <c r="F9" l="1"/>
  <c r="F6"/>
  <c r="F7"/>
  <c r="F8"/>
  <c r="C16" a="1"/>
  <c r="C16" s="1"/>
  <c r="F4"/>
</calcChain>
</file>

<file path=xl/sharedStrings.xml><?xml version="1.0" encoding="utf-8"?>
<sst xmlns="http://schemas.openxmlformats.org/spreadsheetml/2006/main" count="100" uniqueCount="63">
  <si>
    <t>Objective</t>
  </si>
  <si>
    <t>Options</t>
  </si>
  <si>
    <t>Constraints</t>
  </si>
  <si>
    <t>bypass</t>
  </si>
  <si>
    <t>Variables</t>
  </si>
  <si>
    <t>condensate</t>
  </si>
  <si>
    <t>Target</t>
  </si>
  <si>
    <t>fuel_gas</t>
  </si>
  <si>
    <t>Problem Definition</t>
  </si>
  <si>
    <t>sour_gas</t>
  </si>
  <si>
    <t>sep_ovhd</t>
  </si>
  <si>
    <t>fat_oil</t>
  </si>
  <si>
    <t>=</t>
  </si>
  <si>
    <t>world</t>
  </si>
  <si>
    <t>abs_ovhd</t>
  </si>
  <si>
    <t>D_7</t>
  </si>
  <si>
    <t>lean_oil</t>
  </si>
  <si>
    <t>T_3</t>
  </si>
  <si>
    <t>recycle</t>
  </si>
  <si>
    <t>T_5</t>
  </si>
  <si>
    <t>abs_btm</t>
  </si>
  <si>
    <t>J_6</t>
  </si>
  <si>
    <t>treat_gas</t>
  </si>
  <si>
    <t>J_4</t>
  </si>
  <si>
    <t>acid_gas</t>
  </si>
  <si>
    <t>D_4</t>
  </si>
  <si>
    <t>Estimate</t>
  </si>
  <si>
    <t>Tolerance</t>
  </si>
  <si>
    <t>Solution</t>
  </si>
  <si>
    <t>Labeled Variable</t>
  </si>
  <si>
    <t>Variable</t>
  </si>
  <si>
    <t>Node test</t>
  </si>
  <si>
    <t>Product Flow</t>
  </si>
  <si>
    <t>Equality</t>
  </si>
  <si>
    <t>Feed Flow</t>
  </si>
  <si>
    <t>Node</t>
  </si>
  <si>
    <t>Model Variables and Results</t>
  </si>
  <si>
    <t>Model Constraints</t>
  </si>
  <si>
    <t>Ammonia Reconciliation Problem</t>
  </si>
  <si>
    <t>Nitrogen</t>
  </si>
  <si>
    <t>Hydrogen</t>
  </si>
  <si>
    <t>Argon</t>
  </si>
  <si>
    <t>Ammonia</t>
  </si>
  <si>
    <t>Stream</t>
  </si>
  <si>
    <t>Var</t>
  </si>
  <si>
    <t>Recon.</t>
  </si>
  <si>
    <t>Tol.</t>
  </si>
  <si>
    <t>Meas.</t>
  </si>
  <si>
    <t>Stream 1</t>
  </si>
  <si>
    <t>Stream 2</t>
  </si>
  <si>
    <t>Stream 3</t>
  </si>
  <si>
    <t>Stream 4</t>
  </si>
  <si>
    <t>Stream 5</t>
  </si>
  <si>
    <t>Stream 6</t>
  </si>
  <si>
    <t>Stream 7</t>
  </si>
  <si>
    <t>Reactor Eff.</t>
  </si>
  <si>
    <t>Splitter Eff.</t>
  </si>
  <si>
    <t>Node 1</t>
  </si>
  <si>
    <t>Node 2</t>
  </si>
  <si>
    <t>Node 3</t>
  </si>
  <si>
    <t>Node 4</t>
  </si>
  <si>
    <t>Splitter</t>
  </si>
  <si>
    <t/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</si>
</sst>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1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applyFill="1"/>
    <xf numFmtId="0" fontId="3" fillId="0" borderId="0" xfId="0" applyFont="1"/>
    <xf numFmtId="0" fontId="3" fillId="0" borderId="0" xfId="0" applyFont="1" applyFill="1"/>
    <xf numFmtId="0" fontId="5" fillId="0" borderId="0" xfId="0" applyFont="1" applyFill="1"/>
    <xf numFmtId="0" fontId="3" fillId="0" borderId="0" xfId="0" quotePrefix="1" applyFont="1" applyFill="1"/>
    <xf numFmtId="0" fontId="3" fillId="0" borderId="0" xfId="1" applyFont="1" applyFill="1" applyAlignment="1" applyProtection="1"/>
    <xf numFmtId="0" fontId="1" fillId="0" borderId="0" xfId="0" applyFont="1" applyFill="1"/>
    <xf numFmtId="11" fontId="0" fillId="0" borderId="0" xfId="0" applyNumberFormat="1"/>
    <xf numFmtId="0" fontId="1" fillId="0" borderId="4" xfId="0" applyFont="1" applyBorder="1"/>
    <xf numFmtId="0" fontId="0" fillId="0" borderId="4" xfId="0" applyBorder="1"/>
    <xf numFmtId="0" fontId="0" fillId="0" borderId="5" xfId="0" applyBorder="1"/>
    <xf numFmtId="0" fontId="1" fillId="3" borderId="4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quotePrefix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28</xdr:row>
      <xdr:rowOff>142875</xdr:rowOff>
    </xdr:from>
    <xdr:to>
      <xdr:col>5</xdr:col>
      <xdr:colOff>76200</xdr:colOff>
      <xdr:row>39</xdr:row>
      <xdr:rowOff>95250</xdr:rowOff>
    </xdr:to>
    <xdr:sp macro="" textlink="">
      <xdr:nvSpPr>
        <xdr:cNvPr id="2" name="Flowchart: Alternate Process 1"/>
        <xdr:cNvSpPr/>
      </xdr:nvSpPr>
      <xdr:spPr>
        <a:xfrm>
          <a:off x="2428875" y="8143875"/>
          <a:ext cx="69532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21</xdr:row>
      <xdr:rowOff>114300</xdr:rowOff>
    </xdr:from>
    <xdr:to>
      <xdr:col>4</xdr:col>
      <xdr:colOff>514350</xdr:colOff>
      <xdr:row>23</xdr:row>
      <xdr:rowOff>104775</xdr:rowOff>
    </xdr:to>
    <xdr:sp macro="" textlink="">
      <xdr:nvSpPr>
        <xdr:cNvPr id="3" name="Oval 2"/>
        <xdr:cNvSpPr/>
      </xdr:nvSpPr>
      <xdr:spPr>
        <a:xfrm>
          <a:off x="2581275" y="678180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28</xdr:row>
      <xdr:rowOff>133350</xdr:rowOff>
    </xdr:from>
    <xdr:to>
      <xdr:col>10</xdr:col>
      <xdr:colOff>590550</xdr:colOff>
      <xdr:row>39</xdr:row>
      <xdr:rowOff>85725</xdr:rowOff>
    </xdr:to>
    <xdr:sp macro="" textlink="">
      <xdr:nvSpPr>
        <xdr:cNvPr id="4" name="Flowchart: Alternate Process 3"/>
        <xdr:cNvSpPr/>
      </xdr:nvSpPr>
      <xdr:spPr>
        <a:xfrm>
          <a:off x="5991225" y="8134350"/>
          <a:ext cx="69532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24</xdr:row>
      <xdr:rowOff>28575</xdr:rowOff>
    </xdr:from>
    <xdr:to>
      <xdr:col>13</xdr:col>
      <xdr:colOff>333375</xdr:colOff>
      <xdr:row>26</xdr:row>
      <xdr:rowOff>171450</xdr:rowOff>
    </xdr:to>
    <xdr:sp macro="" textlink="">
      <xdr:nvSpPr>
        <xdr:cNvPr id="5" name="Flowchart: Alternate Process 4"/>
        <xdr:cNvSpPr/>
      </xdr:nvSpPr>
      <xdr:spPr>
        <a:xfrm>
          <a:off x="7372350" y="7267575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41</xdr:row>
      <xdr:rowOff>95250</xdr:rowOff>
    </xdr:from>
    <xdr:to>
      <xdr:col>7</xdr:col>
      <xdr:colOff>466725</xdr:colOff>
      <xdr:row>44</xdr:row>
      <xdr:rowOff>47625</xdr:rowOff>
    </xdr:to>
    <xdr:sp macro="" textlink="">
      <xdr:nvSpPr>
        <xdr:cNvPr id="6" name="Flowchart: Alternate Process 5"/>
        <xdr:cNvSpPr/>
      </xdr:nvSpPr>
      <xdr:spPr>
        <a:xfrm>
          <a:off x="3848100" y="1057275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34</xdr:row>
      <xdr:rowOff>23813</xdr:rowOff>
    </xdr:from>
    <xdr:to>
      <xdr:col>10</xdr:col>
      <xdr:colOff>242888</xdr:colOff>
      <xdr:row>39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224338" y="8067675"/>
          <a:ext cx="1014412" cy="3214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39</xdr:row>
      <xdr:rowOff>95250</xdr:rowOff>
    </xdr:from>
    <xdr:to>
      <xdr:col>6</xdr:col>
      <xdr:colOff>190500</xdr:colOff>
      <xdr:row>42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2990850" y="9977438"/>
          <a:ext cx="642938" cy="10715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33</xdr:row>
      <xdr:rowOff>9525</xdr:rowOff>
    </xdr:from>
    <xdr:to>
      <xdr:col>13</xdr:col>
      <xdr:colOff>76200</xdr:colOff>
      <xdr:row>35</xdr:row>
      <xdr:rowOff>0</xdr:rowOff>
    </xdr:to>
    <xdr:sp macro="" textlink="">
      <xdr:nvSpPr>
        <xdr:cNvPr id="9" name="Oval 8"/>
        <xdr:cNvSpPr/>
      </xdr:nvSpPr>
      <xdr:spPr>
        <a:xfrm>
          <a:off x="7629525" y="8963025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35</xdr:row>
      <xdr:rowOff>0</xdr:rowOff>
    </xdr:from>
    <xdr:to>
      <xdr:col>12</xdr:col>
      <xdr:colOff>500063</xdr:colOff>
      <xdr:row>42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733925" y="9334500"/>
          <a:ext cx="3081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34</xdr:row>
      <xdr:rowOff>4762</xdr:rowOff>
    </xdr:from>
    <xdr:to>
      <xdr:col>12</xdr:col>
      <xdr:colOff>314326</xdr:colOff>
      <xdr:row>34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6686551" y="9148762"/>
          <a:ext cx="94297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26</xdr:row>
      <xdr:rowOff>177799</xdr:rowOff>
    </xdr:from>
    <xdr:to>
      <xdr:col>12</xdr:col>
      <xdr:colOff>506414</xdr:colOff>
      <xdr:row>33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7229476" y="837723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25</xdr:row>
      <xdr:rowOff>100013</xdr:rowOff>
    </xdr:from>
    <xdr:to>
      <xdr:col>12</xdr:col>
      <xdr:colOff>57151</xdr:colOff>
      <xdr:row>28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6553201" y="7315201"/>
          <a:ext cx="604837" cy="10334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23</xdr:row>
      <xdr:rowOff>104775</xdr:rowOff>
    </xdr:from>
    <xdr:to>
      <xdr:col>4</xdr:col>
      <xdr:colOff>338138</xdr:colOff>
      <xdr:row>28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2276476" y="764381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34</xdr:row>
      <xdr:rowOff>9525</xdr:rowOff>
    </xdr:from>
    <xdr:to>
      <xdr:col>3</xdr:col>
      <xdr:colOff>600075</xdr:colOff>
      <xdr:row>34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524000" y="9153525"/>
          <a:ext cx="904875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22</xdr:row>
      <xdr:rowOff>109538</xdr:rowOff>
    </xdr:from>
    <xdr:to>
      <xdr:col>12</xdr:col>
      <xdr:colOff>500063</xdr:colOff>
      <xdr:row>24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952750" y="6967538"/>
          <a:ext cx="486251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18</xdr:row>
      <xdr:rowOff>47625</xdr:rowOff>
    </xdr:from>
    <xdr:to>
      <xdr:col>4</xdr:col>
      <xdr:colOff>328614</xdr:colOff>
      <xdr:row>21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445546" y="646033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18</xdr:row>
      <xdr:rowOff>66675</xdr:rowOff>
    </xdr:from>
    <xdr:to>
      <xdr:col>7</xdr:col>
      <xdr:colOff>23814</xdr:colOff>
      <xdr:row>41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083595" y="836533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18</xdr:row>
      <xdr:rowOff>66675</xdr:rowOff>
    </xdr:from>
    <xdr:to>
      <xdr:col>14</xdr:col>
      <xdr:colOff>0</xdr:colOff>
      <xdr:row>25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8258175" y="6162675"/>
          <a:ext cx="27622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38100</xdr:rowOff>
    </xdr:from>
    <xdr:to>
      <xdr:col>3</xdr:col>
      <xdr:colOff>485775</xdr:colOff>
      <xdr:row>36</xdr:row>
      <xdr:rowOff>57150</xdr:rowOff>
    </xdr:to>
    <xdr:sp macro="" textlink="">
      <xdr:nvSpPr>
        <xdr:cNvPr id="20" name="Parallelogram 19"/>
        <xdr:cNvSpPr/>
      </xdr:nvSpPr>
      <xdr:spPr>
        <a:xfrm>
          <a:off x="1524000" y="9372600"/>
          <a:ext cx="790575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25</xdr:row>
      <xdr:rowOff>104775</xdr:rowOff>
    </xdr:from>
    <xdr:to>
      <xdr:col>4</xdr:col>
      <xdr:colOff>219076</xdr:colOff>
      <xdr:row>26</xdr:row>
      <xdr:rowOff>142875</xdr:rowOff>
    </xdr:to>
    <xdr:sp macro="" textlink="">
      <xdr:nvSpPr>
        <xdr:cNvPr id="21" name="Parallelogram 20"/>
        <xdr:cNvSpPr/>
      </xdr:nvSpPr>
      <xdr:spPr>
        <a:xfrm>
          <a:off x="1762126" y="753427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18</xdr:row>
      <xdr:rowOff>114300</xdr:rowOff>
    </xdr:from>
    <xdr:to>
      <xdr:col>4</xdr:col>
      <xdr:colOff>228601</xdr:colOff>
      <xdr:row>19</xdr:row>
      <xdr:rowOff>152400</xdr:rowOff>
    </xdr:to>
    <xdr:sp macro="" textlink="">
      <xdr:nvSpPr>
        <xdr:cNvPr id="22" name="Parallelogram 21"/>
        <xdr:cNvSpPr/>
      </xdr:nvSpPr>
      <xdr:spPr>
        <a:xfrm>
          <a:off x="1771651" y="62103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22</xdr:row>
      <xdr:rowOff>171450</xdr:rowOff>
    </xdr:from>
    <xdr:to>
      <xdr:col>9</xdr:col>
      <xdr:colOff>419101</xdr:colOff>
      <xdr:row>24</xdr:row>
      <xdr:rowOff>19050</xdr:rowOff>
    </xdr:to>
    <xdr:sp macro="" textlink="">
      <xdr:nvSpPr>
        <xdr:cNvPr id="23" name="Parallelogram 22"/>
        <xdr:cNvSpPr/>
      </xdr:nvSpPr>
      <xdr:spPr>
        <a:xfrm>
          <a:off x="5010151" y="70294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18</xdr:row>
      <xdr:rowOff>114300</xdr:rowOff>
    </xdr:from>
    <xdr:to>
      <xdr:col>6</xdr:col>
      <xdr:colOff>552451</xdr:colOff>
      <xdr:row>19</xdr:row>
      <xdr:rowOff>152400</xdr:rowOff>
    </xdr:to>
    <xdr:sp macro="" textlink="">
      <xdr:nvSpPr>
        <xdr:cNvPr id="24" name="Parallelogram 23"/>
        <xdr:cNvSpPr/>
      </xdr:nvSpPr>
      <xdr:spPr>
        <a:xfrm>
          <a:off x="3314701" y="62103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18</xdr:row>
      <xdr:rowOff>114300</xdr:rowOff>
    </xdr:from>
    <xdr:to>
      <xdr:col>13</xdr:col>
      <xdr:colOff>504826</xdr:colOff>
      <xdr:row>19</xdr:row>
      <xdr:rowOff>152400</xdr:rowOff>
    </xdr:to>
    <xdr:sp macro="" textlink="">
      <xdr:nvSpPr>
        <xdr:cNvPr id="25" name="Parallelogram 24"/>
        <xdr:cNvSpPr/>
      </xdr:nvSpPr>
      <xdr:spPr>
        <a:xfrm>
          <a:off x="7534276" y="62103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26</xdr:row>
      <xdr:rowOff>38100</xdr:rowOff>
    </xdr:from>
    <xdr:to>
      <xdr:col>9</xdr:col>
      <xdr:colOff>400051</xdr:colOff>
      <xdr:row>27</xdr:row>
      <xdr:rowOff>76200</xdr:rowOff>
    </xdr:to>
    <xdr:sp macro="" textlink="">
      <xdr:nvSpPr>
        <xdr:cNvPr id="26" name="Parallelogram 25"/>
        <xdr:cNvSpPr/>
      </xdr:nvSpPr>
      <xdr:spPr>
        <a:xfrm>
          <a:off x="4991101" y="76581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39</xdr:row>
      <xdr:rowOff>0</xdr:rowOff>
    </xdr:from>
    <xdr:to>
      <xdr:col>9</xdr:col>
      <xdr:colOff>333376</xdr:colOff>
      <xdr:row>40</xdr:row>
      <xdr:rowOff>38100</xdr:rowOff>
    </xdr:to>
    <xdr:sp macro="" textlink="">
      <xdr:nvSpPr>
        <xdr:cNvPr id="27" name="Parallelogram 26"/>
        <xdr:cNvSpPr/>
      </xdr:nvSpPr>
      <xdr:spPr>
        <a:xfrm>
          <a:off x="4924426" y="100965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35</xdr:row>
      <xdr:rowOff>28575</xdr:rowOff>
    </xdr:from>
    <xdr:to>
      <xdr:col>12</xdr:col>
      <xdr:colOff>390526</xdr:colOff>
      <xdr:row>36</xdr:row>
      <xdr:rowOff>66675</xdr:rowOff>
    </xdr:to>
    <xdr:sp macro="" textlink="">
      <xdr:nvSpPr>
        <xdr:cNvPr id="28" name="Parallelogram 27"/>
        <xdr:cNvSpPr/>
      </xdr:nvSpPr>
      <xdr:spPr>
        <a:xfrm>
          <a:off x="6810376" y="936307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28</xdr:row>
      <xdr:rowOff>171450</xdr:rowOff>
    </xdr:from>
    <xdr:to>
      <xdr:col>14</xdr:col>
      <xdr:colOff>247651</xdr:colOff>
      <xdr:row>30</xdr:row>
      <xdr:rowOff>19050</xdr:rowOff>
    </xdr:to>
    <xdr:sp macro="" textlink="">
      <xdr:nvSpPr>
        <xdr:cNvPr id="29" name="Parallelogram 28"/>
        <xdr:cNvSpPr/>
      </xdr:nvSpPr>
      <xdr:spPr>
        <a:xfrm>
          <a:off x="7886701" y="81724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43</xdr:row>
      <xdr:rowOff>57150</xdr:rowOff>
    </xdr:from>
    <xdr:to>
      <xdr:col>9</xdr:col>
      <xdr:colOff>352426</xdr:colOff>
      <xdr:row>44</xdr:row>
      <xdr:rowOff>95250</xdr:rowOff>
    </xdr:to>
    <xdr:sp macro="" textlink="">
      <xdr:nvSpPr>
        <xdr:cNvPr id="30" name="Parallelogram 29"/>
        <xdr:cNvSpPr/>
      </xdr:nvSpPr>
      <xdr:spPr>
        <a:xfrm>
          <a:off x="4943476" y="109156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43</xdr:row>
      <xdr:rowOff>66675</xdr:rowOff>
    </xdr:from>
    <xdr:to>
      <xdr:col>5</xdr:col>
      <xdr:colOff>523876</xdr:colOff>
      <xdr:row>44</xdr:row>
      <xdr:rowOff>104775</xdr:rowOff>
    </xdr:to>
    <xdr:sp macro="" textlink="">
      <xdr:nvSpPr>
        <xdr:cNvPr id="31" name="Parallelogram 30"/>
        <xdr:cNvSpPr/>
      </xdr:nvSpPr>
      <xdr:spPr>
        <a:xfrm>
          <a:off x="2676526" y="1092517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34</xdr:row>
      <xdr:rowOff>85725</xdr:rowOff>
    </xdr:from>
    <xdr:to>
      <xdr:col>7</xdr:col>
      <xdr:colOff>666750</xdr:colOff>
      <xdr:row>39</xdr:row>
      <xdr:rowOff>38100</xdr:rowOff>
    </xdr:to>
    <xdr:sp macro="" textlink="">
      <xdr:nvSpPr>
        <xdr:cNvPr id="2" name="Rounded Rectangle 1"/>
        <xdr:cNvSpPr/>
      </xdr:nvSpPr>
      <xdr:spPr>
        <a:xfrm>
          <a:off x="2571750" y="6562725"/>
          <a:ext cx="15525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  <a:p>
          <a:pPr algn="ctr"/>
          <a:r>
            <a:rPr lang="en-US" sz="1100"/>
            <a:t>Mixer</a:t>
          </a:r>
        </a:p>
      </xdr:txBody>
    </xdr:sp>
    <xdr:clientData/>
  </xdr:twoCellAnchor>
  <xdr:twoCellAnchor>
    <xdr:from>
      <xdr:col>10</xdr:col>
      <xdr:colOff>0</xdr:colOff>
      <xdr:row>34</xdr:row>
      <xdr:rowOff>76200</xdr:rowOff>
    </xdr:from>
    <xdr:to>
      <xdr:col>14</xdr:col>
      <xdr:colOff>133350</xdr:colOff>
      <xdr:row>39</xdr:row>
      <xdr:rowOff>28575</xdr:rowOff>
    </xdr:to>
    <xdr:sp macro="" textlink="">
      <xdr:nvSpPr>
        <xdr:cNvPr id="3" name="Rounded Rectangle 2"/>
        <xdr:cNvSpPr/>
      </xdr:nvSpPr>
      <xdr:spPr>
        <a:xfrm>
          <a:off x="5172075" y="6553200"/>
          <a:ext cx="2324100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  <a:p>
          <a:pPr algn="ctr"/>
          <a:r>
            <a:rPr lang="en-US" sz="1100"/>
            <a:t>Reactor</a:t>
          </a:r>
        </a:p>
      </xdr:txBody>
    </xdr:sp>
    <xdr:clientData/>
  </xdr:twoCellAnchor>
  <xdr:twoCellAnchor>
    <xdr:from>
      <xdr:col>16</xdr:col>
      <xdr:colOff>219076</xdr:colOff>
      <xdr:row>29</xdr:row>
      <xdr:rowOff>114300</xdr:rowOff>
    </xdr:from>
    <xdr:to>
      <xdr:col>17</xdr:col>
      <xdr:colOff>742951</xdr:colOff>
      <xdr:row>44</xdr:row>
      <xdr:rowOff>0</xdr:rowOff>
    </xdr:to>
    <xdr:sp macro="" textlink="">
      <xdr:nvSpPr>
        <xdr:cNvPr id="4" name="Rounded Rectangle 3"/>
        <xdr:cNvSpPr/>
      </xdr:nvSpPr>
      <xdr:spPr>
        <a:xfrm>
          <a:off x="8439151" y="5638800"/>
          <a:ext cx="857250" cy="2743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  <a:p>
          <a:pPr algn="ctr"/>
          <a:r>
            <a:rPr lang="en-US" sz="1100"/>
            <a:t>Separator</a:t>
          </a:r>
        </a:p>
      </xdr:txBody>
    </xdr:sp>
    <xdr:clientData/>
  </xdr:twoCellAnchor>
  <xdr:twoCellAnchor>
    <xdr:from>
      <xdr:col>11</xdr:col>
      <xdr:colOff>533401</xdr:colOff>
      <xdr:row>23</xdr:row>
      <xdr:rowOff>161925</xdr:rowOff>
    </xdr:from>
    <xdr:to>
      <xdr:col>13</xdr:col>
      <xdr:colOff>219076</xdr:colOff>
      <xdr:row>30</xdr:row>
      <xdr:rowOff>171450</xdr:rowOff>
    </xdr:to>
    <xdr:sp macro="" textlink="">
      <xdr:nvSpPr>
        <xdr:cNvPr id="5" name="Rounded Rectangle 4"/>
        <xdr:cNvSpPr/>
      </xdr:nvSpPr>
      <xdr:spPr>
        <a:xfrm>
          <a:off x="5962651" y="4543425"/>
          <a:ext cx="8572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  <a:p>
          <a:pPr algn="ctr"/>
          <a:r>
            <a:rPr lang="en-US" sz="1100"/>
            <a:t>Splitter</a:t>
          </a:r>
        </a:p>
      </xdr:txBody>
    </xdr:sp>
    <xdr:clientData/>
  </xdr:twoCellAnchor>
  <xdr:twoCellAnchor>
    <xdr:from>
      <xdr:col>13</xdr:col>
      <xdr:colOff>219076</xdr:colOff>
      <xdr:row>27</xdr:row>
      <xdr:rowOff>71438</xdr:rowOff>
    </xdr:from>
    <xdr:to>
      <xdr:col>17</xdr:col>
      <xdr:colOff>314326</xdr:colOff>
      <xdr:row>29</xdr:row>
      <xdr:rowOff>114300</xdr:rowOff>
    </xdr:to>
    <xdr:cxnSp macro="">
      <xdr:nvCxnSpPr>
        <xdr:cNvPr id="6" name="Shape 5"/>
        <xdr:cNvCxnSpPr>
          <a:stCxn id="4" idx="0"/>
          <a:endCxn id="5" idx="3"/>
        </xdr:cNvCxnSpPr>
      </xdr:nvCxnSpPr>
      <xdr:spPr>
        <a:xfrm rot="16200000" flipV="1">
          <a:off x="7631908" y="4402931"/>
          <a:ext cx="423862" cy="2047875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185739</xdr:colOff>
      <xdr:row>27</xdr:row>
      <xdr:rowOff>71437</xdr:rowOff>
    </xdr:from>
    <xdr:to>
      <xdr:col>11</xdr:col>
      <xdr:colOff>533402</xdr:colOff>
      <xdr:row>34</xdr:row>
      <xdr:rowOff>85724</xdr:rowOff>
    </xdr:to>
    <xdr:cxnSp macro="">
      <xdr:nvCxnSpPr>
        <xdr:cNvPr id="7" name="Shape 6"/>
        <xdr:cNvCxnSpPr>
          <a:stCxn id="5" idx="1"/>
          <a:endCxn id="2" idx="0"/>
        </xdr:cNvCxnSpPr>
      </xdr:nvCxnSpPr>
      <xdr:spPr>
        <a:xfrm rot="10800000" flipV="1">
          <a:off x="3348039" y="5214937"/>
          <a:ext cx="2614613" cy="1347787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36</xdr:row>
      <xdr:rowOff>147638</xdr:rowOff>
    </xdr:from>
    <xdr:to>
      <xdr:col>16</xdr:col>
      <xdr:colOff>219076</xdr:colOff>
      <xdr:row>36</xdr:row>
      <xdr:rowOff>152400</xdr:rowOff>
    </xdr:to>
    <xdr:cxnSp macro="">
      <xdr:nvCxnSpPr>
        <xdr:cNvPr id="8" name="Shape 10"/>
        <xdr:cNvCxnSpPr>
          <a:stCxn id="3" idx="3"/>
          <a:endCxn id="4" idx="1"/>
        </xdr:cNvCxnSpPr>
      </xdr:nvCxnSpPr>
      <xdr:spPr>
        <a:xfrm>
          <a:off x="7496175" y="7005638"/>
          <a:ext cx="942976" cy="476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36</xdr:row>
      <xdr:rowOff>147638</xdr:rowOff>
    </xdr:from>
    <xdr:to>
      <xdr:col>10</xdr:col>
      <xdr:colOff>0</xdr:colOff>
      <xdr:row>36</xdr:row>
      <xdr:rowOff>157163</xdr:rowOff>
    </xdr:to>
    <xdr:cxnSp macro="">
      <xdr:nvCxnSpPr>
        <xdr:cNvPr id="9" name="Shape 14"/>
        <xdr:cNvCxnSpPr>
          <a:stCxn id="2" idx="3"/>
          <a:endCxn id="3" idx="1"/>
        </xdr:cNvCxnSpPr>
      </xdr:nvCxnSpPr>
      <xdr:spPr>
        <a:xfrm flipV="1">
          <a:off x="4124325" y="7005638"/>
          <a:ext cx="1047750" cy="9525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36</xdr:row>
      <xdr:rowOff>152400</xdr:rowOff>
    </xdr:from>
    <xdr:to>
      <xdr:col>5</xdr:col>
      <xdr:colOff>180975</xdr:colOff>
      <xdr:row>36</xdr:row>
      <xdr:rowOff>157163</xdr:rowOff>
    </xdr:to>
    <xdr:cxnSp macro="">
      <xdr:nvCxnSpPr>
        <xdr:cNvPr id="10" name="Shape 17"/>
        <xdr:cNvCxnSpPr>
          <a:endCxn id="2" idx="1"/>
        </xdr:cNvCxnSpPr>
      </xdr:nvCxnSpPr>
      <xdr:spPr>
        <a:xfrm>
          <a:off x="1695450" y="7010400"/>
          <a:ext cx="876300" cy="4763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123825</xdr:rowOff>
    </xdr:from>
    <xdr:to>
      <xdr:col>12</xdr:col>
      <xdr:colOff>190503</xdr:colOff>
      <xdr:row>23</xdr:row>
      <xdr:rowOff>161925</xdr:rowOff>
    </xdr:to>
    <xdr:cxnSp macro="">
      <xdr:nvCxnSpPr>
        <xdr:cNvPr id="11" name="Shape 17"/>
        <xdr:cNvCxnSpPr>
          <a:stCxn id="5" idx="0"/>
        </xdr:cNvCxnSpPr>
      </xdr:nvCxnSpPr>
      <xdr:spPr>
        <a:xfrm rot="5400000" flipH="1" flipV="1">
          <a:off x="6181727" y="4333874"/>
          <a:ext cx="419100" cy="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314325</xdr:colOff>
      <xdr:row>44</xdr:row>
      <xdr:rowOff>1</xdr:rowOff>
    </xdr:from>
    <xdr:to>
      <xdr:col>17</xdr:col>
      <xdr:colOff>314326</xdr:colOff>
      <xdr:row>47</xdr:row>
      <xdr:rowOff>152401</xdr:rowOff>
    </xdr:to>
    <xdr:cxnSp macro="">
      <xdr:nvCxnSpPr>
        <xdr:cNvPr id="12" name="Shape 17"/>
        <xdr:cNvCxnSpPr>
          <a:stCxn id="4" idx="2"/>
        </xdr:cNvCxnSpPr>
      </xdr:nvCxnSpPr>
      <xdr:spPr>
        <a:xfrm rot="5400000">
          <a:off x="8505826" y="8743950"/>
          <a:ext cx="723900" cy="1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21</xdr:row>
      <xdr:rowOff>171450</xdr:rowOff>
    </xdr:from>
    <xdr:to>
      <xdr:col>14</xdr:col>
      <xdr:colOff>104775</xdr:colOff>
      <xdr:row>23</xdr:row>
      <xdr:rowOff>66675</xdr:rowOff>
    </xdr:to>
    <xdr:sp macro="" textlink="">
      <xdr:nvSpPr>
        <xdr:cNvPr id="13" name="Parallelogram 12"/>
        <xdr:cNvSpPr/>
      </xdr:nvSpPr>
      <xdr:spPr>
        <a:xfrm>
          <a:off x="6638925" y="4171950"/>
          <a:ext cx="828675" cy="2762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Purge 6</a:t>
          </a:r>
        </a:p>
      </xdr:txBody>
    </xdr:sp>
    <xdr:clientData/>
  </xdr:twoCellAnchor>
  <xdr:twoCellAnchor>
    <xdr:from>
      <xdr:col>14</xdr:col>
      <xdr:colOff>142875</xdr:colOff>
      <xdr:row>24</xdr:row>
      <xdr:rowOff>180975</xdr:rowOff>
    </xdr:from>
    <xdr:to>
      <xdr:col>16</xdr:col>
      <xdr:colOff>114300</xdr:colOff>
      <xdr:row>26</xdr:row>
      <xdr:rowOff>114300</xdr:rowOff>
    </xdr:to>
    <xdr:sp macro="" textlink="">
      <xdr:nvSpPr>
        <xdr:cNvPr id="14" name="Parallelogram 13"/>
        <xdr:cNvSpPr/>
      </xdr:nvSpPr>
      <xdr:spPr>
        <a:xfrm>
          <a:off x="7505700" y="475297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8</xdr:col>
      <xdr:colOff>9525</xdr:colOff>
      <xdr:row>25</xdr:row>
      <xdr:rowOff>9525</xdr:rowOff>
    </xdr:from>
    <xdr:to>
      <xdr:col>9</xdr:col>
      <xdr:colOff>504825</xdr:colOff>
      <xdr:row>26</xdr:row>
      <xdr:rowOff>133350</xdr:rowOff>
    </xdr:to>
    <xdr:sp macro="" textlink="">
      <xdr:nvSpPr>
        <xdr:cNvPr id="15" name="Parallelogram 14"/>
        <xdr:cNvSpPr/>
      </xdr:nvSpPr>
      <xdr:spPr>
        <a:xfrm>
          <a:off x="4238625" y="47720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8</xdr:col>
      <xdr:colOff>66675</xdr:colOff>
      <xdr:row>34</xdr:row>
      <xdr:rowOff>95250</xdr:rowOff>
    </xdr:from>
    <xdr:to>
      <xdr:col>9</xdr:col>
      <xdr:colOff>561975</xdr:colOff>
      <xdr:row>36</xdr:row>
      <xdr:rowOff>28575</xdr:rowOff>
    </xdr:to>
    <xdr:sp macro="" textlink="">
      <xdr:nvSpPr>
        <xdr:cNvPr id="16" name="Parallelogram 15"/>
        <xdr:cNvSpPr/>
      </xdr:nvSpPr>
      <xdr:spPr>
        <a:xfrm>
          <a:off x="4295775" y="6572250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3</xdr:col>
      <xdr:colOff>361950</xdr:colOff>
      <xdr:row>34</xdr:row>
      <xdr:rowOff>85725</xdr:rowOff>
    </xdr:from>
    <xdr:to>
      <xdr:col>4</xdr:col>
      <xdr:colOff>447675</xdr:colOff>
      <xdr:row>36</xdr:row>
      <xdr:rowOff>19050</xdr:rowOff>
    </xdr:to>
    <xdr:sp macro="" textlink="">
      <xdr:nvSpPr>
        <xdr:cNvPr id="17" name="Parallelogram 16"/>
        <xdr:cNvSpPr/>
      </xdr:nvSpPr>
      <xdr:spPr>
        <a:xfrm>
          <a:off x="154305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14</xdr:col>
      <xdr:colOff>180975</xdr:colOff>
      <xdr:row>34</xdr:row>
      <xdr:rowOff>85725</xdr:rowOff>
    </xdr:from>
    <xdr:to>
      <xdr:col>16</xdr:col>
      <xdr:colOff>152400</xdr:colOff>
      <xdr:row>36</xdr:row>
      <xdr:rowOff>19050</xdr:rowOff>
    </xdr:to>
    <xdr:sp macro="" textlink="">
      <xdr:nvSpPr>
        <xdr:cNvPr id="18" name="Parallelogram 17"/>
        <xdr:cNvSpPr/>
      </xdr:nvSpPr>
      <xdr:spPr>
        <a:xfrm>
          <a:off x="754380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15</xdr:col>
      <xdr:colOff>276225</xdr:colOff>
      <xdr:row>44</xdr:row>
      <xdr:rowOff>123825</xdr:rowOff>
    </xdr:from>
    <xdr:to>
      <xdr:col>17</xdr:col>
      <xdr:colOff>180975</xdr:colOff>
      <xdr:row>46</xdr:row>
      <xdr:rowOff>57150</xdr:rowOff>
    </xdr:to>
    <xdr:sp macro="" textlink="">
      <xdr:nvSpPr>
        <xdr:cNvPr id="19" name="Parallelogram 18"/>
        <xdr:cNvSpPr/>
      </xdr:nvSpPr>
      <xdr:spPr>
        <a:xfrm>
          <a:off x="7905750" y="85058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9</xdr:col>
      <xdr:colOff>19050</xdr:colOff>
      <xdr:row>41</xdr:row>
      <xdr:rowOff>142875</xdr:rowOff>
    </xdr:from>
    <xdr:to>
      <xdr:col>13</xdr:col>
      <xdr:colOff>476250</xdr:colOff>
      <xdr:row>44</xdr:row>
      <xdr:rowOff>19050</xdr:rowOff>
    </xdr:to>
    <xdr:sp macro="" textlink="">
      <xdr:nvSpPr>
        <xdr:cNvPr id="20" name="Rectangle 19"/>
        <xdr:cNvSpPr/>
      </xdr:nvSpPr>
      <xdr:spPr>
        <a:xfrm>
          <a:off x="4581525" y="7953375"/>
          <a:ext cx="24955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Ammonia</a:t>
          </a:r>
          <a:r>
            <a:rPr lang="en-US" sz="1100" baseline="0"/>
            <a:t> Synthesis Loop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ova8/Resolver/Resolv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terL/AppData/Roaming/Microsoft/AddIns/Reconciliation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solverReservedData"/>
      <sheetName val="Reconciliation Report 32"/>
      <sheetName val="Ammonia Reconciliation Problem"/>
      <sheetName val="Reconciliation Report 33"/>
      <sheetName val="Test1 Problem"/>
      <sheetName val="DV-IDENTITY-0"/>
      <sheetName val="Reconciliation Report 16"/>
      <sheetName val="Reconciliation Report 35"/>
      <sheetName val="Large Nonlinear Problem"/>
      <sheetName val="Reconciliation Report 31"/>
      <sheetName val="Simple Linear Problem"/>
    </sheetNames>
    <sheetDataSet>
      <sheetData sheetId="0">
        <row r="1">
          <cell r="A1" t="str">
            <v>Ammonia Reconciliation Problem</v>
          </cell>
        </row>
      </sheetData>
      <sheetData sheetId="1" refreshError="1"/>
      <sheetData sheetId="2">
        <row r="4">
          <cell r="C4">
            <v>31.696545913480669</v>
          </cell>
        </row>
      </sheetData>
      <sheetData sheetId="3" refreshError="1"/>
      <sheetData sheetId="4">
        <row r="4">
          <cell r="C4">
            <v>1004.3319428744293</v>
          </cell>
          <cell r="E4">
            <v>1004.3319428744295</v>
          </cell>
          <cell r="I4">
            <v>94.864248705441156</v>
          </cell>
        </row>
        <row r="5">
          <cell r="C5">
            <v>95.135751294558759</v>
          </cell>
          <cell r="E5">
            <v>95.135751294558702</v>
          </cell>
          <cell r="I5">
            <v>5.1357512945587125</v>
          </cell>
        </row>
        <row r="6">
          <cell r="C6">
            <v>1504.3319428744344</v>
          </cell>
          <cell r="E6">
            <v>1504.3319428744342</v>
          </cell>
          <cell r="I6">
            <v>1004.3319428744293</v>
          </cell>
        </row>
        <row r="7">
          <cell r="C7">
            <v>1504.3319428744342</v>
          </cell>
          <cell r="E7">
            <v>1504.3319428744342</v>
          </cell>
          <cell r="I7">
            <v>1504.3319428744342</v>
          </cell>
        </row>
        <row r="8">
          <cell r="C8">
            <v>-1099.4676941689881</v>
          </cell>
          <cell r="E8">
            <v>-1099.4676941689881</v>
          </cell>
          <cell r="I8">
            <v>999.46769416898803</v>
          </cell>
        </row>
        <row r="9">
          <cell r="C9">
            <v>594.86424870544613</v>
          </cell>
          <cell r="E9">
            <v>594.86424870544613</v>
          </cell>
          <cell r="I9">
            <v>95.135751294558759</v>
          </cell>
        </row>
        <row r="10">
          <cell r="I10">
            <v>1004.3319428744295</v>
          </cell>
        </row>
        <row r="11">
          <cell r="I11">
            <v>504.86424870544619</v>
          </cell>
        </row>
        <row r="12">
          <cell r="I12">
            <v>100</v>
          </cell>
        </row>
        <row r="13">
          <cell r="I13">
            <v>0</v>
          </cell>
        </row>
        <row r="14">
          <cell r="I14">
            <v>500.000000000005</v>
          </cell>
        </row>
        <row r="15">
          <cell r="I15">
            <v>89.999999999999986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0">
          <cell r="C10">
            <v>100</v>
          </cell>
          <cell r="E10">
            <v>99.999999999999872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econciliation Report 1"/>
      <sheetName val="Reconciliation Report 2"/>
      <sheetName val="ResolverReservedData"/>
      <sheetName val="Simple Linear Problem"/>
      <sheetName val="Sheet2"/>
      <sheetName val="Sheet3"/>
    </sheetNames>
    <definedNames>
      <definedName name="Gaussian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5" Type="http://schemas.openxmlformats.org/officeDocument/2006/relationships/hyperlink" Target="mailto:mass_balance@T_3" TargetMode="Externa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10"/>
  <sheetViews>
    <sheetView workbookViewId="0"/>
  </sheetViews>
  <sheetFormatPr defaultRowHeight="15"/>
  <sheetData>
    <row r="1" spans="1:2">
      <c r="A1">
        <f>'Simple Linear Problem'!A1</f>
        <v>0</v>
      </c>
      <c r="B1" t="str">
        <f>'Ammonia Reconciliation Problem'!A1</f>
        <v>Ammonia Reconciliation Problem</v>
      </c>
    </row>
    <row r="2" spans="1:2">
      <c r="A2">
        <f>$C$14</f>
        <v>0</v>
      </c>
      <c r="B2">
        <f>$B$21</f>
        <v>0</v>
      </c>
    </row>
    <row r="3" spans="1:2">
      <c r="A3" t="e">
        <f>MIN($A$7)</f>
        <v>#VALUE!</v>
      </c>
      <c r="B3" t="e">
        <f>MIN($B$10)</f>
        <v>#VALUE!</v>
      </c>
    </row>
    <row r="4" spans="1:2">
      <c r="A4">
        <f>COUNT($I$4:$I$15)</f>
        <v>0</v>
      </c>
      <c r="B4">
        <f>COUNT($C$4:$C$6,$C$8:$C$12,$G$4:$G$6,$G$8:$G$10,$K$4:$K$6,$K$8:$K$10,$O$6:$O$7)</f>
        <v>0</v>
      </c>
    </row>
    <row r="5" spans="1:2">
      <c r="A5" t="b">
        <f t="array" ref="A5">$C$4:$C$9=$E$4:$E$9</f>
        <v>1</v>
      </c>
      <c r="B5" t="b">
        <f t="array" ref="B5">$D$15:$D$19=$F$15:$F$19</f>
        <v>1</v>
      </c>
    </row>
    <row r="6" spans="1:2">
      <c r="A6">
        <f>{10,20,0.000001,5,TRUE,TRUE,TRUE,1,1,1,0.0001,TRUE,FALSE}</f>
        <v>10</v>
      </c>
      <c r="B6" t="b">
        <f t="array" ref="B6">$H$15:$H$19=$J$15:$J$19</f>
        <v>1</v>
      </c>
    </row>
    <row r="7" spans="1:2">
      <c r="A7" t="e">
        <f>Gaussian($I$4:$I$15)</f>
        <v>#VALUE!</v>
      </c>
      <c r="B7" t="b">
        <f t="array" ref="B7">$L$15:$L$19=$N$15:$N$19</f>
        <v>1</v>
      </c>
    </row>
    <row r="8" spans="1:2">
      <c r="B8" t="b">
        <f t="array" ref="B8">$P$16:$P$17=$R$16:$R$17</f>
        <v>1</v>
      </c>
    </row>
    <row r="9" spans="1:2">
      <c r="B9">
        <f>{10,100,0.000001,5,TRUE,TRUE,TRUE,1,1,1,0.0001,TRUE,FALSE}</f>
        <v>10</v>
      </c>
    </row>
    <row r="10" spans="1:2">
      <c r="B10" t="e">
        <f>[2]!Gaussian($C$4:$C$6,$C$8:$C$12,$G$4:$G$6,$G$8:$G$10,$K$4:$K$6,$K$8:$K$10,$O$6:$O$7)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N31"/>
  <sheetViews>
    <sheetView tabSelected="1" workbookViewId="0">
      <selection activeCell="E13" sqref="E13"/>
    </sheetView>
  </sheetViews>
  <sheetFormatPr defaultRowHeight="1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9" max="9" width="16.42578125" customWidth="1"/>
    <col min="10" max="10" width="8.85546875" customWidth="1"/>
    <col min="11" max="11" width="10.42578125" customWidth="1"/>
    <col min="12" max="12" width="8.140625" customWidth="1"/>
    <col min="13" max="13" width="12" bestFit="1" customWidth="1"/>
    <col min="14" max="14" width="10.5703125" customWidth="1"/>
  </cols>
  <sheetData>
    <row r="1" spans="1:14" ht="6" customHeight="1">
      <c r="A1" s="2"/>
    </row>
    <row r="2" spans="1:14" ht="18.75">
      <c r="B2" s="21" t="s">
        <v>37</v>
      </c>
      <c r="C2" s="22"/>
      <c r="D2" s="22"/>
      <c r="E2" s="22"/>
      <c r="F2" s="23"/>
      <c r="H2" s="21" t="s">
        <v>36</v>
      </c>
      <c r="I2" s="22"/>
      <c r="J2" s="22"/>
      <c r="K2" s="22"/>
      <c r="L2" s="23"/>
    </row>
    <row r="3" spans="1:14" s="2" customFormat="1">
      <c r="B3" s="9" t="s">
        <v>35</v>
      </c>
      <c r="C3" s="9" t="s">
        <v>34</v>
      </c>
      <c r="D3" s="9" t="s">
        <v>33</v>
      </c>
      <c r="E3" s="9" t="s">
        <v>32</v>
      </c>
      <c r="F3" s="9" t="s">
        <v>31</v>
      </c>
      <c r="H3" s="2" t="s">
        <v>30</v>
      </c>
      <c r="I3" s="2" t="s">
        <v>29</v>
      </c>
      <c r="J3" s="9" t="s">
        <v>28</v>
      </c>
      <c r="K3" s="9" t="s">
        <v>27</v>
      </c>
      <c r="L3" s="9" t="s">
        <v>26</v>
      </c>
    </row>
    <row r="4" spans="1:14">
      <c r="B4" s="8" t="s">
        <v>25</v>
      </c>
      <c r="C4" s="5">
        <f>abs_btm</f>
        <v>1004.4274817617007</v>
      </c>
      <c r="D4" s="7" t="s">
        <v>12</v>
      </c>
      <c r="E4" s="6">
        <f xml:space="preserve"> SUM( fat_oil+fuel_gas)</f>
        <v>1004.4274817617007</v>
      </c>
      <c r="F4" s="6" t="b">
        <f>(D_4_Feed=D_4_Product)</f>
        <v>1</v>
      </c>
      <c r="H4" s="5" t="s">
        <v>24</v>
      </c>
      <c r="I4" s="3">
        <v>94.883662505745136</v>
      </c>
      <c r="J4" s="3">
        <v>94.86424870544117</v>
      </c>
      <c r="K4" s="3"/>
      <c r="L4" s="3"/>
    </row>
    <row r="5" spans="1:14">
      <c r="B5" s="8" t="s">
        <v>23</v>
      </c>
      <c r="C5" s="5">
        <f>abs_ovhd</f>
        <v>95.116337494255234</v>
      </c>
      <c r="D5" s="7" t="s">
        <v>12</v>
      </c>
      <c r="E5" s="6">
        <f>(bypass+treat_gas)</f>
        <v>95.11633749425522</v>
      </c>
      <c r="F5" s="6" t="b">
        <f>J_4_Feed=J_4_Product</f>
        <v>1</v>
      </c>
      <c r="H5" s="5" t="s">
        <v>22</v>
      </c>
      <c r="I5" s="3">
        <v>5.1163374942552302</v>
      </c>
      <c r="J5" s="3">
        <v>5.1357512945587525</v>
      </c>
      <c r="K5" s="3"/>
      <c r="L5" s="3"/>
    </row>
    <row r="6" spans="1:14">
      <c r="B6" s="8" t="s">
        <v>21</v>
      </c>
      <c r="C6" s="6">
        <f>fat_oil+condensate</f>
        <v>1504.4274817617056</v>
      </c>
      <c r="D6" s="7" t="s">
        <v>12</v>
      </c>
      <c r="E6" s="6">
        <f>recycle</f>
        <v>1504.4274817617058</v>
      </c>
      <c r="F6" s="6" t="b">
        <f>J_6_Feed=J_6_Product</f>
        <v>1</v>
      </c>
      <c r="H6" s="5" t="s">
        <v>20</v>
      </c>
      <c r="I6" s="3">
        <v>1004.4274817617007</v>
      </c>
      <c r="J6" s="3">
        <v>1004.331942874429</v>
      </c>
      <c r="K6" s="3"/>
      <c r="L6" s="3"/>
    </row>
    <row r="7" spans="1:14">
      <c r="B7" s="8" t="s">
        <v>19</v>
      </c>
      <c r="C7" s="6">
        <f>recycle</f>
        <v>1504.4274817617058</v>
      </c>
      <c r="D7" s="7" t="s">
        <v>12</v>
      </c>
      <c r="E7" s="6">
        <f>lean_oil+sep_ovhd</f>
        <v>1504.4274817617058</v>
      </c>
      <c r="F7" s="6" t="b">
        <f>T_5_Feed=T_5_Product</f>
        <v>1</v>
      </c>
      <c r="H7" s="5" t="s">
        <v>18</v>
      </c>
      <c r="I7" s="3">
        <v>1504.4274817617058</v>
      </c>
      <c r="J7" s="3">
        <v>1504.3319428744342</v>
      </c>
      <c r="K7" s="3">
        <v>140</v>
      </c>
      <c r="L7" s="3">
        <v>1400</v>
      </c>
    </row>
    <row r="8" spans="1:14">
      <c r="B8" s="8" t="s">
        <v>17</v>
      </c>
      <c r="C8" s="6">
        <f>lean_oil+sour_gas</f>
        <v>1099.5438192559557</v>
      </c>
      <c r="D8" s="7" t="s">
        <v>12</v>
      </c>
      <c r="E8" s="6">
        <f>abs_btm+abs_ovhd</f>
        <v>1099.5438192559559</v>
      </c>
      <c r="F8" s="6" t="b">
        <f>T_3_Feed=T_3_Product</f>
        <v>1</v>
      </c>
      <c r="H8" s="5" t="s">
        <v>16</v>
      </c>
      <c r="I8" s="3">
        <v>999.54381925595578</v>
      </c>
      <c r="J8" s="3">
        <v>999.46769416898792</v>
      </c>
      <c r="K8" s="3">
        <v>10</v>
      </c>
      <c r="L8" s="3">
        <v>1000</v>
      </c>
    </row>
    <row r="9" spans="1:14">
      <c r="B9" s="8" t="s">
        <v>15</v>
      </c>
      <c r="C9" s="6">
        <f>SUM(sep_ovhd+bypass)</f>
        <v>594.88366250575007</v>
      </c>
      <c r="D9" s="7" t="s">
        <v>12</v>
      </c>
      <c r="E9" s="6">
        <f>acid_gas+condensate</f>
        <v>594.88366250575018</v>
      </c>
      <c r="F9" s="6" t="b">
        <f>D_7_Feed=D_7_Product</f>
        <v>1</v>
      </c>
      <c r="H9" s="5" t="s">
        <v>14</v>
      </c>
      <c r="I9" s="3">
        <v>95.116337494255234</v>
      </c>
      <c r="J9" s="3">
        <v>95.135751294558744</v>
      </c>
      <c r="K9" s="3"/>
      <c r="L9" s="3"/>
    </row>
    <row r="10" spans="1:14">
      <c r="B10" s="8" t="s">
        <v>13</v>
      </c>
      <c r="C10" s="6">
        <f>sour_gas</f>
        <v>99.999999999999986</v>
      </c>
      <c r="D10" s="7" t="s">
        <v>12</v>
      </c>
      <c r="E10" s="5">
        <f xml:space="preserve"> (treat_gas + (acid_gas + fuel_gas))</f>
        <v>100.00000000000037</v>
      </c>
      <c r="F10" s="6" t="b">
        <f>World_Feed=World_Product</f>
        <v>1</v>
      </c>
      <c r="H10" s="5" t="s">
        <v>11</v>
      </c>
      <c r="I10" s="3">
        <v>1004.4274817617007</v>
      </c>
      <c r="J10" s="3">
        <v>1004.3319428744288</v>
      </c>
      <c r="K10" s="3"/>
      <c r="L10" s="3"/>
    </row>
    <row r="11" spans="1:14">
      <c r="B11" s="4"/>
      <c r="H11" s="5" t="s">
        <v>10</v>
      </c>
      <c r="I11" s="3">
        <v>504.88366250575012</v>
      </c>
      <c r="J11" s="3">
        <v>504.86424870544619</v>
      </c>
      <c r="K11" s="3">
        <v>5.05</v>
      </c>
      <c r="L11" s="3">
        <v>505</v>
      </c>
    </row>
    <row r="12" spans="1:14">
      <c r="B12" s="2"/>
      <c r="H12" s="5" t="s">
        <v>9</v>
      </c>
      <c r="I12" s="3">
        <v>99.999999999999986</v>
      </c>
      <c r="J12" s="3">
        <v>99.999999999999972</v>
      </c>
      <c r="K12" s="3">
        <v>1</v>
      </c>
      <c r="L12" s="3">
        <v>100</v>
      </c>
    </row>
    <row r="13" spans="1:14" ht="18.75">
      <c r="B13" s="21" t="s">
        <v>8</v>
      </c>
      <c r="C13" s="23"/>
      <c r="H13" s="5" t="s">
        <v>7</v>
      </c>
      <c r="I13" s="3">
        <v>0</v>
      </c>
      <c r="J13" s="3">
        <v>-5.4178883601707639E-14</v>
      </c>
      <c r="K13" s="3"/>
      <c r="L13" s="3"/>
      <c r="N13" s="10"/>
    </row>
    <row r="14" spans="1:14">
      <c r="B14" s="2" t="s">
        <v>6</v>
      </c>
      <c r="C14">
        <f>MIN($C$18)</f>
        <v>0.55892112254174575</v>
      </c>
      <c r="H14" s="5" t="s">
        <v>5</v>
      </c>
      <c r="I14" s="3">
        <v>500.000000000005</v>
      </c>
      <c r="J14" s="3">
        <v>500.000000000005</v>
      </c>
      <c r="K14" s="3">
        <v>5</v>
      </c>
      <c r="L14" s="3">
        <v>500</v>
      </c>
    </row>
    <row r="15" spans="1:14">
      <c r="B15" s="2" t="s">
        <v>4</v>
      </c>
      <c r="C15">
        <f>COUNT($I$4:$I$15)</f>
        <v>12</v>
      </c>
      <c r="H15" s="5" t="s">
        <v>3</v>
      </c>
      <c r="I15" s="3">
        <v>89.999999999999986</v>
      </c>
      <c r="J15" s="3">
        <v>89.999999999999986</v>
      </c>
      <c r="K15" s="3">
        <v>0.9</v>
      </c>
      <c r="L15" s="3">
        <v>90</v>
      </c>
    </row>
    <row r="16" spans="1:14">
      <c r="B16" s="2" t="s">
        <v>2</v>
      </c>
      <c r="C16" t="b">
        <f t="array" ref="C16">$C$4:$C$9=$E$4:$E$9</f>
        <v>1</v>
      </c>
      <c r="D16" s="4"/>
      <c r="L16" s="1"/>
    </row>
    <row r="17" spans="1:11">
      <c r="B17" s="2" t="s">
        <v>1</v>
      </c>
      <c r="C17">
        <f>{10,20,0.000001,5,TRUE,TRUE,TRUE,1,1,1,0.0001,FALSE,FALSE}</f>
        <v>10</v>
      </c>
      <c r="H17" s="5"/>
    </row>
    <row r="18" spans="1:11">
      <c r="A18" s="1"/>
      <c r="B18" s="2" t="s">
        <v>0</v>
      </c>
      <c r="C18" s="1">
        <f>Gaussian($I$4:$I$15)</f>
        <v>0.55892112254174575</v>
      </c>
      <c r="E18" s="1"/>
      <c r="H18" s="5"/>
    </row>
    <row r="31" spans="1:11">
      <c r="K31" t="e">
        <f>[2]!Gaussian(K19:K29)</f>
        <v>#VALUE!</v>
      </c>
    </row>
  </sheetData>
  <mergeCells count="3">
    <mergeCell ref="B2:F2"/>
    <mergeCell ref="H2:L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R28"/>
  <sheetViews>
    <sheetView topLeftCell="A7" workbookViewId="0">
      <selection activeCell="F26" sqref="F26"/>
    </sheetView>
  </sheetViews>
  <sheetFormatPr defaultRowHeight="15"/>
  <cols>
    <col min="1" max="1" width="2.28515625" customWidth="1"/>
    <col min="2" max="2" width="10.85546875" customWidth="1"/>
    <col min="3" max="3" width="4.5703125" customWidth="1"/>
    <col min="4" max="4" width="11.140625" customWidth="1"/>
    <col min="5" max="5" width="7" bestFit="1" customWidth="1"/>
    <col min="6" max="6" width="11.5703125" customWidth="1"/>
    <col min="7" max="7" width="4.42578125" customWidth="1"/>
    <col min="8" max="8" width="11.5703125" customWidth="1"/>
    <col min="9" max="9" width="5" bestFit="1" customWidth="1"/>
    <col min="11" max="11" width="3.85546875" customWidth="1"/>
    <col min="12" max="12" width="11.5703125" customWidth="1"/>
    <col min="13" max="13" width="6" bestFit="1" customWidth="1"/>
    <col min="14" max="14" width="11.42578125" customWidth="1"/>
    <col min="15" max="15" width="4" customWidth="1"/>
    <col min="16" max="16" width="8.85546875" customWidth="1"/>
    <col min="17" max="17" width="5" bestFit="1" customWidth="1"/>
    <col min="18" max="18" width="12.42578125" customWidth="1"/>
  </cols>
  <sheetData>
    <row r="1" spans="1:18">
      <c r="A1" s="2" t="s">
        <v>38</v>
      </c>
    </row>
    <row r="2" spans="1:18">
      <c r="A2" s="11" t="s">
        <v>4</v>
      </c>
      <c r="B2" s="12"/>
      <c r="C2" s="27" t="s">
        <v>39</v>
      </c>
      <c r="D2" s="27"/>
      <c r="E2" s="27"/>
      <c r="F2" s="27"/>
      <c r="G2" s="27" t="s">
        <v>40</v>
      </c>
      <c r="H2" s="27"/>
      <c r="I2" s="27"/>
      <c r="J2" s="27"/>
      <c r="K2" s="27" t="s">
        <v>41</v>
      </c>
      <c r="L2" s="27"/>
      <c r="M2" s="27"/>
      <c r="N2" s="27"/>
      <c r="O2" s="27" t="s">
        <v>42</v>
      </c>
      <c r="P2" s="27"/>
      <c r="Q2" s="27"/>
      <c r="R2" s="27"/>
    </row>
    <row r="3" spans="1:18">
      <c r="A3" s="13"/>
      <c r="B3" s="11" t="s">
        <v>43</v>
      </c>
      <c r="C3" s="14" t="s">
        <v>44</v>
      </c>
      <c r="D3" s="14" t="s">
        <v>45</v>
      </c>
      <c r="E3" s="14" t="s">
        <v>46</v>
      </c>
      <c r="F3" s="14" t="s">
        <v>47</v>
      </c>
      <c r="G3" s="14" t="s">
        <v>44</v>
      </c>
      <c r="H3" s="14" t="s">
        <v>45</v>
      </c>
      <c r="I3" s="14" t="s">
        <v>46</v>
      </c>
      <c r="J3" s="14" t="s">
        <v>47</v>
      </c>
      <c r="K3" s="14" t="s">
        <v>44</v>
      </c>
      <c r="L3" s="14" t="s">
        <v>45</v>
      </c>
      <c r="M3" s="14" t="s">
        <v>46</v>
      </c>
      <c r="N3" s="14" t="s">
        <v>47</v>
      </c>
      <c r="O3" s="14" t="s">
        <v>44</v>
      </c>
      <c r="P3" s="14" t="s">
        <v>45</v>
      </c>
      <c r="Q3" s="14" t="s">
        <v>46</v>
      </c>
      <c r="R3" s="14" t="s">
        <v>47</v>
      </c>
    </row>
    <row r="4" spans="1:18">
      <c r="A4" s="15"/>
      <c r="B4" s="12" t="s">
        <v>48</v>
      </c>
      <c r="C4" s="12">
        <f t="array" ref="C4">D4:F4</f>
        <v>31.696545913395404</v>
      </c>
      <c r="D4" s="12">
        <v>31.696545913395404</v>
      </c>
      <c r="E4" s="12">
        <v>0.3</v>
      </c>
      <c r="F4" s="12">
        <v>33</v>
      </c>
      <c r="G4" s="12">
        <f t="array" ref="G4">H4:J4</f>
        <v>94.998950814723614</v>
      </c>
      <c r="H4" s="12">
        <v>94.998950814723614</v>
      </c>
      <c r="I4" s="12">
        <v>0.89</v>
      </c>
      <c r="J4" s="12">
        <v>89</v>
      </c>
      <c r="K4" s="12">
        <f t="array" ref="K4">L4:N4</f>
        <v>0.40117963961021685</v>
      </c>
      <c r="L4" s="12">
        <v>0.40117963961021685</v>
      </c>
      <c r="M4" s="12">
        <v>4.0000000000000001E-3</v>
      </c>
      <c r="N4" s="12">
        <v>0.4</v>
      </c>
      <c r="O4" s="12">
        <f t="array" ref="O4">P4:R4</f>
        <v>0</v>
      </c>
      <c r="P4" s="12">
        <v>0</v>
      </c>
      <c r="Q4" s="12">
        <v>0</v>
      </c>
      <c r="R4" s="12">
        <v>0</v>
      </c>
    </row>
    <row r="5" spans="1:18">
      <c r="A5" s="15"/>
      <c r="B5" s="12" t="s">
        <v>49</v>
      </c>
      <c r="C5" s="12">
        <f t="array" ref="C5">D5:F5</f>
        <v>99.948143642901172</v>
      </c>
      <c r="D5" s="12">
        <v>99.948143642901172</v>
      </c>
      <c r="E5" s="12">
        <v>1</v>
      </c>
      <c r="F5" s="12">
        <v>101</v>
      </c>
      <c r="G5" s="12">
        <f t="array" ref="G5">H5:J5</f>
        <v>295.29152562324276</v>
      </c>
      <c r="H5" s="12">
        <v>295.29152562324276</v>
      </c>
      <c r="I5" s="12"/>
      <c r="J5" s="12"/>
      <c r="K5" s="12">
        <f t="array" ref="K5">L5:N5</f>
        <v>20.141083188155672</v>
      </c>
      <c r="L5" s="12">
        <v>20.141083188155672</v>
      </c>
      <c r="M5" s="12">
        <v>0.2</v>
      </c>
      <c r="N5" s="12">
        <v>20.2</v>
      </c>
      <c r="O5" s="12">
        <f t="array" ref="O5">P5:R5</f>
        <v>0</v>
      </c>
      <c r="P5" s="12">
        <v>0</v>
      </c>
      <c r="Q5" s="12">
        <v>0</v>
      </c>
      <c r="R5" s="12">
        <v>0</v>
      </c>
    </row>
    <row r="6" spans="1:18">
      <c r="A6" s="15"/>
      <c r="B6" s="12" t="s">
        <v>50</v>
      </c>
      <c r="C6" s="12">
        <f t="array" ref="C6">D6:F6</f>
        <v>69.638694242684309</v>
      </c>
      <c r="D6" s="12">
        <v>69.638694242684309</v>
      </c>
      <c r="E6" s="12">
        <v>0.69</v>
      </c>
      <c r="F6" s="12">
        <v>69</v>
      </c>
      <c r="G6" s="12">
        <f t="array" ref="G6">H6:J6</f>
        <v>204.36317742259223</v>
      </c>
      <c r="H6" s="12">
        <v>204.36317742259223</v>
      </c>
      <c r="I6" s="12"/>
      <c r="J6" s="12"/>
      <c r="K6" s="12">
        <f t="array" ref="K6">L6:N6</f>
        <v>20.141083188155672</v>
      </c>
      <c r="L6" s="12">
        <v>20.141083188155672</v>
      </c>
      <c r="M6" s="12"/>
      <c r="N6" s="12"/>
      <c r="O6" s="12">
        <f t="array" ref="O6">P6:R6</f>
        <v>60.618898800433719</v>
      </c>
      <c r="P6" s="12">
        <v>60.618898800433719</v>
      </c>
      <c r="Q6" s="12"/>
      <c r="R6" s="12"/>
    </row>
    <row r="7" spans="1:18">
      <c r="A7" s="15"/>
      <c r="B7" s="12" t="s">
        <v>51</v>
      </c>
      <c r="C7" s="12">
        <f t="array" ref="C7">D7:F7</f>
        <v>0</v>
      </c>
      <c r="D7" s="12">
        <v>0</v>
      </c>
      <c r="E7" s="12">
        <v>0</v>
      </c>
      <c r="F7" s="12">
        <v>0</v>
      </c>
      <c r="G7" s="12">
        <f t="array" ref="G7">H7:J7</f>
        <v>0</v>
      </c>
      <c r="H7" s="12">
        <v>0</v>
      </c>
      <c r="I7" s="12">
        <v>0</v>
      </c>
      <c r="J7" s="12">
        <v>0</v>
      </c>
      <c r="K7" s="12">
        <f t="array" ref="K7">L7:N7</f>
        <v>0</v>
      </c>
      <c r="L7" s="12">
        <v>0</v>
      </c>
      <c r="M7" s="12">
        <v>0</v>
      </c>
      <c r="N7" s="12">
        <v>0</v>
      </c>
      <c r="O7" s="12">
        <f t="array" ref="O7">P7:R7</f>
        <v>60.618898800433719</v>
      </c>
      <c r="P7" s="12">
        <v>60.618898800433719</v>
      </c>
      <c r="Q7" s="12">
        <v>0.62</v>
      </c>
      <c r="R7" s="12">
        <v>62</v>
      </c>
    </row>
    <row r="8" spans="1:18">
      <c r="A8" s="15"/>
      <c r="B8" s="12" t="s">
        <v>52</v>
      </c>
      <c r="C8" s="12">
        <f t="array" ref="C8">D8:F8</f>
        <v>69.638694242684309</v>
      </c>
      <c r="D8" s="12">
        <v>69.638694242684309</v>
      </c>
      <c r="E8" s="12"/>
      <c r="F8" s="12"/>
      <c r="G8" s="12">
        <f t="array" ref="G8">H8:J8</f>
        <v>204.36317742259223</v>
      </c>
      <c r="H8" s="12">
        <v>204.36317742259223</v>
      </c>
      <c r="I8" s="12">
        <v>2.0499999999999998</v>
      </c>
      <c r="J8" s="12">
        <v>205</v>
      </c>
      <c r="K8" s="12">
        <f t="array" ref="K8">L8:N8</f>
        <v>20.141083188155672</v>
      </c>
      <c r="L8" s="12">
        <v>20.141083188155672</v>
      </c>
      <c r="M8" s="12"/>
      <c r="N8" s="12"/>
      <c r="O8" s="12">
        <f t="array" ref="O8">P8:R8</f>
        <v>0</v>
      </c>
      <c r="P8" s="12">
        <v>0</v>
      </c>
      <c r="Q8" s="12">
        <v>0</v>
      </c>
      <c r="R8" s="12">
        <v>0</v>
      </c>
    </row>
    <row r="9" spans="1:18">
      <c r="A9" s="15"/>
      <c r="B9" s="12" t="s">
        <v>53</v>
      </c>
      <c r="C9" s="12">
        <f t="array" ref="C9">D9:F9</f>
        <v>1.3870965131785356</v>
      </c>
      <c r="D9" s="12">
        <v>1.3870965131785356</v>
      </c>
      <c r="E9" s="12"/>
      <c r="F9" s="12"/>
      <c r="G9" s="12">
        <f t="array" ref="G9">H9:J9</f>
        <v>4.0706026140730422</v>
      </c>
      <c r="H9" s="12">
        <v>4.0706026140730422</v>
      </c>
      <c r="I9" s="12"/>
      <c r="J9" s="12"/>
      <c r="K9" s="12">
        <f t="array" ref="K9">L9:N9</f>
        <v>0.4011796396102193</v>
      </c>
      <c r="L9" s="12">
        <v>0.4011796396102193</v>
      </c>
      <c r="M9" s="12"/>
      <c r="N9" s="12"/>
      <c r="O9" s="12">
        <f t="array" ref="O9">P9:R9</f>
        <v>0</v>
      </c>
      <c r="P9" s="12">
        <v>0</v>
      </c>
      <c r="Q9" s="12">
        <v>0</v>
      </c>
      <c r="R9" s="12">
        <v>0</v>
      </c>
    </row>
    <row r="10" spans="1:18">
      <c r="A10" s="15"/>
      <c r="B10" s="12" t="s">
        <v>54</v>
      </c>
      <c r="C10" s="12">
        <f t="array" ref="C10">D10:F10</f>
        <v>68.251597729505761</v>
      </c>
      <c r="D10" s="12">
        <v>68.251597729505761</v>
      </c>
      <c r="E10" s="12"/>
      <c r="F10" s="12"/>
      <c r="G10" s="12">
        <f t="array" ref="G10">H10:J10</f>
        <v>200.29257480851919</v>
      </c>
      <c r="H10" s="12">
        <v>200.29257480851919</v>
      </c>
      <c r="I10" s="12"/>
      <c r="J10" s="12"/>
      <c r="K10" s="12">
        <f t="array" ref="K10">L10:N10</f>
        <v>19.739903548545456</v>
      </c>
      <c r="L10" s="12">
        <v>19.739903548545456</v>
      </c>
      <c r="M10" s="12"/>
      <c r="N10" s="12"/>
      <c r="O10" s="12">
        <f t="array" ref="O10">P10:R10</f>
        <v>0</v>
      </c>
      <c r="P10" s="12">
        <v>0</v>
      </c>
      <c r="Q10" s="12">
        <v>0</v>
      </c>
      <c r="R10" s="12">
        <v>0</v>
      </c>
    </row>
    <row r="11" spans="1:18">
      <c r="A11" s="15"/>
      <c r="B11" s="12" t="s">
        <v>55</v>
      </c>
      <c r="C11" s="12">
        <f t="array" ref="C11">D11:F11</f>
        <v>30.30944940021686</v>
      </c>
      <c r="D11" s="12">
        <v>30.30944940021686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15"/>
      <c r="B12" s="12" t="s">
        <v>56</v>
      </c>
      <c r="C12" s="12">
        <f t="array" ref="C12">D12:F12</f>
        <v>1.991847389246679E-2</v>
      </c>
      <c r="D12" s="12">
        <v>1.991847389246679E-2</v>
      </c>
      <c r="E12" s="12">
        <v>2.0000000000000001E-4</v>
      </c>
      <c r="F12" s="12">
        <v>0.02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16"/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</row>
    <row r="14" spans="1:18">
      <c r="A14" s="11" t="s">
        <v>2</v>
      </c>
      <c r="B14" s="12"/>
      <c r="C14" s="28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30"/>
    </row>
    <row r="15" spans="1:18">
      <c r="A15" s="12"/>
      <c r="B15" s="12" t="s">
        <v>57</v>
      </c>
      <c r="C15" s="24"/>
      <c r="D15" s="12">
        <f>Stream1_N+Stream7_N</f>
        <v>99.948143642901158</v>
      </c>
      <c r="E15" s="20" t="s">
        <v>12</v>
      </c>
      <c r="F15" s="12">
        <f>Stream2_N</f>
        <v>99.948143642901172</v>
      </c>
      <c r="G15" s="24"/>
      <c r="H15" s="12">
        <f>Stream1_H+Stream7_H</f>
        <v>295.29152562324282</v>
      </c>
      <c r="I15" s="20" t="s">
        <v>12</v>
      </c>
      <c r="J15" s="12">
        <f>Stream2_H</f>
        <v>295.29152562324276</v>
      </c>
      <c r="K15" s="24"/>
      <c r="L15" s="12">
        <f>Stream1_A+Stream7_A</f>
        <v>20.141083188155672</v>
      </c>
      <c r="M15" s="20" t="s">
        <v>12</v>
      </c>
      <c r="N15" s="12">
        <f>Stream2_A</f>
        <v>20.141083188155672</v>
      </c>
      <c r="O15" s="24"/>
      <c r="P15" s="12"/>
      <c r="Q15" s="20"/>
      <c r="R15" s="12"/>
    </row>
    <row r="16" spans="1:18">
      <c r="A16" s="12"/>
      <c r="B16" s="12" t="s">
        <v>58</v>
      </c>
      <c r="C16" s="25"/>
      <c r="D16" s="12">
        <f>Stream2_N</f>
        <v>99.948143642901172</v>
      </c>
      <c r="E16" s="20" t="s">
        <v>12</v>
      </c>
      <c r="F16" s="12">
        <f>Stream3_N+ReactorEff</f>
        <v>99.948143642901172</v>
      </c>
      <c r="G16" s="25"/>
      <c r="H16" s="12">
        <f>Stream2_H</f>
        <v>295.29152562324276</v>
      </c>
      <c r="I16" s="20" t="s">
        <v>12</v>
      </c>
      <c r="J16" s="12">
        <f>Stream3_H+3*ReactorEff</f>
        <v>295.29152562324282</v>
      </c>
      <c r="K16" s="25"/>
      <c r="L16" s="12">
        <f>Stream2_A</f>
        <v>20.141083188155672</v>
      </c>
      <c r="M16" s="20" t="s">
        <v>12</v>
      </c>
      <c r="N16" s="12">
        <f>Stream3_A</f>
        <v>20.141083188155672</v>
      </c>
      <c r="O16" s="25"/>
      <c r="P16" s="12">
        <v>0</v>
      </c>
      <c r="Q16" s="20" t="s">
        <v>12</v>
      </c>
      <c r="R16" s="12">
        <f>Stream3_NH-2*ReactorEff</f>
        <v>0</v>
      </c>
    </row>
    <row r="17" spans="1:18">
      <c r="A17" s="12"/>
      <c r="B17" s="12" t="s">
        <v>59</v>
      </c>
      <c r="C17" s="25"/>
      <c r="D17" s="12">
        <f>Stream3_N</f>
        <v>69.638694242684309</v>
      </c>
      <c r="E17" s="20" t="s">
        <v>12</v>
      </c>
      <c r="F17" s="12">
        <f>Stream5_N</f>
        <v>69.638694242684309</v>
      </c>
      <c r="G17" s="25"/>
      <c r="H17" s="12">
        <f>Stream3_H</f>
        <v>204.36317742259223</v>
      </c>
      <c r="I17" s="20" t="s">
        <v>12</v>
      </c>
      <c r="J17" s="12">
        <f>Stream5_H</f>
        <v>204.36317742259223</v>
      </c>
      <c r="K17" s="25"/>
      <c r="L17" s="12">
        <f>Stream3_A</f>
        <v>20.141083188155672</v>
      </c>
      <c r="M17" s="20" t="s">
        <v>12</v>
      </c>
      <c r="N17" s="12">
        <f>Stream5_A</f>
        <v>20.141083188155672</v>
      </c>
      <c r="O17" s="25"/>
      <c r="P17" s="12">
        <f>Stream3_NH</f>
        <v>60.618898800433719</v>
      </c>
      <c r="Q17" s="20" t="s">
        <v>12</v>
      </c>
      <c r="R17" s="12">
        <f>Stream4_NH</f>
        <v>60.618898800433719</v>
      </c>
    </row>
    <row r="18" spans="1:18">
      <c r="A18" s="12"/>
      <c r="B18" s="12" t="s">
        <v>60</v>
      </c>
      <c r="C18" s="25"/>
      <c r="D18" s="12">
        <f>Stream5_N</f>
        <v>69.638694242684309</v>
      </c>
      <c r="E18" s="20" t="s">
        <v>12</v>
      </c>
      <c r="F18" s="12">
        <f>Stream6_N+Stream7_N</f>
        <v>69.638694242684295</v>
      </c>
      <c r="G18" s="25"/>
      <c r="H18" s="12">
        <f>Stream5_H</f>
        <v>204.36317742259223</v>
      </c>
      <c r="I18" s="20" t="s">
        <v>12</v>
      </c>
      <c r="J18" s="12">
        <f>Stream6_H+Stream7_H</f>
        <v>204.36317742259223</v>
      </c>
      <c r="K18" s="25"/>
      <c r="L18" s="12">
        <f>Stream5_A</f>
        <v>20.141083188155672</v>
      </c>
      <c r="M18" s="20" t="s">
        <v>12</v>
      </c>
      <c r="N18" s="12">
        <f>Stream6_A+Stream7_A</f>
        <v>20.141083188155676</v>
      </c>
      <c r="O18" s="25"/>
      <c r="P18" s="12"/>
      <c r="Q18" s="20"/>
      <c r="R18" s="12"/>
    </row>
    <row r="19" spans="1:18">
      <c r="A19" s="12"/>
      <c r="B19" s="12" t="s">
        <v>61</v>
      </c>
      <c r="C19" s="26"/>
      <c r="D19" s="12">
        <f>Stream6_N</f>
        <v>1.3870965131785356</v>
      </c>
      <c r="E19" s="20" t="s">
        <v>12</v>
      </c>
      <c r="F19" s="12">
        <f>SplitterEff*Stream5_N</f>
        <v>1.3870965131783848</v>
      </c>
      <c r="G19" s="26"/>
      <c r="H19" s="12">
        <f>Stream6_H</f>
        <v>4.0706026140730422</v>
      </c>
      <c r="I19" s="20" t="s">
        <v>12</v>
      </c>
      <c r="J19" s="12">
        <f>SplitterEff*Stream5_H</f>
        <v>4.0706026140734624</v>
      </c>
      <c r="K19" s="26"/>
      <c r="L19" s="12">
        <f>Stream6_A</f>
        <v>0.4011796396102193</v>
      </c>
      <c r="M19" s="20" t="s">
        <v>12</v>
      </c>
      <c r="N19" s="12">
        <f>SplitterEff*Stream5_A</f>
        <v>0.40117963964928055</v>
      </c>
      <c r="O19" s="26"/>
      <c r="P19" s="12"/>
      <c r="Q19" s="12"/>
      <c r="R19" s="12"/>
    </row>
    <row r="21" spans="1:18">
      <c r="B21" s="10">
        <f>MIN($B$28)</f>
        <v>25.446329298368536</v>
      </c>
    </row>
    <row r="22" spans="1:18">
      <c r="B22">
        <f>COUNT($C$4:$C$6,$C$8:$C$12,$G$4:$G$6,$G$8:$G$10,$K$4:$K$6,$K$8:$K$10,$O$6:$O$7)</f>
        <v>22</v>
      </c>
    </row>
    <row r="23" spans="1:18">
      <c r="B23" t="b">
        <f t="array" ref="B23">$D$15:$D$19=$F$15:$F$19</f>
        <v>1</v>
      </c>
    </row>
    <row r="24" spans="1:18">
      <c r="B24" t="b">
        <f t="array" ref="B24">$H$15:$H$19=$J$15:$J$19</f>
        <v>1</v>
      </c>
    </row>
    <row r="25" spans="1:18">
      <c r="B25" t="b">
        <f t="array" ref="B25">$L$15:$L$19=$N$15:$N$19</f>
        <v>1</v>
      </c>
    </row>
    <row r="26" spans="1:18">
      <c r="B26" t="b">
        <f t="array" ref="B26">$P$16:$P$17=$R$16:$R$17</f>
        <v>1</v>
      </c>
    </row>
    <row r="27" spans="1:18">
      <c r="B27">
        <f>{10,100,0.000001,5,TRUE,TRUE,TRUE,1,1,1,0.0001,TRUE,FALSE}</f>
        <v>10</v>
      </c>
      <c r="N27" s="1" t="s">
        <v>62</v>
      </c>
    </row>
    <row r="28" spans="1:18">
      <c r="B28" s="10">
        <f>Gaussian($C$4:$C$6,$C$8:$C$12,$G$4:$G$6,$G$8:$G$10,$K$4:$K$6,$K$8:$K$10,$O$6:$O$7)</f>
        <v>25.446329298368536</v>
      </c>
    </row>
  </sheetData>
  <mergeCells count="9">
    <mergeCell ref="C15:C19"/>
    <mergeCell ref="G15:G19"/>
    <mergeCell ref="K15:K19"/>
    <mergeCell ref="O15:O19"/>
    <mergeCell ref="C2:F2"/>
    <mergeCell ref="G2:J2"/>
    <mergeCell ref="K2:N2"/>
    <mergeCell ref="O2:R2"/>
    <mergeCell ref="C14:R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Simple Linear Problem</vt:lpstr>
      <vt:lpstr>Ammonia Reconciliation Problem</vt:lpstr>
      <vt:lpstr>'Simple Linear Problem'!abs_btm</vt:lpstr>
      <vt:lpstr>'Simple Linear Problem'!abs_ovhd</vt:lpstr>
      <vt:lpstr>'Simple Linear Problem'!acid_gas</vt:lpstr>
      <vt:lpstr>'Simple Linear Problem'!bypass</vt:lpstr>
      <vt:lpstr>'Simple Linear Problem'!condensate</vt:lpstr>
      <vt:lpstr>'Simple Linear Problem'!D_4_Feed</vt:lpstr>
      <vt:lpstr>'Simple Linear Problem'!D_4_Product</vt:lpstr>
      <vt:lpstr>'Simple Linear Problem'!D_7_Feed</vt:lpstr>
      <vt:lpstr>'Simple Linear Problem'!D_7_Product</vt:lpstr>
      <vt:lpstr>'Simple Linear Problem'!fat_oil</vt:lpstr>
      <vt:lpstr>'Simple Linear Problem'!fuel_gas</vt:lpstr>
      <vt:lpstr>'Simple Linear Problem'!J_4_Feed</vt:lpstr>
      <vt:lpstr>'Simple Linear Problem'!J_4_Product</vt:lpstr>
      <vt:lpstr>'Simple Linear Problem'!J_6_Feed</vt:lpstr>
      <vt:lpstr>'Simple Linear Problem'!J_6_Product</vt:lpstr>
      <vt:lpstr>'Simple Linear Problem'!lean_oil</vt:lpstr>
      <vt:lpstr>ReactorEff</vt:lpstr>
      <vt:lpstr>'Simple Linear Problem'!recycle</vt:lpstr>
      <vt:lpstr>'Simple Linear Problem'!sep_ovhd</vt:lpstr>
      <vt:lpstr>'Simple Linear Problem'!sour_gas</vt:lpstr>
      <vt:lpstr>SplitterEff</vt:lpstr>
      <vt:lpstr>Stream1_A</vt:lpstr>
      <vt:lpstr>Stream1_H</vt:lpstr>
      <vt:lpstr>Stream1_N</vt:lpstr>
      <vt:lpstr>Stream1_NH</vt:lpstr>
      <vt:lpstr>Stream2_A</vt:lpstr>
      <vt:lpstr>Stream2_H</vt:lpstr>
      <vt:lpstr>Stream2_N</vt:lpstr>
      <vt:lpstr>Stream2_NH</vt:lpstr>
      <vt:lpstr>Stream3_A</vt:lpstr>
      <vt:lpstr>Stream3_H</vt:lpstr>
      <vt:lpstr>Stream3_N</vt:lpstr>
      <vt:lpstr>Stream3_NH</vt:lpstr>
      <vt:lpstr>Stream4_A</vt:lpstr>
      <vt:lpstr>Stream4_H</vt:lpstr>
      <vt:lpstr>Stream4_N</vt:lpstr>
      <vt:lpstr>Stream4_NH</vt:lpstr>
      <vt:lpstr>Stream5_A</vt:lpstr>
      <vt:lpstr>Stream5_H</vt:lpstr>
      <vt:lpstr>Stream5_N</vt:lpstr>
      <vt:lpstr>Stream5_NH</vt:lpstr>
      <vt:lpstr>Stream6_A</vt:lpstr>
      <vt:lpstr>Stream6_H</vt:lpstr>
      <vt:lpstr>Stream6_N</vt:lpstr>
      <vt:lpstr>Stream6_NH</vt:lpstr>
      <vt:lpstr>Stream7_A</vt:lpstr>
      <vt:lpstr>Stream7_H</vt:lpstr>
      <vt:lpstr>Stream7_N</vt:lpstr>
      <vt:lpstr>Stream7_NH</vt:lpstr>
      <vt:lpstr>'Simple Linear Problem'!T_3_Feed</vt:lpstr>
      <vt:lpstr>'Simple Linear Problem'!T_3_Product</vt:lpstr>
      <vt:lpstr>'Simple Linear Problem'!T_5_Feed</vt:lpstr>
      <vt:lpstr>'Simple Linear Problem'!T_5_Product</vt:lpstr>
      <vt:lpstr>testrange</vt:lpstr>
      <vt:lpstr>'Simple Linear Problem'!treat_gas</vt:lpstr>
      <vt:lpstr>World_Feed</vt:lpstr>
      <vt:lpstr>World_Product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PeterL</cp:lastModifiedBy>
  <dcterms:created xsi:type="dcterms:W3CDTF">2012-02-07T17:06:21Z</dcterms:created>
  <dcterms:modified xsi:type="dcterms:W3CDTF">2012-02-17T20:12:38Z</dcterms:modified>
</cp:coreProperties>
</file>