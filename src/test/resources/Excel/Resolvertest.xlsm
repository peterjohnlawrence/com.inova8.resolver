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35" windowWidth="21075" windowHeight="9270"/>
  </bookViews>
  <sheets>
    <sheet name="TestProblem" sheetId="1" r:id="rId1"/>
  </sheets>
  <definedNames>
    <definedName name="CCLASStreamConcThickenerFeedStream_Ag" localSheetId="0">TestProblem!$C$320</definedName>
    <definedName name="CCLASStreamConcThickenerFeedStream_Au" localSheetId="0">TestProblem!$C$319</definedName>
    <definedName name="CCLASStreamConcThickenerFeedStream_Cu" localSheetId="0">TestProblem!$C$317</definedName>
    <definedName name="CCLASStreamConcThickenerFeedStream_F" localSheetId="0">TestProblem!$C$323</definedName>
    <definedName name="CCLASStreamConcThickenerFeedStream_Fe" localSheetId="0">TestProblem!$C$318</definedName>
    <definedName name="CCLASStreamConcThickenerFeedStream_Mass" localSheetId="0">TestProblem!$C$316</definedName>
    <definedName name="CCLASStreamConcThickenerFeedStream_S" localSheetId="0">TestProblem!$C$321</definedName>
    <definedName name="CCLASStreamConcThickenerFeedStream_U" localSheetId="0">TestProblem!$C$322</definedName>
    <definedName name="CCLASStreamFlotationTailsStream_Ag" localSheetId="0">TestProblem!$C$328</definedName>
    <definedName name="CCLASStreamFlotationTailsStream_Au" localSheetId="0">TestProblem!$C$327</definedName>
    <definedName name="CCLASStreamFlotationTailsStream_Cu" localSheetId="0">TestProblem!$C$325</definedName>
    <definedName name="CCLASStreamFlotationTailsStream_F" localSheetId="0">TestProblem!$C$331</definedName>
    <definedName name="CCLASStreamFlotationTailsStream_Fe" localSheetId="0">TestProblem!$C$326</definedName>
    <definedName name="CCLASStreamFlotationTailsStream_Mass" localSheetId="0">TestProblem!$C$324</definedName>
    <definedName name="CCLASStreamFlotationTailsStream_S" localSheetId="0">TestProblem!$C$329</definedName>
    <definedName name="CCLASStreamFlotationTailsStream_U" localSheetId="0">TestProblem!$C$330</definedName>
    <definedName name="CCLASStreamRougherFeedStream_Ag" localSheetId="0">TestProblem!$C$336</definedName>
    <definedName name="CCLASStreamRougherFeedStream_Au" localSheetId="0">TestProblem!$C$335</definedName>
    <definedName name="CCLASStreamRougherFeedStream_Cu" localSheetId="0">TestProblem!$C$333</definedName>
    <definedName name="CCLASStreamRougherFeedStream_F" localSheetId="0">TestProblem!$C$339</definedName>
    <definedName name="CCLASStreamRougherFeedStream_Fe" localSheetId="0">TestProblem!$C$334</definedName>
    <definedName name="CCLASStreamRougherFeedStream_Mass" localSheetId="0">TestProblem!$C$332</definedName>
    <definedName name="CCLASStreamRougherFeedStream_S" localSheetId="0">TestProblem!$C$337</definedName>
    <definedName name="CCLASStreamRougherFeedStream_U" localSheetId="0">TestProblem!$C$338</definedName>
    <definedName name="ConcStorageTank1_close_Ag" localSheetId="0">TestProblem!$C$348</definedName>
    <definedName name="ConcStorageTank1_close_Au" localSheetId="0">TestProblem!$C$346</definedName>
    <definedName name="ConcStorageTank1_close_Cu" localSheetId="0">TestProblem!$C$342</definedName>
    <definedName name="ConcStorageTank1_close_F" localSheetId="0">TestProblem!$C$354</definedName>
    <definedName name="ConcStorageTank1_close_Fe" localSheetId="0">TestProblem!$C$344</definedName>
    <definedName name="ConcStorageTank1_close_Mass" localSheetId="0">TestProblem!$C$340</definedName>
    <definedName name="ConcStorageTank1_close_S" localSheetId="0">TestProblem!$C$350</definedName>
    <definedName name="ConcStorageTank1_close_U" localSheetId="0">TestProblem!$C$352</definedName>
    <definedName name="ConcStorageTank1_open_Ag" localSheetId="0">TestProblem!$C$349</definedName>
    <definedName name="ConcStorageTank1_open_Au" localSheetId="0">TestProblem!$C$347</definedName>
    <definedName name="ConcStorageTank1_open_Cu" localSheetId="0">TestProblem!$C$343</definedName>
    <definedName name="ConcStorageTank1_open_F" localSheetId="0">TestProblem!$C$355</definedName>
    <definedName name="ConcStorageTank1_open_Fe" localSheetId="0">TestProblem!$C$345</definedName>
    <definedName name="ConcStorageTank1_open_Mass" localSheetId="0">TestProblem!$C$341</definedName>
    <definedName name="ConcStorageTank1_open_S" localSheetId="0">TestProblem!$C$351</definedName>
    <definedName name="ConcStorageTank1_open_U" localSheetId="0">TestProblem!$C$353</definedName>
    <definedName name="ConcStorageTank1FeedStream_Ag" localSheetId="0">TestProblem!$C$360</definedName>
    <definedName name="ConcStorageTank1FeedStream_Au" localSheetId="0">TestProblem!$C$359</definedName>
    <definedName name="ConcStorageTank1FeedStream_Cu" localSheetId="0">TestProblem!$C$357</definedName>
    <definedName name="ConcStorageTank1FeedStream_F" localSheetId="0">TestProblem!$C$363</definedName>
    <definedName name="ConcStorageTank1FeedStream_Fe" localSheetId="0">TestProblem!$C$358</definedName>
    <definedName name="ConcStorageTank1FeedStream_Mass" localSheetId="0">TestProblem!$C$356</definedName>
    <definedName name="ConcStorageTank1FeedStream_S" localSheetId="0">TestProblem!$C$361</definedName>
    <definedName name="ConcStorageTank1FeedStream_U" localSheetId="0">TestProblem!$C$362</definedName>
    <definedName name="ConcStorageTank1UnderflowStream_Ag" localSheetId="0">TestProblem!$C$368</definedName>
    <definedName name="ConcStorageTank1UnderflowStream_Au" localSheetId="0">TestProblem!$C$367</definedName>
    <definedName name="ConcStorageTank1UnderflowStream_Cu" localSheetId="0">TestProblem!$C$365</definedName>
    <definedName name="ConcStorageTank1UnderflowStream_F" localSheetId="0">TestProblem!$C$371</definedName>
    <definedName name="ConcStorageTank1UnderflowStream_Fe" localSheetId="0">TestProblem!$C$366</definedName>
    <definedName name="ConcStorageTank1UnderflowStream_Mass" localSheetId="0">TestProblem!$C$364</definedName>
    <definedName name="ConcStorageTank1UnderflowStream_S" localSheetId="0">TestProblem!$C$369</definedName>
    <definedName name="ConcStorageTank1UnderflowStream_U" localSheetId="0">TestProblem!$C$370</definedName>
    <definedName name="ConcStorageTank2_close_Ag" localSheetId="0">TestProblem!$C$380</definedName>
    <definedName name="ConcStorageTank2_close_Au" localSheetId="0">TestProblem!$C$378</definedName>
    <definedName name="ConcStorageTank2_close_Cu" localSheetId="0">TestProblem!$C$374</definedName>
    <definedName name="ConcStorageTank2_close_F" localSheetId="0">TestProblem!$C$386</definedName>
    <definedName name="ConcStorageTank2_close_Fe" localSheetId="0">TestProblem!$C$376</definedName>
    <definedName name="ConcStorageTank2_close_Mass" localSheetId="0">TestProblem!$C$372</definedName>
    <definedName name="ConcStorageTank2_close_S" localSheetId="0">TestProblem!$C$382</definedName>
    <definedName name="ConcStorageTank2_close_U" localSheetId="0">TestProblem!$C$384</definedName>
    <definedName name="ConcStorageTank2_open_Ag" localSheetId="0">TestProblem!$C$381</definedName>
    <definedName name="ConcStorageTank2_open_Au" localSheetId="0">TestProblem!$C$379</definedName>
    <definedName name="ConcStorageTank2_open_Cu" localSheetId="0">TestProblem!$C$375</definedName>
    <definedName name="ConcStorageTank2_open_F" localSheetId="0">TestProblem!$C$387</definedName>
    <definedName name="ConcStorageTank2_open_Fe" localSheetId="0">TestProblem!$C$377</definedName>
    <definedName name="ConcStorageTank2_open_Mass" localSheetId="0">TestProblem!$C$373</definedName>
    <definedName name="ConcStorageTank2_open_S" localSheetId="0">TestProblem!$C$383</definedName>
    <definedName name="ConcStorageTank2_open_U" localSheetId="0">TestProblem!$C$385</definedName>
    <definedName name="ConcStorageTank2FeedStream_Ag" localSheetId="0">TestProblem!$C$392</definedName>
    <definedName name="ConcStorageTank2FeedStream_Au" localSheetId="0">TestProblem!$C$391</definedName>
    <definedName name="ConcStorageTank2FeedStream_Cu" localSheetId="0">TestProblem!$C$389</definedName>
    <definedName name="ConcStorageTank2FeedStream_F" localSheetId="0">TestProblem!$C$395</definedName>
    <definedName name="ConcStorageTank2FeedStream_Fe" localSheetId="0">TestProblem!$C$390</definedName>
    <definedName name="ConcStorageTank2FeedStream_Mass" localSheetId="0">TestProblem!$C$388</definedName>
    <definedName name="ConcStorageTank2FeedStream_S" localSheetId="0">TestProblem!$C$393</definedName>
    <definedName name="ConcStorageTank2FeedStream_U" localSheetId="0">TestProblem!$C$394</definedName>
    <definedName name="ConcStorageTank2UnderflowStream_Ag" localSheetId="0">TestProblem!$C$400</definedName>
    <definedName name="ConcStorageTank2UnderflowStream_Au" localSheetId="0">TestProblem!$C$399</definedName>
    <definedName name="ConcStorageTank2UnderflowStream_Cu" localSheetId="0">TestProblem!$C$397</definedName>
    <definedName name="ConcStorageTank2UnderflowStream_F" localSheetId="0">TestProblem!$C$403</definedName>
    <definedName name="ConcStorageTank2UnderflowStream_Fe" localSheetId="0">TestProblem!$C$398</definedName>
    <definedName name="ConcStorageTank2UnderflowStream_Mass" localSheetId="0">TestProblem!$C$396</definedName>
    <definedName name="ConcStorageTank2UnderflowStream_S" localSheetId="0">TestProblem!$C$401</definedName>
    <definedName name="ConcStorageTank2UnderflowStream_U" localSheetId="0">TestProblem!$C$402</definedName>
    <definedName name="ConcThickener_close_Ag" localSheetId="0">TestProblem!$C$412</definedName>
    <definedName name="ConcThickener_close_Au" localSheetId="0">TestProblem!$C$410</definedName>
    <definedName name="ConcThickener_close_Cu" localSheetId="0">TestProblem!$C$406</definedName>
    <definedName name="ConcThickener_close_F" localSheetId="0">TestProblem!$C$418</definedName>
    <definedName name="ConcThickener_close_Fe" localSheetId="0">TestProblem!$C$408</definedName>
    <definedName name="ConcThickener_close_Mass" localSheetId="0">TestProblem!$C$404</definedName>
    <definedName name="ConcThickener_close_S" localSheetId="0">TestProblem!$C$414</definedName>
    <definedName name="ConcThickener_close_U" localSheetId="0">TestProblem!$C$416</definedName>
    <definedName name="ConcThickener_open_Ag" localSheetId="0">TestProblem!$C$413</definedName>
    <definedName name="ConcThickener_open_Au" localSheetId="0">TestProblem!$C$411</definedName>
    <definedName name="ConcThickener_open_Cu" localSheetId="0">TestProblem!$C$407</definedName>
    <definedName name="ConcThickener_open_F" localSheetId="0">TestProblem!$C$419</definedName>
    <definedName name="ConcThickener_open_Fe" localSheetId="0">TestProblem!$C$409</definedName>
    <definedName name="ConcThickener_open_Mass" localSheetId="0">TestProblem!$C$405</definedName>
    <definedName name="ConcThickener_open_S" localSheetId="0">TestProblem!$C$415</definedName>
    <definedName name="ConcThickener_open_U" localSheetId="0">TestProblem!$C$417</definedName>
    <definedName name="ConcThickenerUnderflowStream_Ag" localSheetId="0">TestProblem!$C$424</definedName>
    <definedName name="ConcThickenerUnderflowStream_Au" localSheetId="0">TestProblem!$C$423</definedName>
    <definedName name="ConcThickenerUnderflowStream_Cu" localSheetId="0">TestProblem!$C$421</definedName>
    <definedName name="ConcThickenerUnderflowStream_F" localSheetId="0">TestProblem!$C$427</definedName>
    <definedName name="ConcThickenerUnderflowStream_Fe" localSheetId="0">TestProblem!$C$422</definedName>
    <definedName name="ConcThickenerUnderflowStream_Mass" localSheetId="0">TestProblem!$C$420</definedName>
    <definedName name="ConcThickenerUnderflowStream_S" localSheetId="0">TestProblem!$C$425</definedName>
    <definedName name="ConcThickenerUnderflowStream_U" localSheetId="0">TestProblem!$C$426</definedName>
    <definedName name="CrushedOreStream_Ag" localSheetId="0">TestProblem!$C$513</definedName>
    <definedName name="CrushedOreStream_Au" localSheetId="0">TestProblem!$C$512</definedName>
    <definedName name="CrushedOreStream_Cu" localSheetId="0">TestProblem!$C$510</definedName>
    <definedName name="CrushedOreStream_F" localSheetId="0">TestProblem!$C$516</definedName>
    <definedName name="CrushedOreStream_Fe" localSheetId="0">TestProblem!$C$511</definedName>
    <definedName name="CrushedOreStream_S" localSheetId="0">TestProblem!$C$514</definedName>
    <definedName name="CrushedOreStream_U" localSheetId="0">TestProblem!$C$515</definedName>
    <definedName name="OSAStreamConcThickenerFeedStream_Ag" localSheetId="0">TestProblem!$C$432</definedName>
    <definedName name="OSAStreamConcThickenerFeedStream_Au" localSheetId="0">TestProblem!$C$431</definedName>
    <definedName name="OSAStreamConcThickenerFeedStream_Cu" localSheetId="0">TestProblem!$C$429</definedName>
    <definedName name="OSAStreamConcThickenerFeedStream_F" localSheetId="0">TestProblem!$C$435</definedName>
    <definedName name="OSAStreamConcThickenerFeedStream_Fe" localSheetId="0">TestProblem!$C$430</definedName>
    <definedName name="OSAStreamConcThickenerFeedStream_Mass" localSheetId="0">TestProblem!$C$428</definedName>
    <definedName name="OSAStreamConcThickenerFeedStream_S" localSheetId="0">TestProblem!$C$433</definedName>
    <definedName name="OSAStreamConcThickenerFeedStream_U" localSheetId="0">TestProblem!$C$434</definedName>
    <definedName name="OSAStreamFlotationTailsStream_Ag" localSheetId="0">TestProblem!$C$440</definedName>
    <definedName name="OSAStreamFlotationTailsStream_Au" localSheetId="0">TestProblem!$C$439</definedName>
    <definedName name="OSAStreamFlotationTailsStream_Cu" localSheetId="0">TestProblem!$C$437</definedName>
    <definedName name="OSAStreamFlotationTailsStream_F" localSheetId="0">TestProblem!$C$443</definedName>
    <definedName name="OSAStreamFlotationTailsStream_Fe" localSheetId="0">TestProblem!$C$438</definedName>
    <definedName name="OSAStreamFlotationTailsStream_Mass" localSheetId="0">TestProblem!$C$436</definedName>
    <definedName name="OSAStreamFlotationTailsStream_S" localSheetId="0">TestProblem!$C$441</definedName>
    <definedName name="OSAStreamFlotationTailsStream_U" localSheetId="0">TestProblem!$C$442</definedName>
    <definedName name="OSAStreamRougherFeedStream_Ag" localSheetId="0">TestProblem!$C$448</definedName>
    <definedName name="OSAStreamRougherFeedStream_Au" localSheetId="0">TestProblem!$C$447</definedName>
    <definedName name="OSAStreamRougherFeedStream_Cu" localSheetId="0">TestProblem!$C$445</definedName>
    <definedName name="OSAStreamRougherFeedStream_F" localSheetId="0">TestProblem!$C$451</definedName>
    <definedName name="OSAStreamRougherFeedStream_Fe" localSheetId="0">TestProblem!$C$446</definedName>
    <definedName name="OSAStreamRougherFeedStream_Mass" localSheetId="0">TestProblem!$C$444</definedName>
    <definedName name="OSAStreamRougherFeedStream_S" localSheetId="0">TestProblem!$C$449</definedName>
    <definedName name="OSAStreamRougherFeedStream_U" localSheetId="0">TestProblem!$C$450</definedName>
    <definedName name="PressureFilterFeedStream_Ag" localSheetId="0">TestProblem!$C$456</definedName>
    <definedName name="PressureFilterFeedStream_Au" localSheetId="0">TestProblem!$C$455</definedName>
    <definedName name="PressureFilterFeedStream_Cu" localSheetId="0">TestProblem!$C$453</definedName>
    <definedName name="PressureFilterFeedStream_F" localSheetId="0">TestProblem!$C$459</definedName>
    <definedName name="PressureFilterFeedStream_Fe" localSheetId="0">TestProblem!$C$454</definedName>
    <definedName name="PressureFilterFeedStream_Mass" localSheetId="0">TestProblem!$C$452</definedName>
    <definedName name="PressureFilterFeedStream_S" localSheetId="0">TestProblem!$C$457</definedName>
    <definedName name="PressureFilterFeedStream_U" localSheetId="0">TestProblem!$C$458</definedName>
    <definedName name="PressureFilterUnderflowStream_Ag" localSheetId="0">TestProblem!$C$464</definedName>
    <definedName name="PressureFilterUnderflowStream_Au" localSheetId="0">TestProblem!$C$463</definedName>
    <definedName name="PressureFilterUnderflowStream_Cu" localSheetId="0">TestProblem!$C$461</definedName>
    <definedName name="PressureFilterUnderflowStream_F" localSheetId="0">TestProblem!$C$467</definedName>
    <definedName name="PressureFilterUnderflowStream_Fe" localSheetId="0">TestProblem!$C$462</definedName>
    <definedName name="PressureFilterUnderflowStream_Mass" localSheetId="0">TestProblem!$C$460</definedName>
    <definedName name="PressureFilterUnderflowStream_S" localSheetId="0">TestProblem!$C$465</definedName>
    <definedName name="PressureFilterUnderflowStream_U" localSheetId="0">TestProblem!$C$466</definedName>
    <definedName name="SAGMillFeedStream_Ag" localSheetId="0">TestProblem!$C$472</definedName>
    <definedName name="SAGMillFeedStream_Au" localSheetId="0">TestProblem!$C$471</definedName>
    <definedName name="SAGMillFeedStream_Cu" localSheetId="0">TestProblem!$C$469</definedName>
    <definedName name="SAGMillFeedStream_F" localSheetId="0">TestProblem!$C$475</definedName>
    <definedName name="SAGMillFeedStream_Fe" localSheetId="0">TestProblem!$C$470</definedName>
    <definedName name="SAGMillFeedStream_Mass" localSheetId="0">TestProblem!$C$468</definedName>
    <definedName name="SAGMillFeedStream_S" localSheetId="0">TestProblem!$C$473</definedName>
    <definedName name="SAGMillFeedStream_U" localSheetId="0">TestProblem!$C$474</definedName>
    <definedName name="SpillageReturnStream_Ag" localSheetId="0">TestProblem!$C$480</definedName>
    <definedName name="SpillageReturnStream_Au" localSheetId="0">TestProblem!$C$479</definedName>
    <definedName name="SpillageReturnStream_Cu" localSheetId="0">TestProblem!$C$477</definedName>
    <definedName name="SpillageReturnStream_F" localSheetId="0">TestProblem!$C$483</definedName>
    <definedName name="SpillageReturnStream_Fe" localSheetId="0">TestProblem!$C$478</definedName>
    <definedName name="SpillageReturnStream_Mass" localSheetId="0">TestProblem!$C$476</definedName>
    <definedName name="SpillageReturnStream_S" localSheetId="0">TestProblem!$C$481</definedName>
    <definedName name="SpillageReturnStream_U" localSheetId="0">TestProblem!$C$482</definedName>
    <definedName name="TailsThickenerUnderflowStream_Ag" localSheetId="0">TestProblem!$C$488</definedName>
    <definedName name="TailsThickenerUnderflowStream_Au" localSheetId="0">TestProblem!$C$487</definedName>
    <definedName name="TailsThickenerUnderflowStream_Cu" localSheetId="0">TestProblem!$C$485</definedName>
    <definedName name="TailsThickenerUnderflowStream_F" localSheetId="0">TestProblem!$C$491</definedName>
    <definedName name="TailsThickenerUnderflowStream_Fe" localSheetId="0">TestProblem!$C$486</definedName>
    <definedName name="TailsThickenerUnderflowStream_Mass" localSheetId="0">TestProblem!$C$484</definedName>
    <definedName name="TailsThickenerUnderflowStream_S" localSheetId="0">TestProblem!$C$489</definedName>
    <definedName name="TailsThickenerUnderflowStream_U" localSheetId="0">TestProblem!$C$490</definedName>
    <definedName name="TailsThickening_close_Ag" localSheetId="0">TestProblem!$C$500</definedName>
    <definedName name="TailsThickening_close_Au" localSheetId="0">TestProblem!$C$498</definedName>
    <definedName name="TailsThickening_close_Cu" localSheetId="0">TestProblem!$C$494</definedName>
    <definedName name="TailsThickening_close_F" localSheetId="0">TestProblem!$C$506</definedName>
    <definedName name="TailsThickening_close_Fe" localSheetId="0">TestProblem!$C$496</definedName>
    <definedName name="TailsThickening_close_Mass" localSheetId="0">TestProblem!$C$492</definedName>
    <definedName name="TailsThickening_close_S" localSheetId="0">TestProblem!$C$502</definedName>
    <definedName name="TailsThickening_close_U" localSheetId="0">TestProblem!$C$504</definedName>
    <definedName name="TailsThickening_open_Ag" localSheetId="0">TestProblem!$C$501</definedName>
    <definedName name="TailsThickening_open_Au" localSheetId="0">TestProblem!$C$499</definedName>
    <definedName name="TailsThickening_open_Cu" localSheetId="0">TestProblem!$C$495</definedName>
    <definedName name="TailsThickening_open_F" localSheetId="0">TestProblem!$C$507</definedName>
    <definedName name="TailsThickening_open_Fe" localSheetId="0">TestProblem!$C$497</definedName>
    <definedName name="TailsThickening_open_Mass" localSheetId="0">TestProblem!$C$493</definedName>
    <definedName name="TailsThickening_open_S" localSheetId="0">TestProblem!$C$503</definedName>
    <definedName name="TailsThickening_open_U" localSheetId="0">TestProblem!$C$505</definedName>
  </definedNames>
  <calcPr calcId="125725"/>
</workbook>
</file>

<file path=xl/calcChain.xml><?xml version="1.0" encoding="utf-8"?>
<calcChain xmlns="http://schemas.openxmlformats.org/spreadsheetml/2006/main">
  <c r="I195" i="1"/>
  <c r="I196"/>
  <c r="I197"/>
  <c r="I198"/>
  <c r="I199"/>
  <c r="I200"/>
  <c r="I201"/>
  <c r="C197"/>
  <c r="C196"/>
  <c r="C516" a="1"/>
  <c r="C516" s="1"/>
  <c r="C515"/>
  <c r="C200" s="1"/>
  <c r="C515" a="1"/>
  <c r="C514" a="1"/>
  <c r="C514" s="1"/>
  <c r="C199" s="1"/>
  <c r="C513" a="1"/>
  <c r="C513" s="1"/>
  <c r="C198" s="1"/>
  <c r="C512" a="1"/>
  <c r="C512" s="1"/>
  <c r="C511"/>
  <c r="C511" a="1"/>
  <c r="C510" a="1"/>
  <c r="C510" s="1"/>
  <c r="C195" s="1"/>
  <c r="C15"/>
  <c r="E96"/>
  <c r="E88"/>
  <c r="E80"/>
  <c r="E72"/>
  <c r="E64"/>
  <c r="E60"/>
  <c r="E56"/>
  <c r="E48"/>
  <c r="E44"/>
  <c r="E40"/>
  <c r="E36"/>
  <c r="E32"/>
  <c r="E24"/>
  <c r="E16"/>
  <c r="E8"/>
  <c r="C5"/>
  <c r="C7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0"/>
  <c r="C49"/>
  <c r="C48"/>
  <c r="C47"/>
  <c r="C46"/>
  <c r="C45"/>
  <c r="C44"/>
  <c r="C43"/>
  <c r="C42"/>
  <c r="C41"/>
  <c r="C40"/>
  <c r="C39"/>
  <c r="C38"/>
  <c r="C37"/>
  <c r="C36"/>
  <c r="C35"/>
  <c r="C33"/>
  <c r="C25"/>
  <c r="C17"/>
  <c r="C16"/>
  <c r="C14"/>
  <c r="C13"/>
  <c r="C12"/>
  <c r="C11"/>
  <c r="C10"/>
  <c r="C9"/>
  <c r="C8"/>
  <c r="C6"/>
  <c r="C4"/>
  <c r="C3"/>
  <c r="C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2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3"/>
  <c r="H4"/>
  <c r="H2"/>
  <c r="C108"/>
  <c r="C133"/>
  <c r="C128"/>
  <c r="C124"/>
  <c r="C119"/>
  <c r="C115"/>
  <c r="C112"/>
  <c r="C103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C310"/>
  <c r="C308"/>
  <c r="C305"/>
  <c r="C304"/>
  <c r="C300"/>
  <c r="C296"/>
  <c r="C294"/>
  <c r="C291"/>
  <c r="C290"/>
  <c r="C287"/>
  <c r="C286"/>
  <c r="C282"/>
  <c r="C277"/>
  <c r="C273"/>
  <c r="C270"/>
  <c r="C269"/>
  <c r="C266"/>
  <c r="C265"/>
  <c r="C262"/>
  <c r="C258"/>
  <c r="C254"/>
  <c r="C249"/>
  <c r="C245"/>
  <c r="C242"/>
  <c r="C241"/>
  <c r="C238"/>
  <c r="C237"/>
  <c r="C234"/>
  <c r="C230"/>
  <c r="C226"/>
  <c r="C221"/>
  <c r="C217"/>
  <c r="C214"/>
  <c r="C213"/>
  <c r="C210"/>
  <c r="C209"/>
  <c r="C206"/>
  <c r="C201"/>
  <c r="C191"/>
  <c r="C186"/>
  <c r="C182"/>
  <c r="C177"/>
  <c r="C172"/>
  <c r="C168"/>
  <c r="C164"/>
  <c r="C155"/>
  <c r="C143"/>
  <c r="C160"/>
  <c r="C157"/>
  <c r="C150"/>
  <c r="C145"/>
  <c r="C140"/>
  <c r="C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139"/>
  <c r="I308"/>
  <c r="I309"/>
  <c r="I310"/>
  <c r="I311"/>
  <c r="I312"/>
  <c r="I313"/>
  <c r="I307"/>
  <c r="F2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00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00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139"/>
  <c r="H317"/>
  <c r="J317" s="1"/>
  <c r="H318"/>
  <c r="J318" s="1"/>
  <c r="H319"/>
  <c r="J319" s="1"/>
  <c r="H320"/>
  <c r="I320" s="1"/>
  <c r="H321"/>
  <c r="J321" s="1"/>
  <c r="H322"/>
  <c r="J322" s="1"/>
  <c r="H323"/>
  <c r="J323" s="1"/>
  <c r="H324"/>
  <c r="I324" s="1"/>
  <c r="H325"/>
  <c r="J325" s="1"/>
  <c r="H326"/>
  <c r="J326" s="1"/>
  <c r="H327"/>
  <c r="J327" s="1"/>
  <c r="H328"/>
  <c r="J328" s="1"/>
  <c r="H329"/>
  <c r="J329" s="1"/>
  <c r="H330"/>
  <c r="J330" s="1"/>
  <c r="H331"/>
  <c r="J331" s="1"/>
  <c r="H332"/>
  <c r="J332" s="1"/>
  <c r="H333"/>
  <c r="J333" s="1"/>
  <c r="H334"/>
  <c r="J334" s="1"/>
  <c r="H335"/>
  <c r="J335" s="1"/>
  <c r="H336"/>
  <c r="J336" s="1"/>
  <c r="H337"/>
  <c r="I337" s="1"/>
  <c r="H338"/>
  <c r="J338" s="1"/>
  <c r="H339"/>
  <c r="J339" s="1"/>
  <c r="H340"/>
  <c r="I340" s="1"/>
  <c r="H341"/>
  <c r="J341" s="1"/>
  <c r="H342"/>
  <c r="J342" s="1"/>
  <c r="H343"/>
  <c r="J343" s="1"/>
  <c r="H344"/>
  <c r="J344" s="1"/>
  <c r="H345"/>
  <c r="I345" s="1"/>
  <c r="H346"/>
  <c r="J346" s="1"/>
  <c r="H347"/>
  <c r="J347" s="1"/>
  <c r="H348"/>
  <c r="I348" s="1"/>
  <c r="H349"/>
  <c r="J349" s="1"/>
  <c r="H350"/>
  <c r="J350" s="1"/>
  <c r="H351"/>
  <c r="J351" s="1"/>
  <c r="H352"/>
  <c r="J352" s="1"/>
  <c r="H353"/>
  <c r="I353" s="1"/>
  <c r="H354"/>
  <c r="J354" s="1"/>
  <c r="H355"/>
  <c r="J355" s="1"/>
  <c r="H356"/>
  <c r="I356" s="1"/>
  <c r="H357"/>
  <c r="J357" s="1"/>
  <c r="H358"/>
  <c r="J358" s="1"/>
  <c r="H359"/>
  <c r="J359" s="1"/>
  <c r="H360"/>
  <c r="J360" s="1"/>
  <c r="H361"/>
  <c r="I361" s="1"/>
  <c r="H362"/>
  <c r="J362" s="1"/>
  <c r="H363"/>
  <c r="J363" s="1"/>
  <c r="H364"/>
  <c r="I364" s="1"/>
  <c r="H365"/>
  <c r="J365" s="1"/>
  <c r="H366"/>
  <c r="J366" s="1"/>
  <c r="H367"/>
  <c r="J367" s="1"/>
  <c r="H368"/>
  <c r="J368" s="1"/>
  <c r="H369"/>
  <c r="I369" s="1"/>
  <c r="H370"/>
  <c r="J370" s="1"/>
  <c r="H371"/>
  <c r="J371" s="1"/>
  <c r="H372"/>
  <c r="J372" s="1"/>
  <c r="H373"/>
  <c r="J373" s="1"/>
  <c r="H374"/>
  <c r="J374" s="1"/>
  <c r="H375"/>
  <c r="J375" s="1"/>
  <c r="H376"/>
  <c r="J376" s="1"/>
  <c r="H377"/>
  <c r="I377" s="1"/>
  <c r="H378"/>
  <c r="J378" s="1"/>
  <c r="H379"/>
  <c r="J379" s="1"/>
  <c r="H380"/>
  <c r="J380" s="1"/>
  <c r="H381"/>
  <c r="J381" s="1"/>
  <c r="H382"/>
  <c r="J382" s="1"/>
  <c r="H383"/>
  <c r="J383" s="1"/>
  <c r="H384"/>
  <c r="J384" s="1"/>
  <c r="H385"/>
  <c r="I385" s="1"/>
  <c r="H386"/>
  <c r="J386" s="1"/>
  <c r="H387"/>
  <c r="J387" s="1"/>
  <c r="H388"/>
  <c r="J388" s="1"/>
  <c r="H389"/>
  <c r="J389" s="1"/>
  <c r="H390"/>
  <c r="J390" s="1"/>
  <c r="H391"/>
  <c r="J391" s="1"/>
  <c r="H392"/>
  <c r="J392" s="1"/>
  <c r="H393"/>
  <c r="I393" s="1"/>
  <c r="H394"/>
  <c r="J394" s="1"/>
  <c r="H395"/>
  <c r="J395" s="1"/>
  <c r="H396"/>
  <c r="I396" s="1"/>
  <c r="H397"/>
  <c r="J397" s="1"/>
  <c r="H398"/>
  <c r="J398" s="1"/>
  <c r="H399"/>
  <c r="J399" s="1"/>
  <c r="H400"/>
  <c r="J400" s="1"/>
  <c r="H401"/>
  <c r="I401" s="1"/>
  <c r="H402"/>
  <c r="J402" s="1"/>
  <c r="H403"/>
  <c r="J403" s="1"/>
  <c r="H404"/>
  <c r="I404" s="1"/>
  <c r="H405"/>
  <c r="J405" s="1"/>
  <c r="H406"/>
  <c r="J406" s="1"/>
  <c r="H407"/>
  <c r="J407" s="1"/>
  <c r="H408"/>
  <c r="J408" s="1"/>
  <c r="H409"/>
  <c r="I409" s="1"/>
  <c r="H410"/>
  <c r="J410" s="1"/>
  <c r="H411"/>
  <c r="J411" s="1"/>
  <c r="H412"/>
  <c r="I412" s="1"/>
  <c r="H413"/>
  <c r="J413" s="1"/>
  <c r="H414"/>
  <c r="J414" s="1"/>
  <c r="H415"/>
  <c r="J415" s="1"/>
  <c r="H416"/>
  <c r="J416" s="1"/>
  <c r="H417"/>
  <c r="I417" s="1"/>
  <c r="H418"/>
  <c r="J418" s="1"/>
  <c r="H419"/>
  <c r="J419" s="1"/>
  <c r="H420"/>
  <c r="I420" s="1"/>
  <c r="H421"/>
  <c r="J421" s="1"/>
  <c r="H422"/>
  <c r="J422" s="1"/>
  <c r="H423"/>
  <c r="J423" s="1"/>
  <c r="H424"/>
  <c r="J424" s="1"/>
  <c r="H425"/>
  <c r="I425" s="1"/>
  <c r="H426"/>
  <c r="J426" s="1"/>
  <c r="H427"/>
  <c r="J427" s="1"/>
  <c r="H428"/>
  <c r="I428" s="1"/>
  <c r="H429"/>
  <c r="J429" s="1"/>
  <c r="H430"/>
  <c r="J430" s="1"/>
  <c r="H431"/>
  <c r="J431" s="1"/>
  <c r="H432"/>
  <c r="J432" s="1"/>
  <c r="H433"/>
  <c r="I433" s="1"/>
  <c r="H434"/>
  <c r="J434" s="1"/>
  <c r="H435"/>
  <c r="J435" s="1"/>
  <c r="H436"/>
  <c r="I436" s="1"/>
  <c r="H437"/>
  <c r="J437" s="1"/>
  <c r="H438"/>
  <c r="J438" s="1"/>
  <c r="H439"/>
  <c r="J439" s="1"/>
  <c r="H440"/>
  <c r="J440" s="1"/>
  <c r="H441"/>
  <c r="J441" s="1"/>
  <c r="H442"/>
  <c r="J442" s="1"/>
  <c r="H443"/>
  <c r="J443" s="1"/>
  <c r="H444"/>
  <c r="J444" s="1"/>
  <c r="H445"/>
  <c r="J445" s="1"/>
  <c r="H446"/>
  <c r="J446" s="1"/>
  <c r="H447"/>
  <c r="J447" s="1"/>
  <c r="H448"/>
  <c r="J448" s="1"/>
  <c r="H449"/>
  <c r="I449" s="1"/>
  <c r="H450"/>
  <c r="J450" s="1"/>
  <c r="H451"/>
  <c r="J451" s="1"/>
  <c r="H452"/>
  <c r="J452" s="1"/>
  <c r="H453"/>
  <c r="J453" s="1"/>
  <c r="H454"/>
  <c r="J454" s="1"/>
  <c r="H455"/>
  <c r="J455" s="1"/>
  <c r="H456"/>
  <c r="J456" s="1"/>
  <c r="H457"/>
  <c r="I457" s="1"/>
  <c r="H458"/>
  <c r="J458" s="1"/>
  <c r="H459"/>
  <c r="J459" s="1"/>
  <c r="H460"/>
  <c r="J460" s="1"/>
  <c r="H461"/>
  <c r="J461" s="1"/>
  <c r="H462"/>
  <c r="J462" s="1"/>
  <c r="H463"/>
  <c r="J463" s="1"/>
  <c r="H464"/>
  <c r="J464" s="1"/>
  <c r="H465"/>
  <c r="I465" s="1"/>
  <c r="H466"/>
  <c r="J466" s="1"/>
  <c r="H467"/>
  <c r="J467" s="1"/>
  <c r="H468"/>
  <c r="J468" s="1"/>
  <c r="H469"/>
  <c r="J469" s="1"/>
  <c r="H470"/>
  <c r="J470" s="1"/>
  <c r="H471"/>
  <c r="J471" s="1"/>
  <c r="H472"/>
  <c r="J472" s="1"/>
  <c r="H473"/>
  <c r="I473" s="1"/>
  <c r="H474"/>
  <c r="J474" s="1"/>
  <c r="H475"/>
  <c r="J475" s="1"/>
  <c r="H476"/>
  <c r="J476" s="1"/>
  <c r="H477"/>
  <c r="J477" s="1"/>
  <c r="H478"/>
  <c r="J478" s="1"/>
  <c r="H479"/>
  <c r="J479" s="1"/>
  <c r="H480"/>
  <c r="J480" s="1"/>
  <c r="H481"/>
  <c r="I481" s="1"/>
  <c r="H482"/>
  <c r="J482" s="1"/>
  <c r="H483"/>
  <c r="J483" s="1"/>
  <c r="H484"/>
  <c r="J484" s="1"/>
  <c r="H485"/>
  <c r="J485" s="1"/>
  <c r="H486"/>
  <c r="J486" s="1"/>
  <c r="H487"/>
  <c r="J487" s="1"/>
  <c r="H488"/>
  <c r="J488" s="1"/>
  <c r="H489"/>
  <c r="J489" s="1"/>
  <c r="H490"/>
  <c r="J490" s="1"/>
  <c r="H491"/>
  <c r="J491" s="1"/>
  <c r="H492"/>
  <c r="J492" s="1"/>
  <c r="H493"/>
  <c r="J493" s="1"/>
  <c r="H494"/>
  <c r="J494" s="1"/>
  <c r="H495"/>
  <c r="J495" s="1"/>
  <c r="H496"/>
  <c r="J496" s="1"/>
  <c r="H497"/>
  <c r="J497" s="1"/>
  <c r="H498"/>
  <c r="J498" s="1"/>
  <c r="H499"/>
  <c r="J499" s="1"/>
  <c r="H500"/>
  <c r="J500" s="1"/>
  <c r="H501"/>
  <c r="J501" s="1"/>
  <c r="H502"/>
  <c r="J502" s="1"/>
  <c r="H503"/>
  <c r="J503" s="1"/>
  <c r="H504"/>
  <c r="J504" s="1"/>
  <c r="H505"/>
  <c r="J505" s="1"/>
  <c r="H506"/>
  <c r="J506" s="1"/>
  <c r="H507"/>
  <c r="J507" s="1"/>
  <c r="H316"/>
  <c r="J316" s="1"/>
  <c r="C317" a="1"/>
  <c r="C317" s="1"/>
  <c r="C202" s="1"/>
  <c r="C318" a="1"/>
  <c r="C318" s="1"/>
  <c r="C203" s="1"/>
  <c r="C319" a="1"/>
  <c r="C319" s="1"/>
  <c r="C204" s="1"/>
  <c r="C320" a="1"/>
  <c r="C320" s="1"/>
  <c r="C205" s="1"/>
  <c r="C321" a="1"/>
  <c r="C321" s="1"/>
  <c r="C322" a="1"/>
  <c r="C322" s="1"/>
  <c r="C207" s="1"/>
  <c r="C323" a="1"/>
  <c r="C323" s="1"/>
  <c r="C208" s="1"/>
  <c r="C324" a="1"/>
  <c r="C324" s="1"/>
  <c r="E97" s="1"/>
  <c r="C325" a="1"/>
  <c r="C325" s="1"/>
  <c r="C326" a="1"/>
  <c r="C326" s="1"/>
  <c r="C327" a="1"/>
  <c r="C327" s="1"/>
  <c r="C211" s="1"/>
  <c r="C328" a="1"/>
  <c r="C328" s="1"/>
  <c r="C212" s="1"/>
  <c r="C329" a="1"/>
  <c r="C329" s="1"/>
  <c r="C330" a="1"/>
  <c r="C330" s="1"/>
  <c r="C331" a="1"/>
  <c r="C331" s="1"/>
  <c r="C215" s="1"/>
  <c r="C332" a="1"/>
  <c r="C332" s="1"/>
  <c r="E73" s="1"/>
  <c r="C333" a="1"/>
  <c r="C333" s="1"/>
  <c r="C216" s="1"/>
  <c r="C334" a="1"/>
  <c r="C334" s="1"/>
  <c r="C335" a="1"/>
  <c r="C335" s="1"/>
  <c r="E68" s="1"/>
  <c r="C336" a="1"/>
  <c r="C336" s="1"/>
  <c r="C219" s="1"/>
  <c r="C337" a="1"/>
  <c r="C337" s="1"/>
  <c r="C220" s="1"/>
  <c r="C338" a="1"/>
  <c r="C338" s="1"/>
  <c r="C339" a="1"/>
  <c r="C339" s="1"/>
  <c r="C222" s="1"/>
  <c r="C340" a="1"/>
  <c r="C340" s="1"/>
  <c r="C22" s="1"/>
  <c r="C341" a="1"/>
  <c r="C341" s="1"/>
  <c r="C342" a="1"/>
  <c r="C342" s="1"/>
  <c r="C343" a="1"/>
  <c r="C343" s="1"/>
  <c r="C21" s="1"/>
  <c r="C344" a="1"/>
  <c r="C344" s="1"/>
  <c r="C345" a="1"/>
  <c r="C345" s="1"/>
  <c r="C346" a="1"/>
  <c r="C346" s="1"/>
  <c r="C141" s="1"/>
  <c r="C347" a="1"/>
  <c r="C347" s="1"/>
  <c r="C169" s="1"/>
  <c r="C348" a="1"/>
  <c r="C348" s="1"/>
  <c r="C142" s="1"/>
  <c r="C349" a="1"/>
  <c r="C349" s="1"/>
  <c r="C170" s="1"/>
  <c r="C350" a="1"/>
  <c r="C350" s="1"/>
  <c r="C351" a="1"/>
  <c r="C351" s="1"/>
  <c r="C171" s="1"/>
  <c r="C352" a="1"/>
  <c r="C352" s="1"/>
  <c r="C144" s="1"/>
  <c r="C353" a="1"/>
  <c r="C353" s="1"/>
  <c r="C354" a="1"/>
  <c r="C354" s="1"/>
  <c r="C355" a="1"/>
  <c r="C355" s="1"/>
  <c r="C173" s="1"/>
  <c r="C356" a="1"/>
  <c r="C356" s="1"/>
  <c r="E25" s="1"/>
  <c r="C357" a="1"/>
  <c r="C357" s="1"/>
  <c r="C223" s="1"/>
  <c r="C358" a="1"/>
  <c r="C358" s="1"/>
  <c r="C224" s="1"/>
  <c r="C359" a="1"/>
  <c r="C359" s="1"/>
  <c r="C225" s="1"/>
  <c r="C360" a="1"/>
  <c r="C360" s="1"/>
  <c r="C361" a="1"/>
  <c r="C361" s="1"/>
  <c r="C227" s="1"/>
  <c r="C362" a="1"/>
  <c r="C362" s="1"/>
  <c r="C228" s="1"/>
  <c r="C363" a="1"/>
  <c r="C363" s="1"/>
  <c r="C229" s="1"/>
  <c r="C364" a="1"/>
  <c r="C364" s="1"/>
  <c r="E9" s="1"/>
  <c r="C365" a="1"/>
  <c r="C365" s="1"/>
  <c r="C114" s="1"/>
  <c r="C366" a="1"/>
  <c r="C366" s="1"/>
  <c r="C231" s="1"/>
  <c r="C367" a="1"/>
  <c r="C367" s="1"/>
  <c r="C116" s="1"/>
  <c r="C368" a="1"/>
  <c r="C368" s="1"/>
  <c r="C117" s="1"/>
  <c r="C369" a="1"/>
  <c r="C369" s="1"/>
  <c r="C118" s="1"/>
  <c r="C370" a="1"/>
  <c r="C370" s="1"/>
  <c r="C235" s="1"/>
  <c r="C371" a="1"/>
  <c r="C371" s="1"/>
  <c r="C120" s="1"/>
  <c r="C372" a="1"/>
  <c r="C372" s="1"/>
  <c r="C30" s="1"/>
  <c r="C373" a="1"/>
  <c r="C373" s="1"/>
  <c r="C374" a="1"/>
  <c r="C374" s="1"/>
  <c r="C146" s="1"/>
  <c r="C375" a="1"/>
  <c r="C375" s="1"/>
  <c r="C174" s="1"/>
  <c r="C376" a="1"/>
  <c r="C376" s="1"/>
  <c r="C147" s="1"/>
  <c r="C377" a="1"/>
  <c r="C377" s="1"/>
  <c r="C175" s="1"/>
  <c r="C378" a="1"/>
  <c r="C378" s="1"/>
  <c r="C148" s="1"/>
  <c r="C379" a="1"/>
  <c r="C379" s="1"/>
  <c r="C176" s="1"/>
  <c r="C380" a="1"/>
  <c r="C380" s="1"/>
  <c r="C149" s="1"/>
  <c r="C381" a="1"/>
  <c r="C381" s="1"/>
  <c r="C382" a="1"/>
  <c r="C382" s="1"/>
  <c r="C383" a="1"/>
  <c r="C383" s="1"/>
  <c r="C178" s="1"/>
  <c r="C384" a="1"/>
  <c r="C384" s="1"/>
  <c r="C151" s="1"/>
  <c r="C385" a="1"/>
  <c r="C385" s="1"/>
  <c r="C179" s="1"/>
  <c r="C386" a="1"/>
  <c r="C386" s="1"/>
  <c r="C152" s="1"/>
  <c r="C387" a="1"/>
  <c r="C387" s="1"/>
  <c r="C180" s="1"/>
  <c r="C388" a="1"/>
  <c r="C388" s="1"/>
  <c r="E33" s="1"/>
  <c r="C389" a="1"/>
  <c r="C389" s="1"/>
  <c r="C390" a="1"/>
  <c r="C390" s="1"/>
  <c r="C391" a="1"/>
  <c r="C391" s="1"/>
  <c r="C239" s="1"/>
  <c r="C392" a="1"/>
  <c r="C392" s="1"/>
  <c r="C240" s="1"/>
  <c r="C393" a="1"/>
  <c r="C393" s="1"/>
  <c r="C394" a="1"/>
  <c r="C394" s="1"/>
  <c r="C395" a="1"/>
  <c r="C395" s="1"/>
  <c r="C243" s="1"/>
  <c r="C396" a="1"/>
  <c r="C396" s="1"/>
  <c r="C397" a="1"/>
  <c r="C397" s="1"/>
  <c r="C121" s="1"/>
  <c r="C398" a="1"/>
  <c r="C398" s="1"/>
  <c r="C122" s="1"/>
  <c r="C399" a="1"/>
  <c r="C399" s="1"/>
  <c r="C123" s="1"/>
  <c r="C400" a="1"/>
  <c r="C400" s="1"/>
  <c r="C247" s="1"/>
  <c r="C401" a="1"/>
  <c r="C401" s="1"/>
  <c r="C125" s="1"/>
  <c r="C402" a="1"/>
  <c r="C402" s="1"/>
  <c r="C126" s="1"/>
  <c r="C403" a="1"/>
  <c r="C403" s="1"/>
  <c r="C127" s="1"/>
  <c r="C404" a="1"/>
  <c r="C404" s="1"/>
  <c r="C55" s="1"/>
  <c r="C405" a="1"/>
  <c r="C405" s="1"/>
  <c r="C406" a="1"/>
  <c r="C406" s="1"/>
  <c r="C153" s="1"/>
  <c r="C407" a="1"/>
  <c r="C407" s="1"/>
  <c r="C181" s="1"/>
  <c r="C408" a="1"/>
  <c r="C408" s="1"/>
  <c r="C154" s="1"/>
  <c r="C409" a="1"/>
  <c r="C409" s="1"/>
  <c r="C410" a="1"/>
  <c r="C410" s="1"/>
  <c r="C411" a="1"/>
  <c r="C411" s="1"/>
  <c r="C183" s="1"/>
  <c r="C412" a="1"/>
  <c r="C412" s="1"/>
  <c r="C156" s="1"/>
  <c r="C413" a="1"/>
  <c r="C413" s="1"/>
  <c r="C184" s="1"/>
  <c r="C414" a="1"/>
  <c r="C414" s="1"/>
  <c r="C415" a="1"/>
  <c r="C415" s="1"/>
  <c r="C185" s="1"/>
  <c r="C416" a="1"/>
  <c r="C416" s="1"/>
  <c r="C158" s="1"/>
  <c r="C417" a="1"/>
  <c r="C417" s="1"/>
  <c r="C418" a="1"/>
  <c r="C418" s="1"/>
  <c r="C159" s="1"/>
  <c r="C419" a="1"/>
  <c r="C419" s="1"/>
  <c r="C54" s="1"/>
  <c r="C420" a="1"/>
  <c r="C420" s="1"/>
  <c r="E49" s="1"/>
  <c r="C421" a="1"/>
  <c r="C421" s="1"/>
  <c r="C100" s="1"/>
  <c r="C422" a="1"/>
  <c r="C422" s="1"/>
  <c r="C101" s="1"/>
  <c r="C423" a="1"/>
  <c r="C423" s="1"/>
  <c r="C253" s="1"/>
  <c r="C424" a="1"/>
  <c r="C424" s="1"/>
  <c r="C425" a="1"/>
  <c r="C425" s="1"/>
  <c r="C104" s="1"/>
  <c r="C426" a="1"/>
  <c r="C426" s="1"/>
  <c r="C105" s="1"/>
  <c r="C427" a="1"/>
  <c r="C427" s="1"/>
  <c r="C257" s="1"/>
  <c r="C428" a="1"/>
  <c r="C428" s="1"/>
  <c r="E41" s="1"/>
  <c r="C429" a="1"/>
  <c r="C429" s="1"/>
  <c r="C430" a="1"/>
  <c r="C430" s="1"/>
  <c r="C259" s="1"/>
  <c r="C431" a="1"/>
  <c r="C431" s="1"/>
  <c r="C260" s="1"/>
  <c r="C432" a="1"/>
  <c r="C432" s="1"/>
  <c r="C261" s="1"/>
  <c r="C433" a="1"/>
  <c r="C433" s="1"/>
  <c r="C434" a="1"/>
  <c r="C434" s="1"/>
  <c r="C263" s="1"/>
  <c r="C435" a="1"/>
  <c r="C435" s="1"/>
  <c r="C264" s="1"/>
  <c r="C436" a="1"/>
  <c r="C436" s="1"/>
  <c r="E65" s="1"/>
  <c r="C437" a="1"/>
  <c r="C437" s="1"/>
  <c r="C438" a="1"/>
  <c r="C438" s="1"/>
  <c r="C439" a="1"/>
  <c r="C439" s="1"/>
  <c r="C267" s="1"/>
  <c r="C440" a="1"/>
  <c r="C440" s="1"/>
  <c r="C268" s="1"/>
  <c r="C441" a="1"/>
  <c r="C441" s="1"/>
  <c r="C442" a="1"/>
  <c r="C442" s="1"/>
  <c r="C443" a="1"/>
  <c r="C443" s="1"/>
  <c r="C271" s="1"/>
  <c r="C444" a="1"/>
  <c r="C444" s="1"/>
  <c r="E89" s="1"/>
  <c r="C445" a="1"/>
  <c r="C445" s="1"/>
  <c r="C272" s="1"/>
  <c r="C446" a="1"/>
  <c r="C446" s="1"/>
  <c r="C447" a="1"/>
  <c r="C447" s="1"/>
  <c r="E84" s="1"/>
  <c r="C448" a="1"/>
  <c r="C448" s="1"/>
  <c r="C275" s="1"/>
  <c r="C449" a="1"/>
  <c r="C449" s="1"/>
  <c r="C276" s="1"/>
  <c r="C450" a="1"/>
  <c r="C450" s="1"/>
  <c r="C451" a="1"/>
  <c r="C451" s="1"/>
  <c r="C278" s="1"/>
  <c r="C452" a="1"/>
  <c r="C452" s="1"/>
  <c r="E17" s="1"/>
  <c r="C453" a="1"/>
  <c r="C453" s="1"/>
  <c r="C279" s="1"/>
  <c r="C454" a="1"/>
  <c r="C454" s="1"/>
  <c r="C280" s="1"/>
  <c r="C455" a="1"/>
  <c r="C455" s="1"/>
  <c r="C281" s="1"/>
  <c r="C456" a="1"/>
  <c r="C456" s="1"/>
  <c r="C457" a="1"/>
  <c r="C457" s="1"/>
  <c r="C283" s="1"/>
  <c r="C458" a="1"/>
  <c r="C458" s="1"/>
  <c r="C284" s="1"/>
  <c r="C459" a="1"/>
  <c r="C459" s="1"/>
  <c r="C285" s="1"/>
  <c r="C460" a="1"/>
  <c r="C460" s="1"/>
  <c r="C461" a="1"/>
  <c r="C461" s="1"/>
  <c r="C462" a="1"/>
  <c r="C462" s="1"/>
  <c r="C463" a="1"/>
  <c r="C463" s="1"/>
  <c r="C288" s="1"/>
  <c r="C464" a="1"/>
  <c r="C464" s="1"/>
  <c r="C289" s="1"/>
  <c r="C465" a="1"/>
  <c r="C465" s="1"/>
  <c r="C466" a="1"/>
  <c r="C466" s="1"/>
  <c r="C467" a="1"/>
  <c r="C467" s="1"/>
  <c r="C292" s="1"/>
  <c r="C468" a="1"/>
  <c r="C468" s="1"/>
  <c r="E81" s="1"/>
  <c r="C469" a="1"/>
  <c r="C469" s="1"/>
  <c r="C293" s="1"/>
  <c r="C470" a="1"/>
  <c r="C470" s="1"/>
  <c r="C471" a="1"/>
  <c r="C471" s="1"/>
  <c r="C295" s="1"/>
  <c r="C472" a="1"/>
  <c r="C472" s="1"/>
  <c r="C473" a="1"/>
  <c r="C473" s="1"/>
  <c r="C297" s="1"/>
  <c r="C474" a="1"/>
  <c r="C474" s="1"/>
  <c r="C298" s="1"/>
  <c r="C475" a="1"/>
  <c r="C475" s="1"/>
  <c r="C299" s="1"/>
  <c r="C476" a="1"/>
  <c r="C476" s="1"/>
  <c r="C477" a="1"/>
  <c r="C477" s="1"/>
  <c r="C478" a="1"/>
  <c r="C478" s="1"/>
  <c r="C129" s="1"/>
  <c r="C479" a="1"/>
  <c r="C479" s="1"/>
  <c r="C130" s="1"/>
  <c r="C480" a="1"/>
  <c r="C480" s="1"/>
  <c r="C131" s="1"/>
  <c r="C481" a="1"/>
  <c r="C481" s="1"/>
  <c r="C132" s="1"/>
  <c r="C482" a="1"/>
  <c r="C482" s="1"/>
  <c r="C483" a="1"/>
  <c r="C483" s="1"/>
  <c r="C306" s="1"/>
  <c r="C484" a="1"/>
  <c r="C484" s="1"/>
  <c r="C485" a="1"/>
  <c r="C485" s="1"/>
  <c r="C307" s="1"/>
  <c r="C486" a="1"/>
  <c r="C486" s="1"/>
  <c r="C487" a="1"/>
  <c r="C487" s="1"/>
  <c r="C109" s="1"/>
  <c r="C488" a="1"/>
  <c r="C488" s="1"/>
  <c r="C110" s="1"/>
  <c r="C489" a="1"/>
  <c r="C489" s="1"/>
  <c r="C311" s="1"/>
  <c r="C490" a="1"/>
  <c r="C490" s="1"/>
  <c r="C312" s="1"/>
  <c r="C491" a="1"/>
  <c r="C491" s="1"/>
  <c r="C113" s="1"/>
  <c r="C492" a="1"/>
  <c r="C492" s="1"/>
  <c r="C95" s="1"/>
  <c r="C493" a="1"/>
  <c r="C493" s="1"/>
  <c r="C494" a="1"/>
  <c r="C494" s="1"/>
  <c r="C495" a="1"/>
  <c r="C495" s="1"/>
  <c r="C188" s="1"/>
  <c r="C496" a="1"/>
  <c r="C496" s="1"/>
  <c r="C161" s="1"/>
  <c r="C497" a="1"/>
  <c r="C497" s="1"/>
  <c r="C189" s="1"/>
  <c r="C498" a="1"/>
  <c r="C498" s="1"/>
  <c r="C162" s="1"/>
  <c r="C499" a="1"/>
  <c r="C499" s="1"/>
  <c r="C190" s="1"/>
  <c r="C500" a="1"/>
  <c r="C500" s="1"/>
  <c r="C163" s="1"/>
  <c r="C501" a="1"/>
  <c r="C501" s="1"/>
  <c r="C502" a="1"/>
  <c r="C502" s="1"/>
  <c r="C503" a="1"/>
  <c r="C503" s="1"/>
  <c r="C111" s="1"/>
  <c r="C504" a="1"/>
  <c r="C504" s="1"/>
  <c r="C165" s="1"/>
  <c r="C505" a="1"/>
  <c r="C505" s="1"/>
  <c r="C193" s="1"/>
  <c r="C506" a="1"/>
  <c r="C506" s="1"/>
  <c r="C166" s="1"/>
  <c r="C507" a="1"/>
  <c r="C507" s="1"/>
  <c r="C194" s="1"/>
  <c r="C316" a="1"/>
  <c r="C316" s="1"/>
  <c r="E57" s="1"/>
  <c r="C187" l="1"/>
  <c r="C192"/>
  <c r="C218"/>
  <c r="C246"/>
  <c r="C250"/>
  <c r="C274"/>
  <c r="C107"/>
  <c r="C94"/>
  <c r="E4"/>
  <c r="E20"/>
  <c r="E52"/>
  <c r="E76"/>
  <c r="C233"/>
  <c r="C102"/>
  <c r="C106"/>
  <c r="C24"/>
  <c r="C32"/>
  <c r="C57"/>
  <c r="C93"/>
  <c r="E7"/>
  <c r="E15"/>
  <c r="E23"/>
  <c r="E27"/>
  <c r="E39"/>
  <c r="E47"/>
  <c r="E55"/>
  <c r="E63"/>
  <c r="E71"/>
  <c r="E79"/>
  <c r="E87"/>
  <c r="E95"/>
  <c r="C167"/>
  <c r="C232"/>
  <c r="C236"/>
  <c r="C244"/>
  <c r="C248"/>
  <c r="C252"/>
  <c r="C256"/>
  <c r="C302"/>
  <c r="C303"/>
  <c r="C134"/>
  <c r="C19"/>
  <c r="C23"/>
  <c r="C27"/>
  <c r="C31"/>
  <c r="C51"/>
  <c r="C56"/>
  <c r="C92"/>
  <c r="C96"/>
  <c r="E2"/>
  <c r="E6"/>
  <c r="E10"/>
  <c r="E14"/>
  <c r="E18"/>
  <c r="E22"/>
  <c r="E26"/>
  <c r="E30"/>
  <c r="E34"/>
  <c r="E38"/>
  <c r="E42"/>
  <c r="E46"/>
  <c r="E50"/>
  <c r="E54"/>
  <c r="E58"/>
  <c r="E62"/>
  <c r="E66"/>
  <c r="E70"/>
  <c r="E74"/>
  <c r="E78"/>
  <c r="E82"/>
  <c r="E86"/>
  <c r="E90"/>
  <c r="E94"/>
  <c r="C29"/>
  <c r="E12"/>
  <c r="E28"/>
  <c r="E92"/>
  <c r="C313"/>
  <c r="C20"/>
  <c r="C28"/>
  <c r="C53"/>
  <c r="C97"/>
  <c r="E3"/>
  <c r="E11"/>
  <c r="E19"/>
  <c r="E31"/>
  <c r="E35"/>
  <c r="E43"/>
  <c r="E51"/>
  <c r="E59"/>
  <c r="E67"/>
  <c r="E75"/>
  <c r="E83"/>
  <c r="E91"/>
  <c r="C52"/>
  <c r="C309"/>
  <c r="C251"/>
  <c r="C255"/>
  <c r="C301"/>
  <c r="C18"/>
  <c r="C26"/>
  <c r="C34"/>
  <c r="C91"/>
  <c r="E5"/>
  <c r="E13"/>
  <c r="E21"/>
  <c r="E29"/>
  <c r="E37"/>
  <c r="E45"/>
  <c r="E53"/>
  <c r="E61"/>
  <c r="E69"/>
  <c r="E77"/>
  <c r="E85"/>
  <c r="E93"/>
  <c r="I316"/>
  <c r="I500"/>
  <c r="I492"/>
  <c r="I484"/>
  <c r="I476"/>
  <c r="I468"/>
  <c r="I460"/>
  <c r="I452"/>
  <c r="I444"/>
  <c r="I440"/>
  <c r="I432"/>
  <c r="I424"/>
  <c r="I416"/>
  <c r="I408"/>
  <c r="I400"/>
  <c r="I392"/>
  <c r="I384"/>
  <c r="I376"/>
  <c r="I368"/>
  <c r="I360"/>
  <c r="I352"/>
  <c r="I344"/>
  <c r="I336"/>
  <c r="I328"/>
  <c r="J436"/>
  <c r="J428"/>
  <c r="J420"/>
  <c r="J412"/>
  <c r="J404"/>
  <c r="J396"/>
  <c r="J364"/>
  <c r="J356"/>
  <c r="J348"/>
  <c r="J340"/>
  <c r="J324"/>
  <c r="J320"/>
  <c r="I501"/>
  <c r="I493"/>
  <c r="I485"/>
  <c r="I477"/>
  <c r="I469"/>
  <c r="I461"/>
  <c r="I453"/>
  <c r="I445"/>
  <c r="I437"/>
  <c r="I429"/>
  <c r="I421"/>
  <c r="I413"/>
  <c r="I405"/>
  <c r="I397"/>
  <c r="I389"/>
  <c r="I381"/>
  <c r="I373"/>
  <c r="I365"/>
  <c r="I357"/>
  <c r="I349"/>
  <c r="I341"/>
  <c r="I333"/>
  <c r="I325"/>
  <c r="I317"/>
  <c r="J481"/>
  <c r="J473"/>
  <c r="J465"/>
  <c r="J457"/>
  <c r="J449"/>
  <c r="J433"/>
  <c r="J425"/>
  <c r="J417"/>
  <c r="J409"/>
  <c r="J401"/>
  <c r="J393"/>
  <c r="J385"/>
  <c r="J377"/>
  <c r="J369"/>
  <c r="J361"/>
  <c r="J353"/>
  <c r="J345"/>
  <c r="J337"/>
  <c r="I507"/>
  <c r="I503"/>
  <c r="I499"/>
  <c r="I495"/>
  <c r="I491"/>
  <c r="I487"/>
  <c r="I483"/>
  <c r="I479"/>
  <c r="I475"/>
  <c r="I471"/>
  <c r="I467"/>
  <c r="I463"/>
  <c r="I459"/>
  <c r="I455"/>
  <c r="I451"/>
  <c r="I447"/>
  <c r="I443"/>
  <c r="I439"/>
  <c r="I435"/>
  <c r="I431"/>
  <c r="I427"/>
  <c r="I423"/>
  <c r="I419"/>
  <c r="I415"/>
  <c r="I411"/>
  <c r="I407"/>
  <c r="I403"/>
  <c r="I399"/>
  <c r="I395"/>
  <c r="I391"/>
  <c r="I387"/>
  <c r="I383"/>
  <c r="I379"/>
  <c r="I375"/>
  <c r="I371"/>
  <c r="I367"/>
  <c r="I363"/>
  <c r="I359"/>
  <c r="I355"/>
  <c r="I351"/>
  <c r="I347"/>
  <c r="I343"/>
  <c r="I339"/>
  <c r="I335"/>
  <c r="I331"/>
  <c r="I327"/>
  <c r="I323"/>
  <c r="I319"/>
  <c r="I504"/>
  <c r="I496"/>
  <c r="I488"/>
  <c r="I480"/>
  <c r="I472"/>
  <c r="I464"/>
  <c r="I456"/>
  <c r="I448"/>
  <c r="I388"/>
  <c r="I380"/>
  <c r="I372"/>
  <c r="I332"/>
  <c r="I505"/>
  <c r="I497"/>
  <c r="I489"/>
  <c r="I441"/>
  <c r="I329"/>
  <c r="I321"/>
  <c r="I506"/>
  <c r="I502"/>
  <c r="I498"/>
  <c r="I494"/>
  <c r="I490"/>
  <c r="I486"/>
  <c r="I482"/>
  <c r="I478"/>
  <c r="I474"/>
  <c r="I470"/>
  <c r="I466"/>
  <c r="I462"/>
  <c r="I458"/>
  <c r="I454"/>
  <c r="I450"/>
  <c r="I446"/>
  <c r="I442"/>
  <c r="I438"/>
  <c r="I434"/>
  <c r="I430"/>
  <c r="I426"/>
  <c r="I422"/>
  <c r="I418"/>
  <c r="I414"/>
  <c r="I410"/>
  <c r="I406"/>
  <c r="I402"/>
  <c r="I398"/>
  <c r="I394"/>
  <c r="I390"/>
  <c r="I386"/>
  <c r="I382"/>
  <c r="I378"/>
  <c r="I374"/>
  <c r="I370"/>
  <c r="I366"/>
  <c r="I362"/>
  <c r="I358"/>
  <c r="I354"/>
  <c r="I350"/>
  <c r="I346"/>
  <c r="I342"/>
  <c r="I338"/>
  <c r="I334"/>
  <c r="I330"/>
  <c r="I326"/>
  <c r="I322"/>
  <c r="I318"/>
</calcChain>
</file>

<file path=xl/sharedStrings.xml><?xml version="1.0" encoding="utf-8"?>
<sst xmlns="http://schemas.openxmlformats.org/spreadsheetml/2006/main" count="1338" uniqueCount="1011">
  <si>
    <t>MB_ConcFilterFeedPump_Mass:(+0.0 = +ConcStorageTank1UnderflowStream_Mass+ConcStorageTank2UnderflowStream_Mass-PressureFilterFeedStream_Mass-SpillageReturnStream_Mass);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</si>
  <si>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</si>
  <si>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</si>
  <si>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</si>
  <si>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</si>
  <si>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</si>
  <si>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</si>
  <si>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</si>
  <si>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MB_ConcPressureFilter_Mass:(+0.0 = +PressureFilterFeedStream_Mass-PressureFilterUnderflowStream_Mass);</t>
  </si>
  <si>
    <t>MB_ConcPressureFilter_Ag:(+0.0 = +(PressureFilterFeedStream_Mass * PressureFilterFeedStream_Ag)-(PressureFilterUnderflowStream_Mass * PressureFilterUnderflowStream_Ag));</t>
  </si>
  <si>
    <t>MB_ConcPressureFilter_Au:(+0.0 = +(PressureFilterFeedStream_Mass * PressureFilterFeedStream_Au)-(PressureFilterUnderflowStream_Mass * PressureFilterUnderflowStream_Au));</t>
  </si>
  <si>
    <t>MB_ConcPressureFilter_Cu:(+0.0 = +(PressureFilterFeedStream_Mass * PressureFilterFeedStream_Cu)-(PressureFilterUnderflowStream_Mass * PressureFilterUnderflowStream_Cu));</t>
  </si>
  <si>
    <t>MB_ConcPressureFilter_F:(+0.0 = +(PressureFilterFeedStream_Mass * PressureFilterFeedStream_F)-(PressureFilterUnderflowStream_Mass * PressureFilterUnderflowStream_F));</t>
  </si>
  <si>
    <t>MB_ConcPressureFilter_Fe:(+0.0 = +(PressureFilterFeedStream_Mass * PressureFilterFeedStream_Fe)-(PressureFilterUnderflowStream_Mass * PressureFilterUnderflowStream_Fe));</t>
  </si>
  <si>
    <t>MB_ConcPressureFilter_S:(+0.0 = +(PressureFilterFeedStream_Mass * PressureFilterFeedStream_S)-(PressureFilterUnderflowStream_Mass * PressureFilterUnderflowStream_S));</t>
  </si>
  <si>
    <t>MB_ConcPressureFilter_U:(+0.0 = +(PressureFilterFeedStream_Mass * PressureFilterFeedStream_U)-(PressureFilterUnderflowStream_Mass * PressureFilterUnderflowStream_U));</t>
  </si>
  <si>
    <t>MB_ConcStorageTank1_Mass:(ConcStorageTank1_close_Mass - ConcStorageTank1_open_Mass+0.0 = +ConcStorageTank1FeedStream_Mass-ConcStorageTank1UnderflowStream_Mass);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</si>
  <si>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</si>
  <si>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</si>
  <si>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</si>
  <si>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</si>
  <si>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</si>
  <si>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</si>
  <si>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</si>
  <si>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MB_ConcStorageTank2_Mass:(ConcStorageTank2_close_Mass - ConcStorageTank2_open_Mass+0.0 = +ConcStorageTank2FeedStream_Mass-ConcStorageTank2UnderflowStream_Mass);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</si>
  <si>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</si>
  <si>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</si>
  <si>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</si>
  <si>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</si>
  <si>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</si>
  <si>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</si>
  <si>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</si>
  <si>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MB_ConcThickener_Mass:(ConcThickener_close_Mass - ConcThickener_open_Mass+0.0 = +CCLASStreamConcThickenerFeedStream_Mass+SpillageReturnStream_Mass-ConcThickenerUnderflowStream_Mass);</t>
  </si>
  <si>
    <t>MB_ConcThickenerFeedStream_Mass:(+0.0 = +OSAStreamConcThickenerFeedStream_Mass-CCLASStreamConcThickenerFeedStream_Mass);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</si>
  <si>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</si>
  <si>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</si>
  <si>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</si>
  <si>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MB_ConcThickenerFeedStream_F:(+0.0 = +(OSAStreamConcThickenerFeedStream_Mass * OSAStreamConcThickenerFeedStream_F)-(CCLASStreamConcThickenerFeedStream_Mass * CCLASStreamConcThickenerFeedStream_F));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</si>
  <si>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</si>
  <si>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MB_ConcThickenerFeedStream_S:(+0.0 = +(OSAStreamConcThickenerFeedStream_Mass * OSAStreamConcThickenerFeedStream_S)-(CCLASStreamConcThickenerFeedStream_Mass * CCLASStreamConcThickenerFeedStream_S));</t>
  </si>
  <si>
    <t>MB_ConcThickenerFeedStream_U:(+0.0 = +(OSAStreamConcThickenerFeedStream_Mass * OSAStreamConcThickenerFeedStream_U)-(CCLASStreamConcThickenerFeedStream_Mass * CCLASStreamConcThickenerFeedStream_U));</t>
  </si>
  <si>
    <t>MB_ConcThickenerUnderflowPump_Mass:(+0.0 = +ConcThickenerUnderflowStream_Mass-ConcStorageTank1FeedStream_Mass-ConcStorageTank2FeedStream_Mass);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</si>
  <si>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</si>
  <si>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</si>
  <si>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</si>
  <si>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</si>
  <si>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</si>
  <si>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</si>
  <si>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</si>
  <si>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</si>
  <si>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</si>
  <si>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</si>
  <si>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</si>
  <si>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</si>
  <si>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</si>
  <si>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</si>
  <si>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MB_Flotation_Mass:(+0.0 = +CCLASStreamRougherFeedStream_Mass-OSAStreamConcThickenerFeedStream_Mass-OSAStreamFlotationTailsStream_Mass);</t>
  </si>
  <si>
    <t>MB_FlotationTailsStream_Mass:(+0.0 = +OSAStreamFlotationTailsStream_Mass-CCLASStreamFlotationTailsStream_Mass);</t>
  </si>
  <si>
    <t>MB_FlotationTailsStream_Ag:(+0.0 = +(OSAStreamFlotationTailsStream_Mass * OSAStreamFlotationTailsStream_Ag)-(CCLASStreamFlotationTailsStream_Mass * CCLASStreamFlotationTailsStream_Ag));</t>
  </si>
  <si>
    <t>MB_FlotationTailsStream_Au:(+0.0 = +(OSAStreamFlotationTailsStream_Mass * OSAStreamFlotationTailsStream_Au)-(CCLASStreamFlotationTailsStream_Mass * CCLASStreamFlotationTailsStream_Au));</t>
  </si>
  <si>
    <t>MB_FlotationTailsStream_Cu:(+0.0 = +(OSAStreamFlotationTailsStream_Mass * OSAStreamFlotationTailsStream_Cu)-(CCLASStreamFlotationTailsStream_Mass * CCLASStreamFlotationTailsStream_Cu));</t>
  </si>
  <si>
    <t>MB_FlotationTailsStream_F:(+0.0 = +(OSAStreamFlotationTailsStream_Mass * OSAStreamFlotationTailsStream_F)-(CCLASStreamFlotationTailsStream_Mass * CCLASStreamFlotationTailsStream_F));</t>
  </si>
  <si>
    <t>MB_FlotationTailsStream_Fe:(+0.0 = +(OSAStreamFlotationTailsStream_Mass * OSAStreamFlotationTailsStream_Fe)-(CCLASStreamFlotationTailsStream_Mass * CCLASStreamFlotationTailsStream_Fe));</t>
  </si>
  <si>
    <t>MB_FlotationTailsStream_S:(+0.0 = +(OSAStreamFlotationTailsStream_Mass * OSAStreamFlotationTailsStream_S)-(CCLASStreamFlotationTailsStream_Mass * CCLASStreamFlotationTailsStream_S));</t>
  </si>
  <si>
    <t>MB_FlotationTailsStream_U:(+0.0 = +(OSAStreamFlotationTailsStream_Mass * OSAStreamFlotationTailsStream_U)-(CCLASStreamFlotationTailsStream_Mass * CCLASStreamFlotationTailsStream_U));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</si>
  <si>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</si>
  <si>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</si>
  <si>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</si>
  <si>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</si>
  <si>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</si>
  <si>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</si>
  <si>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</si>
  <si>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MB_Grinding_Mass:(+0.0 = +SAGMillFeedStream_Mass-OSAStreamRougherFeedStream_Mass);</t>
  </si>
  <si>
    <t>MB_Grinding_Ag:(+0.0 = +(SAGMillFeedStream_Mass * SAGMillFeedStream_Ag)-(OSAStreamRougherFeedStream_Mass * OSAStreamRougherFeedStream_Ag));</t>
  </si>
  <si>
    <t>MB_Grinding_Au:(+0.0 = +(SAGMillFeedStream_Mass * SAGMillFeedStream_Au)-(OSAStreamRougherFeedStream_Mass * OSAStreamRougherFeedStream_Au));</t>
  </si>
  <si>
    <t>MB_Grinding_Cu:(+0.0 = +(SAGMillFeedStream_Mass * SAGMillFeedStream_Cu)-(OSAStreamRougherFeedStream_Mass * OSAStreamRougherFeedStream_Cu));</t>
  </si>
  <si>
    <t>MB_Grinding_F:(+0.0 = +(SAGMillFeedStream_Mass * SAGMillFeedStream_F)-(OSAStreamRougherFeedStream_Mass * OSAStreamRougherFeedStream_F));</t>
  </si>
  <si>
    <t>MB_Grinding_Fe:(+0.0 = +(SAGMillFeedStream_Mass * SAGMillFeedStream_Fe)-(OSAStreamRougherFeedStream_Mass * OSAStreamRougherFeedStream_Fe));</t>
  </si>
  <si>
    <t>MB_Grinding_S:(+0.0 = +(SAGMillFeedStream_Mass * SAGMillFeedStream_S)-(OSAStreamRougherFeedStream_Mass * OSAStreamRougherFeedStream_S));</t>
  </si>
  <si>
    <t>MB_Grinding_U:(+0.0 = +(SAGMillFeedStream_Mass * SAGMillFeedStream_U)-(OSAStreamRougherFeedStream_Mass * OSAStreamRougherFeedStream_U));</t>
  </si>
  <si>
    <t>MB_RougherFeedStream_Mass:(+0.0 = +OSAStreamRougherFeedStream_Mass-CCLASStreamRougherFeedStream_Mass);</t>
  </si>
  <si>
    <t>MB_RougherFeedStream_Ag:(+0.0 = +(OSAStreamRougherFeedStream_Mass * OSAStreamRougherFeedStream_Ag)-(CCLASStreamRougherFeedStream_Mass * CCLASStreamRougherFeedStream_Ag));</t>
  </si>
  <si>
    <t>MB_RougherFeedStream_Au:(+0.0 = +(OSAStreamRougherFeedStream_Mass * OSAStreamRougherFeedStream_Au)-(CCLASStreamRougherFeedStream_Mass * CCLASStreamRougherFeedStream_Au));</t>
  </si>
  <si>
    <t>MB_RougherFeedStream_Cu:(+0.0 = +(OSAStreamRougherFeedStream_Mass * OSAStreamRougherFeedStream_Cu)-(CCLASStreamRougherFeedStream_Mass * CCLASStreamRougherFeedStream_Cu));</t>
  </si>
  <si>
    <t>MB_RougherFeedStream_F:(+0.0 = +(OSAStreamRougherFeedStream_Mass * OSAStreamRougherFeedStream_F)-(CCLASStreamRougherFeedStream_Mass * CCLASStreamRougherFeedStream_F));</t>
  </si>
  <si>
    <t>MB_RougherFeedStream_Fe:(+0.0 = +(OSAStreamRougherFeedStream_Mass * OSAStreamRougherFeedStream_Fe)-(CCLASStreamRougherFeedStream_Mass * CCLASStreamRougherFeedStream_Fe));</t>
  </si>
  <si>
    <t>MB_RougherFeedStream_S:(+0.0 = +(OSAStreamRougherFeedStream_Mass * OSAStreamRougherFeedStream_S)-(CCLASStreamRougherFeedStream_Mass * CCLASStreamRougherFeedStream_S));</t>
  </si>
  <si>
    <t>MB_RougherFeedStream_U:(+0.0 = +(OSAStreamRougherFeedStream_Mass * OSAStreamRougherFeedStream_U)-(CCLASStreamRougherFeedStream_Mass * CCLASStreamRougherFeedStream_U));</t>
  </si>
  <si>
    <t>MB_TailsThickening_Mass:(TailsThickening_close_Mass - TailsThickening_open_Mass+0.0 = +CCLASStreamFlotationTailsStream_Mass-TailsThickenerUnderflowStream_Mass);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</si>
  <si>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</si>
  <si>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</si>
  <si>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</si>
  <si>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</si>
  <si>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</si>
  <si>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</si>
  <si>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</si>
  <si>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/* User Defined Equations */</t>
  </si>
  <si>
    <t>ConcThickener_Cu:((3*ConcThickenerUnderflowStream_Cu)-(ConcThickener_open_Cu)-(2*OSAStreamConcThickenerFeedStream_Cu)=0);</t>
  </si>
  <si>
    <t>ConcThickener_Fe:((3*ConcThickenerUnderflowStream_Fe)-(ConcThickener_open_Fe)-(2*OSAStreamConcThickenerFeedStream_Fe)=0);</t>
  </si>
  <si>
    <t>ConcThickener_Au:((3*ConcThickenerUnderflowStream_Au)-(ConcThickener_open_Au)-(2*OSAStreamConcThickenerFeedStream_Au)=0);</t>
  </si>
  <si>
    <t>ConcThickener_Ag:((3*ConcThickenerUnderflowStream_Ag)-(ConcThickener_open_Ag)-(2*OSAStreamConcThickenerFeedStream_Ag)=0);</t>
  </si>
  <si>
    <t>ConcThickener_S:((3*ConcThickenerUnderflowStream_S)-(ConcThickener_open_S)-(2*OSAStreamConcThickenerFeedStream_S)=0);</t>
  </si>
  <si>
    <t>ConcThickener_U:((3*ConcThickenerUnderflowStream_U)-(ConcThickener_open_U)-(2*OSAStreamConcThickenerFeedStream_U)=0);</t>
  </si>
  <si>
    <t>ConcThickener_F:((3*ConcThickenerUnderflowStream_F)-(ConcThickener_open_F)-(2*OSAStreamConcThickenerFeedStream_F)=0);</t>
  </si>
  <si>
    <t>TailsThickening_Cu:((4*TailsThickenerUnderflowStream_Cu)-(TailsThickening_open_Cu)-(3*OSAStreamFlotationTailsStream_Cu)=0);</t>
  </si>
  <si>
    <t>TailsThickening_Fe:((4*TailsThickenerUnderflowStream_Fe)-(TailsThickening_open_Fe)-(3*OSAStreamFlotationTailsStream_Fe)=0);</t>
  </si>
  <si>
    <t>TailsThickening_Au:((4*TailsThickenerUnderflowStream_Au)-(TailsThickening_open_Au)-(3*OSAStreamFlotationTailsStream_Au)=0);</t>
  </si>
  <si>
    <t>TailsThickening_Ag:((4*TailsThickenerUnderflowStream_Ag)-(TailsThickening_open_Ag)-(3*OSAStreamFlotationTailsStream_Ag)=0);</t>
  </si>
  <si>
    <t>TailsThickening_S:((4*TailsThickenerUnderflowStream_S)-(TailsThickening_open_S)-(3*OSAStreamFlotationTailsStream_S)=0);</t>
  </si>
  <si>
    <t>TailsThickening_U:((4*TailsThickenerUnderflowStream_U)-(TailsThickening_open_U)-(3*OSAStreamFlotationTailsStream_U)=0);</t>
  </si>
  <si>
    <t>TailsThickening_F:((4*TailsThickenerUnderflowStream_F)-(TailsThickening_open_F)-(3*OSAStreamFlotationTailsStream_F)=0);</t>
  </si>
  <si>
    <t>ConcStorageTank1_Cu:((ConcStorageTank1UnderflowStream_Cu)-(ConcStorageTank1_open_Cu)=0);</t>
  </si>
  <si>
    <t>ConcStorageTank1_Fe:((ConcStorageTank1UnderflowStream_Fe)-(ConcStorageTank1_open_Fe)=0);</t>
  </si>
  <si>
    <t>ConcStorageTank1_Au:((ConcStorageTank1UnderflowStream_Au)-(ConcStorageTank1_open_Au)=0);</t>
  </si>
  <si>
    <t>ConcStorageTank1_Ag:((ConcStorageTank1UnderflowStream_Ag)-(ConcStorageTank1_open_Ag)=0);</t>
  </si>
  <si>
    <t>ConcStorageTank1_S:((ConcStorageTank1UnderflowStream_S)-(ConcStorageTank1_open_S)=0);</t>
  </si>
  <si>
    <t>ConcStorageTank1_U:((ConcStorageTank1UnderflowStream_U)-(ConcStorageTank1_open_U)=0);</t>
  </si>
  <si>
    <t>ConcStorageTank1_F:((ConcStorageTank1UnderflowStream_F)-(ConcStorageTank1_open_F)=0);</t>
  </si>
  <si>
    <t>ConcStorageTank2_Cu:((ConcStorageTank2UnderflowStream_Cu)-(ConcStorageTank2_open_Cu)=0);</t>
  </si>
  <si>
    <t>ConcStorageTank2_Fe:((ConcStorageTank2UnderflowStream_Fe)-(ConcStorageTank2_open_Fe)=0);</t>
  </si>
  <si>
    <t>ConcStorageTank2_Au:((ConcStorageTank2UnderflowStream_Au)-(ConcStorageTank2_open_Au)=0);</t>
  </si>
  <si>
    <t>ConcStorageTank2_Ag:((ConcStorageTank2UnderflowStream_Ag)-(ConcStorageTank2_open_Ag)=0);</t>
  </si>
  <si>
    <t>ConcStorageTank2_S:((ConcStorageTank2UnderflowStream_S)-(ConcStorageTank2_open_S)=0);</t>
  </si>
  <si>
    <t>ConcStorageTank2_U:((ConcStorageTank2UnderflowStream_U)-(ConcStorageTank2_open_U)=0);</t>
  </si>
  <si>
    <t>ConcStorageTank2_F:((ConcStorageTank2UnderflowStream_F)-(ConcStorageTank2_open_F)=0);</t>
  </si>
  <si>
    <t>SpillageReturnStream_Cu:((SpillageReturnStream_Cu)-(PressureFilterFeedStream_Cu)=0);</t>
  </si>
  <si>
    <t>SpillageReturnStream_Fe:((SpillageReturnStream_Fe)-(PressureFilterFeedStream_Fe)=0);</t>
  </si>
  <si>
    <t>SpillageReturnStream_Au:((SpillageReturnStream_Au)-(PressureFilterFeedStream_Au)=0);</t>
  </si>
  <si>
    <t>SpillageReturnStream_Ag:((SpillageReturnStream_Ag)-(PressureFilterFeedStream_Ag)=0);</t>
  </si>
  <si>
    <t>SpillageReturnStream_S:((SpillageReturnStream_S)-(PressureFilterFeedStream_S)=0);</t>
  </si>
  <si>
    <t>SpillageReturnStream_U:((SpillageReturnStream_U)-(PressureFilterFeedStream_U)=0);</t>
  </si>
  <si>
    <t>SpillageReturnStream_F:((SpillageReturnStream_F)-(PressureFilterFeedStream_F)=0);</t>
  </si>
  <si>
    <t>/* Non-Negative Constraint Equations */</t>
  </si>
  <si>
    <t>/* Mass Fraction Non-Negativity Constraints */</t>
  </si>
  <si>
    <t>NNC_ConcStorageTank1_close_Cu:(ConcStorageTank1_close_Cu &gt;= 0.0);</t>
  </si>
  <si>
    <t>NNC_ConcStorageTank1_close_Fe:(ConcStorageTank1_close_Fe &gt;= 0.0);</t>
  </si>
  <si>
    <t>NNC_ConcStorageTank1_close_Au:(ConcStorageTank1_close_Au &gt;= 0.0);</t>
  </si>
  <si>
    <t>NNC_ConcStorageTank1_close_Ag:(ConcStorageTank1_close_Ag &gt;= 0.0);</t>
  </si>
  <si>
    <t>NNC_ConcStorageTank1_close_S:(ConcStorageTank1_close_S &gt;= 0.0);</t>
  </si>
  <si>
    <t>NNC_ConcStorageTank1_close_U:(ConcStorageTank1_close_U &gt;= 0.0);</t>
  </si>
  <si>
    <t>NNC_ConcStorageTank1_close_F:(ConcStorageTank1_close_F &gt;= 0.0);</t>
  </si>
  <si>
    <t>NNC_ConcStorageTank2_close_Cu:(ConcStorageTank2_close_Cu &gt;= 0.0);</t>
  </si>
  <si>
    <t>NNC_ConcStorageTank2_close_Fe:(ConcStorageTank2_close_Fe &gt;= 0.0);</t>
  </si>
  <si>
    <t>NNC_ConcStorageTank2_close_Au:(ConcStorageTank2_close_Au &gt;= 0.0);</t>
  </si>
  <si>
    <t>NNC_ConcStorageTank2_close_Ag:(ConcStorageTank2_close_Ag &gt;= 0.0);</t>
  </si>
  <si>
    <t>NNC_ConcStorageTank2_close_S:(ConcStorageTank2_close_S &gt;= 0.0);</t>
  </si>
  <si>
    <t>NNC_ConcStorageTank2_close_U:(ConcStorageTank2_close_U &gt;= 0.0);</t>
  </si>
  <si>
    <t>NNC_ConcStorageTank2_close_F:(ConcStorageTank2_close_F &gt;= 0.0);</t>
  </si>
  <si>
    <t>NNC_ConcThickener_close_Cu:(ConcThickener_close_Cu &gt;= 0.0);</t>
  </si>
  <si>
    <t>NNC_ConcThickener_close_Fe:(ConcThickener_close_Fe &gt;= 0.0);</t>
  </si>
  <si>
    <t>NNC_ConcThickener_close_Au:(ConcThickener_close_Au &gt;= 0.0);</t>
  </si>
  <si>
    <t>NNC_ConcThickener_close_Ag:(ConcThickener_close_Ag &gt;= 0.0);</t>
  </si>
  <si>
    <t>NNC_ConcThickener_close_S:(ConcThickener_close_S &gt;= 0.0);</t>
  </si>
  <si>
    <t>NNC_ConcThickener_close_U:(ConcThickener_close_U &gt;= 0.0);</t>
  </si>
  <si>
    <t>NNC_ConcThickener_close_F:(ConcThickener_close_F &gt;= 0.0);</t>
  </si>
  <si>
    <t>NNC_TailsThickening_close_Cu:(TailsThickening_close_Cu &gt;= 0.0);</t>
  </si>
  <si>
    <t>NNC_TailsThickening_close_Fe:(TailsThickening_close_Fe &gt;= 0.0);</t>
  </si>
  <si>
    <t>NNC_TailsThickening_close_Au:(TailsThickening_close_Au &gt;= 0.0);</t>
  </si>
  <si>
    <t>NNC_TailsThickening_close_Ag:(TailsThickening_close_Ag &gt;= 0.0);</t>
  </si>
  <si>
    <t>NNC_TailsThickening_close_S:(TailsThickening_close_S &gt;= 0.0);</t>
  </si>
  <si>
    <t>NNC_TailsThickening_close_U:(TailsThickening_close_U &gt;= 0.0);</t>
  </si>
  <si>
    <t>NNC_TailsThickening_close_F:(TailsThickening_close_F &gt;= 0.0);</t>
  </si>
  <si>
    <t>NNC_ConcStorageTank1_open_Cu:(ConcStorageTank1_open_Cu &gt;= 0.0);</t>
  </si>
  <si>
    <t>NNC_ConcStorageTank1_open_Fe:(ConcStorageTank1_open_Fe &gt;= 0.0);</t>
  </si>
  <si>
    <t>NNC_ConcStorageTank1_open_Au:(ConcStorageTank1_open_Au &gt;= 0.0);</t>
  </si>
  <si>
    <t>NNC_ConcStorageTank1_open_Ag:(ConcStorageTank1_open_Ag &gt;= 0.0);</t>
  </si>
  <si>
    <t>NNC_ConcStorageTank1_open_S:(ConcStorageTank1_open_S &gt;= 0.0);</t>
  </si>
  <si>
    <t>NNC_ConcStorageTank1_open_U:(ConcStorageTank1_open_U &gt;= 0.0);</t>
  </si>
  <si>
    <t>NNC_ConcStorageTank1_open_F:(ConcStorageTank1_open_F &gt;= 0.0);</t>
  </si>
  <si>
    <t>NNC_ConcStorageTank2_open_Cu:(ConcStorageTank2_open_Cu &gt;= 0.0);</t>
  </si>
  <si>
    <t>NNC_ConcStorageTank2_open_Fe:(ConcStorageTank2_open_Fe &gt;= 0.0);</t>
  </si>
  <si>
    <t>NNC_ConcStorageTank2_open_Au:(ConcStorageTank2_open_Au &gt;= 0.0);</t>
  </si>
  <si>
    <t>NNC_ConcStorageTank2_open_Ag:(ConcStorageTank2_open_Ag &gt;= 0.0);</t>
  </si>
  <si>
    <t>NNC_ConcStorageTank2_open_S:(ConcStorageTank2_open_S &gt;= 0.0);</t>
  </si>
  <si>
    <t>NNC_ConcStorageTank2_open_U:(ConcStorageTank2_open_U &gt;= 0.0);</t>
  </si>
  <si>
    <t>NNC_ConcStorageTank2_open_F:(ConcStorageTank2_open_F &gt;= 0.0);</t>
  </si>
  <si>
    <t>NNC_ConcThickener_open_Cu:(ConcThickener_open_Cu &gt;= 0.0);</t>
  </si>
  <si>
    <t>NNC_ConcThickener_open_Fe:(ConcThickener_open_Fe &gt;= 0.0);</t>
  </si>
  <si>
    <t>NNC_ConcThickener_open_Au:(ConcThickener_open_Au &gt;= 0.0);</t>
  </si>
  <si>
    <t>NNC_ConcThickener_open_Ag:(ConcThickener_open_Ag &gt;= 0.0);</t>
  </si>
  <si>
    <t>NNC_ConcThickener_open_S:(ConcThickener_open_S &gt;= 0.0);</t>
  </si>
  <si>
    <t>NNC_ConcThickener_open_U:(ConcThickener_open_U &gt;= 0.0);</t>
  </si>
  <si>
    <t>NNC_ConcThickener_open_F:(ConcThickener_open_F &gt;= 0.0);</t>
  </si>
  <si>
    <t>NNC_TailsThickening_open_Cu:(TailsThickening_open_Cu &gt;= 0.0);</t>
  </si>
  <si>
    <t>NNC_TailsThickening_open_Fe:(TailsThickening_open_Fe &gt;= 0.0);</t>
  </si>
  <si>
    <t>NNC_TailsThickening_open_Au:(TailsThickening_open_Au &gt;= 0.0);</t>
  </si>
  <si>
    <t>NNC_TailsThickening_open_Ag:(TailsThickening_open_Ag &gt;= 0.0);</t>
  </si>
  <si>
    <t>NNC_TailsThickening_open_S:(TailsThickening_open_S &gt;= 0.0);</t>
  </si>
  <si>
    <t>NNC_TailsThickening_open_U:(TailsThickening_open_U &gt;= 0.0);</t>
  </si>
  <si>
    <t>NNC_TailsThickening_open_F:(TailsThickening_open_F &gt;= 0.0);</t>
  </si>
  <si>
    <t>NNC_CrushedOreStream_Cu:(CrushedOreStream_Cu &gt;= 0.0);</t>
  </si>
  <si>
    <t>NNC_CrushedOreStream_Fe:(CrushedOreStream_Fe &gt;= 0.0);</t>
  </si>
  <si>
    <t>NNC_CrushedOreStream_Au:(CrushedOreStream_Au &gt;= 0.0);</t>
  </si>
  <si>
    <t>NNC_CrushedOreStream_Ag:(CrushedOreStream_Ag &gt;= 0.0);</t>
  </si>
  <si>
    <t>NNC_CrushedOreStream_S:(CrushedOreStream_S &gt;= 0.0);</t>
  </si>
  <si>
    <t>NNC_CrushedOreStream_U:(CrushedOreStream_U &gt;= 0.0);</t>
  </si>
  <si>
    <t>NNC_CrushedOreStream_F:(CrushedOreStream_F &gt;= 0.0);</t>
  </si>
  <si>
    <t>NNC_CCLASStreamConcThickenerFeedStream_Cu:(CCLASStreamConcThickenerFeedStream_Cu &gt;= 0.0);</t>
  </si>
  <si>
    <t>NNC_CCLASStreamConcThickenerFeedStream_Fe:(CCLASStreamConcThickenerFeedStream_Fe &gt;= 0.0);</t>
  </si>
  <si>
    <t>NNC_CCLASStreamConcThickenerFeedStream_Au:(CCLASStreamConcThickenerFeedStream_Au &gt;= 0.0);</t>
  </si>
  <si>
    <t>NNC_CCLASStreamConcThickenerFeedStream_Ag:(CCLASStreamConcThickenerFeedStream_Ag &gt;= 0.0);</t>
  </si>
  <si>
    <t>NNC_CCLASStreamConcThickenerFeedStream_S:(CCLASStreamConcThickenerFeedStream_S &gt;= 0.0);</t>
  </si>
  <si>
    <t>NNC_CCLASStreamConcThickenerFeedStream_U:(CCLASStreamConcThickenerFeedStream_U &gt;= 0.0);</t>
  </si>
  <si>
    <t>NNC_CCLASStreamConcThickenerFeedStream_F:(CCLASStreamConcThickenerFeedStream_F &gt;= 0.0);</t>
  </si>
  <si>
    <t>NNC_CCLASStreamFlotationTailsStream_Cu:(CCLASStreamFlotationTailsStream_Cu &gt;= 0.0);</t>
  </si>
  <si>
    <t>NNC_CCLASStreamFlotationTailsStream_Fe:(CCLASStreamFlotationTailsStream_Fe &gt;= 0.0);</t>
  </si>
  <si>
    <t>NNC_CCLASStreamFlotationTailsStream_Au:(CCLASStreamFlotationTailsStream_Au &gt;= 0.0);</t>
  </si>
  <si>
    <t>NNC_CCLASStreamFlotationTailsStream_Ag:(CCLASStreamFlotationTailsStream_Ag &gt;= 0.0);</t>
  </si>
  <si>
    <t>NNC_CCLASStreamFlotationTailsStream_S:(CCLASStreamFlotationTailsStream_S &gt;= 0.0);</t>
  </si>
  <si>
    <t>NNC_CCLASStreamFlotationTailsStream_U:(CCLASStreamFlotationTailsStream_U &gt;= 0.0);</t>
  </si>
  <si>
    <t>NNC_CCLASStreamFlotationTailsStream_F:(CCLASStreamFlotationTailsStream_F &gt;= 0.0);</t>
  </si>
  <si>
    <t>NNC_CCLASStreamRougherFeedStream_Cu:(CCLASStreamRougherFeedStream_Cu &gt;= 0.0);</t>
  </si>
  <si>
    <t>NNC_CCLASStreamRougherFeedStream_Fe:(CCLASStreamRougherFeedStream_Fe &gt;= 0.0);</t>
  </si>
  <si>
    <t>NNC_CCLASStreamRougherFeedStream_Au:(CCLASStreamRougherFeedStream_Au &gt;= 0.0);</t>
  </si>
  <si>
    <t>NNC_CCLASStreamRougherFeedStream_Ag:(CCLASStreamRougherFeedStream_Ag &gt;= 0.0);</t>
  </si>
  <si>
    <t>NNC_CCLASStreamRougherFeedStream_S:(CCLASStreamRougherFeedStream_S &gt;= 0.0);</t>
  </si>
  <si>
    <t>NNC_CCLASStreamRougherFeedStream_U:(CCLASStreamRougherFeedStream_U &gt;= 0.0);</t>
  </si>
  <si>
    <t>NNC_CCLASStreamRougherFeedStream_F:(CCLASStreamRougherFeedStream_F &gt;= 0.0);</t>
  </si>
  <si>
    <t>NNC_ConcStorageTank1FeedStream_Cu:(ConcStorageTank1FeedStream_Cu &gt;= 0.0);</t>
  </si>
  <si>
    <t>NNC_ConcStorageTank1FeedStream_Fe:(ConcStorageTank1FeedStream_Fe &gt;= 0.0);</t>
  </si>
  <si>
    <t>NNC_ConcStorageTank1FeedStream_Au:(ConcStorageTank1FeedStream_Au &gt;= 0.0);</t>
  </si>
  <si>
    <t>NNC_ConcStorageTank1FeedStream_Ag:(ConcStorageTank1FeedStream_Ag &gt;= 0.0);</t>
  </si>
  <si>
    <t>NNC_ConcStorageTank1FeedStream_S:(ConcStorageTank1FeedStream_S &gt;= 0.0);</t>
  </si>
  <si>
    <t>NNC_ConcStorageTank1FeedStream_U:(ConcStorageTank1FeedStream_U &gt;= 0.0);</t>
  </si>
  <si>
    <t>NNC_ConcStorageTank1FeedStream_F:(ConcStorageTank1FeedStream_F &gt;= 0.0);</t>
  </si>
  <si>
    <t>NNC_ConcStorageTank1UnderflowStream_Cu:(ConcStorageTank1UnderflowStream_Cu &gt;= 0.0);</t>
  </si>
  <si>
    <t>NNC_ConcStorageTank1UnderflowStream_Fe:(ConcStorageTank1UnderflowStream_Fe &gt;= 0.0);</t>
  </si>
  <si>
    <t>NNC_ConcStorageTank1UnderflowStream_Au:(ConcStorageTank1UnderflowStream_Au &gt;= 0.0);</t>
  </si>
  <si>
    <t>NNC_ConcStorageTank1UnderflowStream_Ag:(ConcStorageTank1UnderflowStream_Ag &gt;= 0.0);</t>
  </si>
  <si>
    <t>NNC_ConcStorageTank1UnderflowStream_S:(ConcStorageTank1UnderflowStream_S &gt;= 0.0);</t>
  </si>
  <si>
    <t>NNC_ConcStorageTank1UnderflowStream_U:(ConcStorageTank1UnderflowStream_U &gt;= 0.0);</t>
  </si>
  <si>
    <t>NNC_ConcStorageTank1UnderflowStream_F:(ConcStorageTank1UnderflowStream_F &gt;= 0.0);</t>
  </si>
  <si>
    <t>NNC_ConcStorageTank2FeedStream_Cu:(ConcStorageTank2FeedStream_Cu &gt;= 0.0);</t>
  </si>
  <si>
    <t>NNC_ConcStorageTank2FeedStream_Fe:(ConcStorageTank2FeedStream_Fe &gt;= 0.0);</t>
  </si>
  <si>
    <t>NNC_ConcStorageTank2FeedStream_Au:(ConcStorageTank2FeedStream_Au &gt;= 0.0);</t>
  </si>
  <si>
    <t>NNC_ConcStorageTank2FeedStream_Ag:(ConcStorageTank2FeedStream_Ag &gt;= 0.0);</t>
  </si>
  <si>
    <t>NNC_ConcStorageTank2FeedStream_S:(ConcStorageTank2FeedStream_S &gt;= 0.0);</t>
  </si>
  <si>
    <t>NNC_ConcStorageTank2FeedStream_U:(ConcStorageTank2FeedStream_U &gt;= 0.0);</t>
  </si>
  <si>
    <t>NNC_ConcStorageTank2FeedStream_F:(ConcStorageTank2FeedStream_F &gt;= 0.0);</t>
  </si>
  <si>
    <t>NNC_ConcStorageTank2UnderflowStream_Cu:(ConcStorageTank2UnderflowStream_Cu &gt;= 0.0);</t>
  </si>
  <si>
    <t>NNC_ConcStorageTank2UnderflowStream_Fe:(ConcStorageTank2UnderflowStream_Fe &gt;= 0.0);</t>
  </si>
  <si>
    <t>NNC_ConcStorageTank2UnderflowStream_Au:(ConcStorageTank2UnderflowStream_Au &gt;= 0.0);</t>
  </si>
  <si>
    <t>NNC_ConcStorageTank2UnderflowStream_Ag:(ConcStorageTank2UnderflowStream_Ag &gt;= 0.0);</t>
  </si>
  <si>
    <t>NNC_ConcStorageTank2UnderflowStream_S:(ConcStorageTank2UnderflowStream_S &gt;= 0.0);</t>
  </si>
  <si>
    <t>NNC_ConcStorageTank2UnderflowStream_U:(ConcStorageTank2UnderflowStream_U &gt;= 0.0);</t>
  </si>
  <si>
    <t>NNC_ConcStorageTank2UnderflowStream_F:(ConcStorageTank2UnderflowStream_F &gt;= 0.0);</t>
  </si>
  <si>
    <t>NNC_ConcThickenerUnderflowStream_Cu:(ConcThickenerUnderflowStream_Cu &gt;= 0.0);</t>
  </si>
  <si>
    <t>NNC_ConcThickenerUnderflowStream_Fe:(ConcThickenerUnderflowStream_Fe &gt;= 0.0);</t>
  </si>
  <si>
    <t>NNC_ConcThickenerUnderflowStream_Au:(ConcThickenerUnderflowStream_Au &gt;= 0.0);</t>
  </si>
  <si>
    <t>NNC_ConcThickenerUnderflowStream_Ag:(ConcThickenerUnderflowStream_Ag &gt;= 0.0);</t>
  </si>
  <si>
    <t>NNC_ConcThickenerUnderflowStream_S:(ConcThickenerUnderflowStream_S &gt;= 0.0);</t>
  </si>
  <si>
    <t>NNC_ConcThickenerUnderflowStream_U:(ConcThickenerUnderflowStream_U &gt;= 0.0);</t>
  </si>
  <si>
    <t>NNC_ConcThickenerUnderflowStream_F:(ConcThickenerUnderflowStream_F &gt;= 0.0);</t>
  </si>
  <si>
    <t>NNC_OSAStreamConcThickenerFeedStream_Cu:(OSAStreamConcThickenerFeedStream_Cu &gt;= 0.0);</t>
  </si>
  <si>
    <t>NNC_OSAStreamConcThickenerFeedStream_Fe:(OSAStreamConcThickenerFeedStream_Fe &gt;= 0.0);</t>
  </si>
  <si>
    <t>NNC_OSAStreamConcThickenerFeedStream_Au:(OSAStreamConcThickenerFeedStream_Au &gt;= 0.0);</t>
  </si>
  <si>
    <t>NNC_OSAStreamConcThickenerFeedStream_Ag:(OSAStreamConcThickenerFeedStream_Ag &gt;= 0.0);</t>
  </si>
  <si>
    <t>NNC_OSAStreamConcThickenerFeedStream_S:(OSAStreamConcThickenerFeedStream_S &gt;= 0.0);</t>
  </si>
  <si>
    <t>NNC_OSAStreamConcThickenerFeedStream_U:(OSAStreamConcThickenerFeedStream_U &gt;= 0.0);</t>
  </si>
  <si>
    <t>NNC_OSAStreamConcThickenerFeedStream_F:(OSAStreamConcThickenerFeedStream_F &gt;= 0.0);</t>
  </si>
  <si>
    <t>NNC_OSAStreamFlotationTailsStream_Cu:(OSAStreamFlotationTailsStream_Cu &gt;= 0.0);</t>
  </si>
  <si>
    <t>NNC_OSAStreamFlotationTailsStream_Fe:(OSAStreamFlotationTailsStream_Fe &gt;= 0.0);</t>
  </si>
  <si>
    <t>NNC_OSAStreamFlotationTailsStream_Au:(OSAStreamFlotationTailsStream_Au &gt;= 0.0);</t>
  </si>
  <si>
    <t>NNC_OSAStreamFlotationTailsStream_Ag:(OSAStreamFlotationTailsStream_Ag &gt;= 0.0);</t>
  </si>
  <si>
    <t>NNC_OSAStreamFlotationTailsStream_S:(OSAStreamFlotationTailsStream_S &gt;= 0.0);</t>
  </si>
  <si>
    <t>NNC_OSAStreamFlotationTailsStream_U:(OSAStreamFlotationTailsStream_U &gt;= 0.0);</t>
  </si>
  <si>
    <t>NNC_OSAStreamFlotationTailsStream_F:(OSAStreamFlotationTailsStream_F &gt;= 0.0);</t>
  </si>
  <si>
    <t>NNC_OSAStreamRougherFeedStream_Cu:(OSAStreamRougherFeedStream_Cu &gt;= 0.0);</t>
  </si>
  <si>
    <t>NNC_OSAStreamRougherFeedStream_Fe:(OSAStreamRougherFeedStream_Fe &gt;= 0.0);</t>
  </si>
  <si>
    <t>NNC_OSAStreamRougherFeedStream_Au:(OSAStreamRougherFeedStream_Au &gt;= 0.0);</t>
  </si>
  <si>
    <t>NNC_OSAStreamRougherFeedStream_Ag:(OSAStreamRougherFeedStream_Ag &gt;= 0.0);</t>
  </si>
  <si>
    <t>NNC_OSAStreamRougherFeedStream_S:(OSAStreamRougherFeedStream_S &gt;= 0.0);</t>
  </si>
  <si>
    <t>NNC_OSAStreamRougherFeedStream_U:(OSAStreamRougherFeedStream_U &gt;= 0.0);</t>
  </si>
  <si>
    <t>NNC_OSAStreamRougherFeedStream_F:(OSAStreamRougherFeedStream_F &gt;= 0.0);</t>
  </si>
  <si>
    <t>NNC_PressureFilterFeedStream_Cu:(PressureFilterFeedStream_Cu &gt;= 0.0);</t>
  </si>
  <si>
    <t>NNC_PressureFilterFeedStream_Fe:(PressureFilterFeedStream_Fe &gt;= 0.0);</t>
  </si>
  <si>
    <t>NNC_PressureFilterFeedStream_Au:(PressureFilterFeedStream_Au &gt;= 0.0);</t>
  </si>
  <si>
    <t>NNC_PressureFilterFeedStream_Ag:(PressureFilterFeedStream_Ag &gt;= 0.0);</t>
  </si>
  <si>
    <t>NNC_PressureFilterFeedStream_S:(PressureFilterFeedStream_S &gt;= 0.0);</t>
  </si>
  <si>
    <t>NNC_PressureFilterFeedStream_U:(PressureFilterFeedStream_U &gt;= 0.0);</t>
  </si>
  <si>
    <t>NNC_PressureFilterFeedStream_F:(PressureFilterFeedStream_F &gt;= 0.0);</t>
  </si>
  <si>
    <t>NNC_PressureFilterUnderflowStream_Cu:(PressureFilterUnderflowStream_Cu &gt;= 0.0);</t>
  </si>
  <si>
    <t>NNC_PressureFilterUnderflowStream_Fe:(PressureFilterUnderflowStream_Fe &gt;= 0.0);</t>
  </si>
  <si>
    <t>NNC_PressureFilterUnderflowStream_Au:(PressureFilterUnderflowStream_Au &gt;= 0.0);</t>
  </si>
  <si>
    <t>NNC_PressureFilterUnderflowStream_Ag:(PressureFilterUnderflowStream_Ag &gt;= 0.0);</t>
  </si>
  <si>
    <t>NNC_PressureFilterUnderflowStream_S:(PressureFilterUnderflowStream_S &gt;= 0.0);</t>
  </si>
  <si>
    <t>NNC_PressureFilterUnderflowStream_U:(PressureFilterUnderflowStream_U &gt;= 0.0);</t>
  </si>
  <si>
    <t>NNC_PressureFilterUnderflowStream_F:(PressureFilterUnderflowStream_F &gt;= 0.0);</t>
  </si>
  <si>
    <t>NNC_SAGMillFeedStream_Cu:(SAGMillFeedStream_Cu &gt;= 0.0);</t>
  </si>
  <si>
    <t>NNC_SAGMillFeedStream_Fe:(SAGMillFeedStream_Fe &gt;= 0.0);</t>
  </si>
  <si>
    <t>NNC_SAGMillFeedStream_Au:(SAGMillFeedStream_Au &gt;= 0.0);</t>
  </si>
  <si>
    <t>NNC_SAGMillFeedStream_Ag:(SAGMillFeedStream_Ag &gt;= 0.0);</t>
  </si>
  <si>
    <t>NNC_SAGMillFeedStream_S:(SAGMillFeedStream_S &gt;= 0.0);</t>
  </si>
  <si>
    <t>NNC_SAGMillFeedStream_U:(SAGMillFeedStream_U &gt;= 0.0);</t>
  </si>
  <si>
    <t>NNC_SAGMillFeedStream_F:(SAGMillFeedStream_F &gt;= 0.0);</t>
  </si>
  <si>
    <t>NNC_SpillageReturnStream_Cu:(SpillageReturnStream_Cu &gt;= 0.0);</t>
  </si>
  <si>
    <t>NNC_SpillageReturnStream_Fe:(SpillageReturnStream_Fe &gt;= 0.0);</t>
  </si>
  <si>
    <t>NNC_SpillageReturnStream_Au:(SpillageReturnStream_Au &gt;= 0.0);</t>
  </si>
  <si>
    <t>NNC_SpillageReturnStream_Ag:(SpillageReturnStream_Ag &gt;= 0.0);</t>
  </si>
  <si>
    <t>NNC_SpillageReturnStream_S:(SpillageReturnStream_S &gt;= 0.0);</t>
  </si>
  <si>
    <t>NNC_SpillageReturnStream_U:(SpillageReturnStream_U &gt;= 0.0);</t>
  </si>
  <si>
    <t>NNC_SpillageReturnStream_F:(SpillageReturnStream_F &gt;= 0.0);</t>
  </si>
  <si>
    <t>NNC_TailsThickenerUnderflowStream_Cu:(TailsThickenerUnderflowStream_Cu &gt;= 0.0);</t>
  </si>
  <si>
    <t>NNC_TailsThickenerUnderflowStream_Fe:(TailsThickenerUnderflowStream_Fe &gt;= 0.0);</t>
  </si>
  <si>
    <t>NNC_TailsThickenerUnderflowStream_Au:(TailsThickenerUnderflowStream_Au &gt;= 0.0);</t>
  </si>
  <si>
    <t>NNC_TailsThickenerUnderflowStream_Ag:(TailsThickenerUnderflowStream_Ag &gt;= 0.0);</t>
  </si>
  <si>
    <t>NNC_TailsThickenerUnderflowStream_S:(TailsThickenerUnderflowStream_S &gt;= 0.0);</t>
  </si>
  <si>
    <t>NNC_TailsThickenerUnderflowStream_U:(TailsThickenerUnderflowStream_U &gt;= 0.0);</t>
  </si>
  <si>
    <t>NNC_TailsThickenerUnderflowStream_F:(TailsThickenerUnderflowStream_F &gt;= 0.0);</t>
  </si>
  <si>
    <t>/* Measurement Constraint Equations */</t>
  </si>
  <si>
    <t>CCLASStreamConcThickenerFeedStream_Mass:$NORMAL(0, 1200000000);</t>
  </si>
  <si>
    <t>CCLASStreamConcThickenerFeedStream_Cu:$NORMAL(0, 100000000);</t>
  </si>
  <si>
    <t>CCLASStreamConcThickenerFeedStream_Fe:$NORMAL(0, 100000000);</t>
  </si>
  <si>
    <t>CCLASStreamConcThickenerFeedStream_Au:$NORMAL(0, 10000);</t>
  </si>
  <si>
    <t>CCLASStreamConcThickenerFeedStream_Ag:$NORMAL(0, 10000);</t>
  </si>
  <si>
    <t>CCLASStreamConcThickenerFeedStream_S:$NORMAL(0, 100000000);</t>
  </si>
  <si>
    <t>CCLASStreamConcThickenerFeedStream_U:$NORMAL(0, 10000);</t>
  </si>
  <si>
    <t>CCLASStreamConcThickenerFeedStream_F:$NORMAL(0, 10000);</t>
  </si>
  <si>
    <t>CCLASStreamFlotationTailsStream_Mass:$NORMAL(0, 1200000000);</t>
  </si>
  <si>
    <t>CCLASStreamFlotationTailsStream_Cu:$NORMAL(.18662, .018662);</t>
  </si>
  <si>
    <t>CCLASStreamFlotationTailsStream_Fe:$NORMAL(6.28239, .628239);</t>
  </si>
  <si>
    <t>CCLASStreamFlotationTailsStream_Au:$NORMAL(.000010442, .0000010442);</t>
  </si>
  <si>
    <t>CCLASStreamFlotationTailsStream_Ag:$NORMAL(.000219283, .0000219283);</t>
  </si>
  <si>
    <t>CCLASStreamFlotationTailsStream_S:$NORMAL(5.99782, .599782);</t>
  </si>
  <si>
    <t>CCLASStreamFlotationTailsStream_U:$NORMAL(.00594541, .000594541);</t>
  </si>
  <si>
    <t>CCLASStreamFlotationTailsStream_F:$NORMAL(.04530937, .004530937);</t>
  </si>
  <si>
    <t>CCLASStreamRougherFeedStream_Mass:$NORMAL(0, 1200000000);</t>
  </si>
  <si>
    <t>CCLASStreamRougherFeedStream_Cu:$NORMAL(1.38745, .138745);</t>
  </si>
  <si>
    <t>CCLASStreamRougherFeedStream_Fe:$NORMAL(6.49355, .649355);</t>
  </si>
  <si>
    <t>CCLASStreamRougherFeedStream_Au:$NORMAL(.000043624, .0000043624);</t>
  </si>
  <si>
    <t>CCLASStreamRougherFeedStream_Ag:$NORMAL(.000579352, .0000579352);</t>
  </si>
  <si>
    <t>CCLASStreamRougherFeedStream_S:$NORMAL(6.29934, .629934);</t>
  </si>
  <si>
    <t>CCLASStreamRougherFeedStream_U:$NORMAL(.005938209, .0005938209);</t>
  </si>
  <si>
    <t>CCLASStreamRougherFeedStream_F:$NORMAL(.045901387, .0045901387);</t>
  </si>
  <si>
    <t>ConcStorageTank1_close_Mass:$NORMAL(491.80713, 49.180713);</t>
  </si>
  <si>
    <t>ConcStorageTank1_open_Mass:$NORMAL(931.078978, 0);</t>
  </si>
  <si>
    <t>ConcStorageTank1_close_Cu:$NORMAL(48.61461, 4.861461);</t>
  </si>
  <si>
    <t>ConcStorageTank1_open_Cu:$NORMAL(46.803008, 0);</t>
  </si>
  <si>
    <t>ConcStorageTank1_close_Fe:$NORMAL(15.70195, 1.570195);</t>
  </si>
  <si>
    <t>ConcStorageTank1_open_Fe:$NORMAL(15.514926, 0);</t>
  </si>
  <si>
    <t>ConcStorageTank1_close_Au:$NORMAL(.001335109, .0001335109);</t>
  </si>
  <si>
    <t>ConcStorageTank1_open_Au:$NORMAL(.0013139073, 0);</t>
  </si>
  <si>
    <t>ConcStorageTank1_close_Ag:$NORMAL(.014855127, .0014855127);</t>
  </si>
  <si>
    <t>ConcStorageTank1_open_Ag:$NORMAL(.014585254, 0);</t>
  </si>
  <si>
    <t>ConcStorageTank1_close_S:$NORMAL(18.14812, 1.814812);</t>
  </si>
  <si>
    <t>ConcStorageTank1_open_S:$NORMAL(17.750843, 0);</t>
  </si>
  <si>
    <t>ConcStorageTank1_close_U:$NORMAL(.005216988, .0005216988);</t>
  </si>
  <si>
    <t>ConcStorageTank1_open_U:$NORMAL(.0051087674, 0);</t>
  </si>
  <si>
    <t>ConcStorageTank1_close_F:$NORMAL(.068473831, .0068473831);</t>
  </si>
  <si>
    <t>ConcStorageTank1_open_F:$NORMAL(.0670017734, 0);</t>
  </si>
  <si>
    <t>ConcStorageTank1FeedStream_Mass:$NORMAL(0, 0);</t>
  </si>
  <si>
    <t>ConcStorageTank1FeedStream_Cu:$NORMAL(0, 100000000);</t>
  </si>
  <si>
    <t>ConcStorageTank1FeedStream_Fe:$NORMAL(0, 100000000);</t>
  </si>
  <si>
    <t>ConcStorageTank1FeedStream_Au:$NORMAL(0, 10000);</t>
  </si>
  <si>
    <t>ConcStorageTank1FeedStream_Ag:$NORMAL(0, 10000);</t>
  </si>
  <si>
    <t>ConcStorageTank1FeedStream_S:$NORMAL(0, 100000000);</t>
  </si>
  <si>
    <t>ConcStorageTank1FeedStream_U:$NORMAL(0, 10000);</t>
  </si>
  <si>
    <t>ConcStorageTank1FeedStream_F:$NORMAL(0, 10000);</t>
  </si>
  <si>
    <t>ConcStorageTank1UnderflowStream_Mass:$NORMAL(418.8996, 41.88996);</t>
  </si>
  <si>
    <t>ConcStorageTank1UnderflowStream_Cu:$NORMAL(0, 100000000);</t>
  </si>
  <si>
    <t>ConcStorageTank1UnderflowStream_Fe:$NORMAL(0, 100000000);</t>
  </si>
  <si>
    <t>ConcStorageTank1UnderflowStream_Au:$NORMAL(0, 10000);</t>
  </si>
  <si>
    <t>ConcStorageTank1UnderflowStream_Ag:$NORMAL(0, 10000);</t>
  </si>
  <si>
    <t>ConcStorageTank1UnderflowStream_S:$NORMAL(0, 100000000);</t>
  </si>
  <si>
    <t>ConcStorageTank1UnderflowStream_U:$NORMAL(0, 10000);</t>
  </si>
  <si>
    <t>ConcStorageTank1UnderflowStream_F:$NORMAL(0, 10000);</t>
  </si>
  <si>
    <t>ConcStorageTank2_close_Mass:$NORMAL(501.40381, 50.140381);</t>
  </si>
  <si>
    <t>ConcStorageTank2_open_Mass:$NORMAL(200.863942, 0);</t>
  </si>
  <si>
    <t>ConcStorageTank2_close_Cu:$NORMAL(47.92096, 4.792096);</t>
  </si>
  <si>
    <t>ConcStorageTank2_open_Cu:$NORMAL(47.559143, 0);</t>
  </si>
  <si>
    <t>ConcStorageTank2_close_Fe:$NORMAL(14.81783, 1.481783);</t>
  </si>
  <si>
    <t>ConcStorageTank2_open_Fe:$NORMAL(14.991615, 0);</t>
  </si>
  <si>
    <t>ConcStorageTank2_close_Au:$NORMAL(.001314217, .0001314217);</t>
  </si>
  <si>
    <t>ConcStorageTank2_open_Au:$NORMAL(.0012884338, 0);</t>
  </si>
  <si>
    <t>ConcStorageTank2_close_Ag:$NORMAL(.014544872, .0014544872);</t>
  </si>
  <si>
    <t>ConcStorageTank2_open_Ag:$NORMAL(.0145145034, 0);</t>
  </si>
  <si>
    <t>ConcStorageTank2_close_S:$NORMAL(17.80425, 1.780425);</t>
  </si>
  <si>
    <t>ConcStorageTank2_open_S:$NORMAL(17.46523, 0);</t>
  </si>
  <si>
    <t>ConcStorageTank2_close_U:$NORMAL(.005595907, .0005595907);</t>
  </si>
  <si>
    <t>ConcStorageTank2_open_U:$NORMAL(.0054770572, 0);</t>
  </si>
  <si>
    <t>ConcStorageTank2_close_F:$NORMAL(.068559126, .0068559126);</t>
  </si>
  <si>
    <t>ConcStorageTank2_open_F:$NORMAL(.0678291362, 0);</t>
  </si>
  <si>
    <t>ConcStorageTank2FeedStream_Mass:$NORMAL(298.61424, 29.861424);</t>
  </si>
  <si>
    <t>ConcStorageTank2FeedStream_Cu:$NORMAL(0, 100000000);</t>
  </si>
  <si>
    <t>ConcStorageTank2FeedStream_Fe:$NORMAL(0, 100000000);</t>
  </si>
  <si>
    <t>ConcStorageTank2FeedStream_Au:$NORMAL(0, 10000);</t>
  </si>
  <si>
    <t>ConcStorageTank2FeedStream_Ag:$NORMAL(0, 10000);</t>
  </si>
  <si>
    <t>ConcStorageTank2FeedStream_S:$NORMAL(0, 100000000);</t>
  </si>
  <si>
    <t>ConcStorageTank2FeedStream_U:$NORMAL(0, 10000);</t>
  </si>
  <si>
    <t>ConcStorageTank2FeedStream_F:$NORMAL(0, 10000);</t>
  </si>
  <si>
    <t>ConcStorageTank2UnderflowStream_Mass:$NORMAL(0, 0);</t>
  </si>
  <si>
    <t>ConcStorageTank2UnderflowStream_Cu:$NORMAL(0, 100000000);</t>
  </si>
  <si>
    <t>ConcStorageTank2UnderflowStream_Fe:$NORMAL(0, 100000000);</t>
  </si>
  <si>
    <t>ConcStorageTank2UnderflowStream_Au:$NORMAL(0, 10000);</t>
  </si>
  <si>
    <t>ConcStorageTank2UnderflowStream_Ag:$NORMAL(0, 10000);</t>
  </si>
  <si>
    <t>ConcStorageTank2UnderflowStream_S:$NORMAL(0, 100000000);</t>
  </si>
  <si>
    <t>ConcStorageTank2UnderflowStream_U:$NORMAL(0, 10000);</t>
  </si>
  <si>
    <t>ConcStorageTank2UnderflowStream_F:$NORMAL(0, 10000);</t>
  </si>
  <si>
    <t>ConcThickener_close_Mass:$NORMAL(0, 100000000);</t>
  </si>
  <si>
    <t>ConcThickener_open_Mass:$NORMAL(1002.307494, 0);</t>
  </si>
  <si>
    <t>ConcThickener_close_Cu:$NORMAL(0, 100000000);</t>
  </si>
  <si>
    <t>ConcThickener_open_Cu:$NORMAL(46.817815, 0);</t>
  </si>
  <si>
    <t>ConcThickener_close_Fe:$NORMAL(0, 100000000);</t>
  </si>
  <si>
    <t>ConcThickener_open_Fe:$NORMAL(15.416853, 0);</t>
  </si>
  <si>
    <t>ConcThickener_close_Au:$NORMAL(0, 10000);</t>
  </si>
  <si>
    <t>ConcThickener_open_Au:$NORMAL(.0013183448, 0);</t>
  </si>
  <si>
    <t>ConcThickener_close_Ag:$NORMAL(0, 10000);</t>
  </si>
  <si>
    <t>ConcThickener_open_Ag:$NORMAL(.0145066251, 0);</t>
  </si>
  <si>
    <t>ConcThickener_close_S:$NORMAL(0, 100000000);</t>
  </si>
  <si>
    <t>ConcThickener_open_S:$NORMAL(17.756429, 0);</t>
  </si>
  <si>
    <t>ConcThickener_close_U:$NORMAL(0, 10000);</t>
  </si>
  <si>
    <t>ConcThickener_open_U:$NORMAL(.0050968631, 0);</t>
  </si>
  <si>
    <t>ConcThickener_close_F:$NORMAL(0, 10000);</t>
  </si>
  <si>
    <t>ConcThickener_open_F:$NORMAL(.0664585441, 0);</t>
  </si>
  <si>
    <t>ConcThickenerUnderflowStream_Mass:$NORMAL(298.61424, 29.861424);</t>
  </si>
  <si>
    <t>ConcThickenerUnderflowStream_Cu:$NORMAL(47.90221, 4.790221);</t>
  </si>
  <si>
    <t>ConcThickenerUnderflowStream_Fe:$NORMAL(14.67245, 1.467245);</t>
  </si>
  <si>
    <t>ConcThickenerUnderflowStream_Au:$NORMAL(.001353066, .0001353066);</t>
  </si>
  <si>
    <t>ConcThickenerUnderflowStream_Ag:$NORMAL(.014527066, .0014527066);</t>
  </si>
  <si>
    <t>ConcThickenerUnderflowStream_S:$NORMAL(17.97936, 1.797936);</t>
  </si>
  <si>
    <t>ConcThickenerUnderflowStream_U:$NORMAL(.00566002, .000566002);</t>
  </si>
  <si>
    <t>ConcThickenerUnderflowStream_F:$NORMAL(.068834343, .0068834343);</t>
  </si>
  <si>
    <t>OSAStreamConcThickenerFeedStream_Mass:$NORMAL(0, 1200000000);</t>
  </si>
  <si>
    <t>OSAStreamConcThickenerFeedStream_Cu:$NORMAL(47.08775, 4.708775);</t>
  </si>
  <si>
    <t>OSAStreamConcThickenerFeedStream_Fe:$NORMAL(15.74202, 1.574202);</t>
  </si>
  <si>
    <t>OSAStreamConcThickenerFeedStream_Au:$NORMAL(0, 10000);</t>
  </si>
  <si>
    <t>OSAStreamConcThickenerFeedStream_Ag:$NORMAL(0, 10000);</t>
  </si>
  <si>
    <t>OSAStreamConcThickenerFeedStream_S:$NORMAL(0, 100000000);</t>
  </si>
  <si>
    <t>OSAStreamConcThickenerFeedStream_U:$NORMAL(0, 10000);</t>
  </si>
  <si>
    <t>OSAStreamConcThickenerFeedStream_F:$NORMAL(0, 10000);</t>
  </si>
  <si>
    <t>OSAStreamFlotationTailsStream_Mass:$NORMAL(0, 1200000000);</t>
  </si>
  <si>
    <t>OSAStreamFlotationTailsStream_Cu:$NORMAL(.18337, .018337);</t>
  </si>
  <si>
    <t>OSAStreamFlotationTailsStream_Fe:$NORMAL(6.11496, .611496);</t>
  </si>
  <si>
    <t>OSAStreamFlotationTailsStream_Au:$NORMAL(0, 10000);</t>
  </si>
  <si>
    <t>OSAStreamFlotationTailsStream_Ag:$NORMAL(0, 10000);</t>
  </si>
  <si>
    <t>OSAStreamFlotationTailsStream_S:$NORMAL(0, 100000000);</t>
  </si>
  <si>
    <t>OSAStreamFlotationTailsStream_U:$NORMAL(0, 10000);</t>
  </si>
  <si>
    <t>OSAStreamFlotationTailsStream_F:$NORMAL(0, 10000);</t>
  </si>
  <si>
    <t>OSAStreamRougherFeedStream_Mass:$NORMAL(0, 1200000000);</t>
  </si>
  <si>
    <t>OSAStreamRougherFeedStream_Cu:$NORMAL(1.3679, .13679);</t>
  </si>
  <si>
    <t>OSAStreamRougherFeedStream_Fe:$NORMAL(6.38199, .638199);</t>
  </si>
  <si>
    <t>OSAStreamRougherFeedStream_Au:$NORMAL(0, 10000);</t>
  </si>
  <si>
    <t>OSAStreamRougherFeedStream_Ag:$NORMAL(0, 10000);</t>
  </si>
  <si>
    <t>OSAStreamRougherFeedStream_S:$NORMAL(0, 100000000);</t>
  </si>
  <si>
    <t>OSAStreamRougherFeedStream_U:$NORMAL(0, 10000);</t>
  </si>
  <si>
    <t>OSAStreamRougherFeedStream_F:$NORMAL(0, 10000);</t>
  </si>
  <si>
    <t>PressureFilterFeedStream_Mass:$NORMAL(418.9, 41.89);</t>
  </si>
  <si>
    <t>PressureFilterFeedStream_Cu:$NORMAL(0, 100000000);</t>
  </si>
  <si>
    <t>PressureFilterFeedStream_Fe:$NORMAL(0, 100000000);</t>
  </si>
  <si>
    <t>PressureFilterFeedStream_Au:$NORMAL(0, 10000);</t>
  </si>
  <si>
    <t>PressureFilterFeedStream_Ag:$NORMAL(0, 10000);</t>
  </si>
  <si>
    <t>PressureFilterFeedStream_S:$NORMAL(0, 100000000);</t>
  </si>
  <si>
    <t>PressureFilterFeedStream_U:$NORMAL(0, 10000);</t>
  </si>
  <si>
    <t>PressureFilterFeedStream_F:$NORMAL(0, 10000);</t>
  </si>
  <si>
    <t>PressureFilterUnderflowStream_Mass:$NORMAL(0, 1200000000);</t>
  </si>
  <si>
    <t>PressureFilterUnderflowStream_Cu:$NORMAL(0, 100000000);</t>
  </si>
  <si>
    <t>PressureFilterUnderflowStream_Fe:$NORMAL(0, 100000000);</t>
  </si>
  <si>
    <t>PressureFilterUnderflowStream_Au:$NORMAL(0, 10000);</t>
  </si>
  <si>
    <t>PressureFilterUnderflowStream_Ag:$NORMAL(0, 10000);</t>
  </si>
  <si>
    <t>PressureFilterUnderflowStream_S:$NORMAL(0, 100000000);</t>
  </si>
  <si>
    <t>PressureFilterUnderflowStream_U:$NORMAL(0, 10000);</t>
  </si>
  <si>
    <t>PressureFilterUnderflowStream_F:$NORMAL(0, 10000);</t>
  </si>
  <si>
    <t>SAGMillFeedStream_Mass:$NORMAL(11865.27084, 237.3054168);</t>
  </si>
  <si>
    <t>SAGMillFeedStream_Cu:$NORMAL(0, 100000000);</t>
  </si>
  <si>
    <t>SAGMillFeedStream_Fe:$NORMAL(0, 100000000);</t>
  </si>
  <si>
    <t>SAGMillFeedStream_Au:$NORMAL(0, 10000);</t>
  </si>
  <si>
    <t>SAGMillFeedStream_Ag:$NORMAL(0, 10000);</t>
  </si>
  <si>
    <t>SAGMillFeedStream_S:$NORMAL(0, 100000000);</t>
  </si>
  <si>
    <t>SAGMillFeedStream_U:$NORMAL(0, 10000);</t>
  </si>
  <si>
    <t>SAGMillFeedStream_F:$NORMAL(0, 10000);</t>
  </si>
  <si>
    <t>SpillageReturnStream_Mass:$NORMAL(0, 0);</t>
  </si>
  <si>
    <t>SpillageReturnStream_Cu:$NORMAL(0, 100000000);</t>
  </si>
  <si>
    <t>SpillageReturnStream_Fe:$NORMAL(0, 100000000);</t>
  </si>
  <si>
    <t>SpillageReturnStream_Au:$NORMAL(0, 10000);</t>
  </si>
  <si>
    <t>SpillageReturnStream_Ag:$NORMAL(0, 10000);</t>
  </si>
  <si>
    <t>SpillageReturnStream_S:$NORMAL(0, 100000000);</t>
  </si>
  <si>
    <t>SpillageReturnStream_U:$NORMAL(0, 10000);</t>
  </si>
  <si>
    <t>SpillageReturnStream_F:$NORMAL(0, 10000);</t>
  </si>
  <si>
    <t>TailsThickenerUnderflowStream_Mass:$NORMAL(11566.65672, 1156.665672);</t>
  </si>
  <si>
    <t>TailsThickenerUnderflowStream_Cu:$NORMAL(0, 100000000);</t>
  </si>
  <si>
    <t>TailsThickenerUnderflowStream_Fe:$NORMAL(0, 100000000);</t>
  </si>
  <si>
    <t>TailsThickenerUnderflowStream_Au:$NORMAL(0, 10000);</t>
  </si>
  <si>
    <t>TailsThickenerUnderflowStream_Ag:$NORMAL(0, 10000);</t>
  </si>
  <si>
    <t>TailsThickenerUnderflowStream_S:$NORMAL(0, 100000000);</t>
  </si>
  <si>
    <t>TailsThickenerUnderflowStream_U:$NORMAL(0, 10000);</t>
  </si>
  <si>
    <t>TailsThickenerUnderflowStream_F:$NORMAL(0, 10000);</t>
  </si>
  <si>
    <t>TailsThickening_close_Mass:$NORMAL(0, 100000000);</t>
  </si>
  <si>
    <t>TailsThickening_open_Mass:$NORMAL(2980.845823, 0);</t>
  </si>
  <si>
    <t>TailsThickening_close_Cu:$NORMAL(0, 100000000);</t>
  </si>
  <si>
    <t>TailsThickening_open_Cu:$NORMAL(.195048, 0);</t>
  </si>
  <si>
    <t>TailsThickening_close_Fe:$NORMAL(0, 100000000);</t>
  </si>
  <si>
    <t>TailsThickening_open_Fe:$NORMAL(6.160552, 0);</t>
  </si>
  <si>
    <t>TailsThickening_close_Au:$NORMAL(0, 10000);</t>
  </si>
  <si>
    <t>TailsThickening_open_Au:$NORMAL(.000010257, 0);</t>
  </si>
  <si>
    <t>TailsThickening_close_Ag:$NORMAL(0, 10000);</t>
  </si>
  <si>
    <t>TailsThickening_open_Ag:$NORMAL(.0002101291, 0);</t>
  </si>
  <si>
    <t>TailsThickening_close_S:$NORMAL(0, 100000000);</t>
  </si>
  <si>
    <t>TailsThickening_open_S:$NORMAL(6.079655, 0);</t>
  </si>
  <si>
    <t>TailsThickening_close_U:$NORMAL(0, 10000);</t>
  </si>
  <si>
    <t>TailsThickening_open_U:$NORMAL(.0058350421, 0);</t>
  </si>
  <si>
    <t>TailsThickening_close_F:$NORMAL(0, 10000);</t>
  </si>
  <si>
    <t>TailsThickening_open_F:$NORMAL(.0443543689, 0);</t>
  </si>
  <si>
    <t>/* Measurement Constraint Equations - User-Defined */</t>
  </si>
  <si>
    <t>Var</t>
  </si>
  <si>
    <t>Solution</t>
  </si>
  <si>
    <t>Tolerance</t>
  </si>
  <si>
    <t>Measurement</t>
  </si>
  <si>
    <t>CCLASStreamConcThickenerFeedStream_Mass</t>
  </si>
  <si>
    <t>CCLASStreamConcThickenerFeedStream_Cu</t>
  </si>
  <si>
    <t>CCLASStreamConcThickenerFeedStream_Fe</t>
  </si>
  <si>
    <t>CCLASStreamConcThickenerFeedStream_Au</t>
  </si>
  <si>
    <t>CCLASStreamConcThickenerFeedStream_Ag</t>
  </si>
  <si>
    <t>CCLASStreamConcThickenerFeedStream_S</t>
  </si>
  <si>
    <t>CCLASStreamConcThickenerFeedStream_U</t>
  </si>
  <si>
    <t>CCLASStreamConcThickenerFeedStream_F</t>
  </si>
  <si>
    <t>CCLASStreamFlotationTailsStream_Mass</t>
  </si>
  <si>
    <t>CCLASStreamFlotationTailsStream_Cu</t>
  </si>
  <si>
    <t>CCLASStreamFlotationTailsStream_Fe</t>
  </si>
  <si>
    <t>CCLASStreamFlotationTailsStream_Au</t>
  </si>
  <si>
    <t>CCLASStreamFlotationTailsStream_Ag</t>
  </si>
  <si>
    <t>CCLASStreamFlotationTailsStream_S</t>
  </si>
  <si>
    <t>CCLASStreamFlotationTailsStream_U</t>
  </si>
  <si>
    <t>CCLASStreamFlotationTailsStream_F</t>
  </si>
  <si>
    <t>CCLASStreamRougherFeedStream_Mass</t>
  </si>
  <si>
    <t>CCLASStreamRougherFeedStream_Cu</t>
  </si>
  <si>
    <t>CCLASStreamRougherFeedStream_Fe</t>
  </si>
  <si>
    <t>CCLASStreamRougherFeedStream_Au</t>
  </si>
  <si>
    <t>CCLASStreamRougherFeedStream_Ag</t>
  </si>
  <si>
    <t>CCLASStreamRougherFeedStream_S</t>
  </si>
  <si>
    <t>CCLASStreamRougherFeedStream_U</t>
  </si>
  <si>
    <t>CCLASStreamRougherFeedStream_F</t>
  </si>
  <si>
    <t>ConcStorageTank1_close_Mass</t>
  </si>
  <si>
    <t>ConcStorageTank1_open_Mass</t>
  </si>
  <si>
    <t>ConcStorageTank1_close_Cu</t>
  </si>
  <si>
    <t>ConcStorageTank1_open_Cu</t>
  </si>
  <si>
    <t>ConcStorageTank1_close_Fe</t>
  </si>
  <si>
    <t>ConcStorageTank1_open_Fe</t>
  </si>
  <si>
    <t>ConcStorageTank1_close_Au</t>
  </si>
  <si>
    <t>ConcStorageTank1_open_Au</t>
  </si>
  <si>
    <t>ConcStorageTank1_close_Ag</t>
  </si>
  <si>
    <t>ConcStorageTank1_open_Ag</t>
  </si>
  <si>
    <t>ConcStorageTank1_close_S</t>
  </si>
  <si>
    <t>ConcStorageTank1_open_S</t>
  </si>
  <si>
    <t>ConcStorageTank1_close_U</t>
  </si>
  <si>
    <t>ConcStorageTank1_open_U</t>
  </si>
  <si>
    <t>ConcStorageTank1_close_F</t>
  </si>
  <si>
    <t>ConcStorageTank1_open_F</t>
  </si>
  <si>
    <t>ConcStorageTank1FeedStream_Mass</t>
  </si>
  <si>
    <t>ConcStorageTank1FeedStream_Cu</t>
  </si>
  <si>
    <t>ConcStorageTank1FeedStream_Fe</t>
  </si>
  <si>
    <t>ConcStorageTank1FeedStream_Au</t>
  </si>
  <si>
    <t>ConcStorageTank1FeedStream_Ag</t>
  </si>
  <si>
    <t>ConcStorageTank1FeedStream_S</t>
  </si>
  <si>
    <t>ConcStorageTank1FeedStream_U</t>
  </si>
  <si>
    <t>ConcStorageTank1FeedStream_F</t>
  </si>
  <si>
    <t>ConcStorageTank1UnderflowStream_Mass</t>
  </si>
  <si>
    <t>ConcStorageTank1UnderflowStream_Cu</t>
  </si>
  <si>
    <t>ConcStorageTank1UnderflowStream_Fe</t>
  </si>
  <si>
    <t>ConcStorageTank1UnderflowStream_Au</t>
  </si>
  <si>
    <t>ConcStorageTank1UnderflowStream_Ag</t>
  </si>
  <si>
    <t>ConcStorageTank1UnderflowStream_S</t>
  </si>
  <si>
    <t>ConcStorageTank1UnderflowStream_U</t>
  </si>
  <si>
    <t>ConcStorageTank1UnderflowStream_F</t>
  </si>
  <si>
    <t>ConcStorageTank2_close_Mass</t>
  </si>
  <si>
    <t>ConcStorageTank2_open_Mass</t>
  </si>
  <si>
    <t>ConcStorageTank2_close_Cu</t>
  </si>
  <si>
    <t>ConcStorageTank2_open_Cu</t>
  </si>
  <si>
    <t>ConcStorageTank2_close_Fe</t>
  </si>
  <si>
    <t>ConcStorageTank2_open_Fe</t>
  </si>
  <si>
    <t>ConcStorageTank2_close_Au</t>
  </si>
  <si>
    <t>ConcStorageTank2_open_Au</t>
  </si>
  <si>
    <t>ConcStorageTank2_close_Ag</t>
  </si>
  <si>
    <t>ConcStorageTank2_open_Ag</t>
  </si>
  <si>
    <t>ConcStorageTank2_close_S</t>
  </si>
  <si>
    <t>ConcStorageTank2_open_S</t>
  </si>
  <si>
    <t>ConcStorageTank2_close_U</t>
  </si>
  <si>
    <t>ConcStorageTank2_open_U</t>
  </si>
  <si>
    <t>ConcStorageTank2_close_F</t>
  </si>
  <si>
    <t>ConcStorageTank2_open_F</t>
  </si>
  <si>
    <t>ConcStorageTank2FeedStream_Mass</t>
  </si>
  <si>
    <t>ConcStorageTank2FeedStream_Cu</t>
  </si>
  <si>
    <t>ConcStorageTank2FeedStream_Fe</t>
  </si>
  <si>
    <t>ConcStorageTank2FeedStream_Au</t>
  </si>
  <si>
    <t>ConcStorageTank2FeedStream_Ag</t>
  </si>
  <si>
    <t>ConcStorageTank2FeedStream_S</t>
  </si>
  <si>
    <t>ConcStorageTank2FeedStream_U</t>
  </si>
  <si>
    <t>ConcStorageTank2FeedStream_F</t>
  </si>
  <si>
    <t>ConcStorageTank2UnderflowStream_Mass</t>
  </si>
  <si>
    <t>ConcStorageTank2UnderflowStream_Cu</t>
  </si>
  <si>
    <t>ConcStorageTank2UnderflowStream_Fe</t>
  </si>
  <si>
    <t>ConcStorageTank2UnderflowStream_Au</t>
  </si>
  <si>
    <t>ConcStorageTank2UnderflowStream_Ag</t>
  </si>
  <si>
    <t>ConcStorageTank2UnderflowStream_S</t>
  </si>
  <si>
    <t>ConcStorageTank2UnderflowStream_U</t>
  </si>
  <si>
    <t>ConcStorageTank2UnderflowStream_F</t>
  </si>
  <si>
    <t>ConcThickener_close_Mass</t>
  </si>
  <si>
    <t>ConcThickener_open_Mass</t>
  </si>
  <si>
    <t>ConcThickener_close_Cu</t>
  </si>
  <si>
    <t>ConcThickener_open_Cu</t>
  </si>
  <si>
    <t>ConcThickener_close_Fe</t>
  </si>
  <si>
    <t>ConcThickener_open_Fe</t>
  </si>
  <si>
    <t>ConcThickener_close_Au</t>
  </si>
  <si>
    <t>ConcThickener_open_Au</t>
  </si>
  <si>
    <t>ConcThickener_close_Ag</t>
  </si>
  <si>
    <t>ConcThickener_open_Ag</t>
  </si>
  <si>
    <t>ConcThickener_close_S</t>
  </si>
  <si>
    <t>ConcThickener_open_S</t>
  </si>
  <si>
    <t>ConcThickener_close_U</t>
  </si>
  <si>
    <t>ConcThickener_open_U</t>
  </si>
  <si>
    <t>ConcThickener_close_F</t>
  </si>
  <si>
    <t>ConcThickener_open_F</t>
  </si>
  <si>
    <t>ConcThickenerUnderflowStream_Mass</t>
  </si>
  <si>
    <t>ConcThickenerUnderflowStream_Cu</t>
  </si>
  <si>
    <t>ConcThickenerUnderflowStream_Fe</t>
  </si>
  <si>
    <t>ConcThickenerUnderflowStream_Au</t>
  </si>
  <si>
    <t>ConcThickenerUnderflowStream_Ag</t>
  </si>
  <si>
    <t>ConcThickenerUnderflowStream_S</t>
  </si>
  <si>
    <t>ConcThickenerUnderflowStream_U</t>
  </si>
  <si>
    <t>ConcThickenerUnderflowStream_F</t>
  </si>
  <si>
    <t>OSAStreamConcThickenerFeedStream_Mass</t>
  </si>
  <si>
    <t>OSAStreamConcThickenerFeedStream_Cu</t>
  </si>
  <si>
    <t>OSAStreamConcThickenerFeedStream_Fe</t>
  </si>
  <si>
    <t>OSAStreamConcThickenerFeedStream_Au</t>
  </si>
  <si>
    <t>OSAStreamConcThickenerFeedStream_Ag</t>
  </si>
  <si>
    <t>OSAStreamConcThickenerFeedStream_S</t>
  </si>
  <si>
    <t>OSAStreamConcThickenerFeedStream_U</t>
  </si>
  <si>
    <t>OSAStreamConcThickenerFeedStream_F</t>
  </si>
  <si>
    <t>OSAStreamFlotationTailsStream_Mass</t>
  </si>
  <si>
    <t>OSAStreamFlotationTailsStream_Cu</t>
  </si>
  <si>
    <t>OSAStreamFlotationTailsStream_Fe</t>
  </si>
  <si>
    <t>OSAStreamFlotationTailsStream_Au</t>
  </si>
  <si>
    <t>OSAStreamFlotationTailsStream_Ag</t>
  </si>
  <si>
    <t>OSAStreamFlotationTailsStream_S</t>
  </si>
  <si>
    <t>OSAStreamFlotationTailsStream_U</t>
  </si>
  <si>
    <t>OSAStreamFlotationTailsStream_F</t>
  </si>
  <si>
    <t>OSAStreamRougherFeedStream_Mass</t>
  </si>
  <si>
    <t>OSAStreamRougherFeedStream_Cu</t>
  </si>
  <si>
    <t>OSAStreamRougherFeedStream_Fe</t>
  </si>
  <si>
    <t>OSAStreamRougherFeedStream_Au</t>
  </si>
  <si>
    <t>OSAStreamRougherFeedStream_Ag</t>
  </si>
  <si>
    <t>OSAStreamRougherFeedStream_S</t>
  </si>
  <si>
    <t>OSAStreamRougherFeedStream_U</t>
  </si>
  <si>
    <t>OSAStreamRougherFeedStream_F</t>
  </si>
  <si>
    <t>PressureFilterFeedStream_Mass</t>
  </si>
  <si>
    <t>PressureFilterFeedStream_Cu</t>
  </si>
  <si>
    <t>PressureFilterFeedStream_Fe</t>
  </si>
  <si>
    <t>PressureFilterFeedStream_Au</t>
  </si>
  <si>
    <t>PressureFilterFeedStream_Ag</t>
  </si>
  <si>
    <t>PressureFilterFeedStream_S</t>
  </si>
  <si>
    <t>PressureFilterFeedStream_U</t>
  </si>
  <si>
    <t>PressureFilterFeedStream_F</t>
  </si>
  <si>
    <t>PressureFilterUnderflowStream_Mass</t>
  </si>
  <si>
    <t>PressureFilterUnderflowStream_Cu</t>
  </si>
  <si>
    <t>PressureFilterUnderflowStream_Fe</t>
  </si>
  <si>
    <t>PressureFilterUnderflowStream_Au</t>
  </si>
  <si>
    <t>PressureFilterUnderflowStream_Ag</t>
  </si>
  <si>
    <t>PressureFilterUnderflowStream_S</t>
  </si>
  <si>
    <t>PressureFilterUnderflowStream_U</t>
  </si>
  <si>
    <t>PressureFilterUnderflowStream_F</t>
  </si>
  <si>
    <t>SAGMillFeedStream_Mass</t>
  </si>
  <si>
    <t>SAGMillFeedStream_Cu</t>
  </si>
  <si>
    <t>SAGMillFeedStream_Fe</t>
  </si>
  <si>
    <t>SAGMillFeedStream_Au</t>
  </si>
  <si>
    <t>SAGMillFeedStream_Ag</t>
  </si>
  <si>
    <t>SAGMillFeedStream_S</t>
  </si>
  <si>
    <t>SAGMillFeedStream_U</t>
  </si>
  <si>
    <t>SAGMillFeedStream_F</t>
  </si>
  <si>
    <t>SpillageReturnStream_Mass</t>
  </si>
  <si>
    <t>SpillageReturnStream_Cu</t>
  </si>
  <si>
    <t>SpillageReturnStream_Fe</t>
  </si>
  <si>
    <t>SpillageReturnStream_Au</t>
  </si>
  <si>
    <t>SpillageReturnStream_Ag</t>
  </si>
  <si>
    <t>SpillageReturnStream_S</t>
  </si>
  <si>
    <t>SpillageReturnStream_U</t>
  </si>
  <si>
    <t>SpillageReturnStream_F</t>
  </si>
  <si>
    <t>TailsThickenerUnderflowStream_Mass</t>
  </si>
  <si>
    <t>TailsThickenerUnderflowStream_Cu</t>
  </si>
  <si>
    <t>TailsThickenerUnderflowStream_Fe</t>
  </si>
  <si>
    <t>TailsThickenerUnderflowStream_Au</t>
  </si>
  <si>
    <t>TailsThickenerUnderflowStream_Ag</t>
  </si>
  <si>
    <t>TailsThickenerUnderflowStream_S</t>
  </si>
  <si>
    <t>TailsThickenerUnderflowStream_U</t>
  </si>
  <si>
    <t>TailsThickenerUnderflowStream_F</t>
  </si>
  <si>
    <t>TailsThickening_close_Mass</t>
  </si>
  <si>
    <t>TailsThickening_open_Mass</t>
  </si>
  <si>
    <t>TailsThickening_close_Cu</t>
  </si>
  <si>
    <t>TailsThickening_open_Cu</t>
  </si>
  <si>
    <t>TailsThickening_close_Fe</t>
  </si>
  <si>
    <t>TailsThickening_open_Fe</t>
  </si>
  <si>
    <t>TailsThickening_close_Au</t>
  </si>
  <si>
    <t>TailsThickening_open_Au</t>
  </si>
  <si>
    <t>TailsThickening_close_Ag</t>
  </si>
  <si>
    <t>TailsThickening_open_Ag</t>
  </si>
  <si>
    <t>TailsThickening_close_S</t>
  </si>
  <si>
    <t>TailsThickening_open_S</t>
  </si>
  <si>
    <t>TailsThickening_close_U</t>
  </si>
  <si>
    <t>TailsThickening_open_U</t>
  </si>
  <si>
    <t>TailsThickening_close_F</t>
  </si>
  <si>
    <t>TailsThickening_open_F</t>
  </si>
  <si>
    <t>VariableName</t>
  </si>
  <si>
    <t>ConstraintName</t>
  </si>
  <si>
    <t>Equality</t>
  </si>
  <si>
    <t>Value</t>
  </si>
  <si>
    <t>NNC_ConcStorageTank1_close_Cu</t>
  </si>
  <si>
    <t>NNC_ConcStorageTank1_close_Fe</t>
  </si>
  <si>
    <t>NNC_ConcStorageTank1_close_Au</t>
  </si>
  <si>
    <t>NNC_ConcStorageTank1_close_Ag</t>
  </si>
  <si>
    <t>NNC_ConcStorageTank1_close_S</t>
  </si>
  <si>
    <t>NNC_ConcStorageTank1_close_U</t>
  </si>
  <si>
    <t>NNC_ConcStorageTank1_close_F</t>
  </si>
  <si>
    <t>NNC_ConcStorageTank2_close_Cu</t>
  </si>
  <si>
    <t>NNC_ConcStorageTank2_close_Fe</t>
  </si>
  <si>
    <t>NNC_ConcStorageTank2_close_Au</t>
  </si>
  <si>
    <t>NNC_ConcStorageTank2_close_Ag</t>
  </si>
  <si>
    <t>NNC_ConcStorageTank2_close_S</t>
  </si>
  <si>
    <t>NNC_ConcStorageTank2_close_U</t>
  </si>
  <si>
    <t>NNC_ConcStorageTank2_close_F</t>
  </si>
  <si>
    <t>NNC_ConcThickener_close_Cu</t>
  </si>
  <si>
    <t>NNC_ConcThickener_close_Fe</t>
  </si>
  <si>
    <t>NNC_ConcThickener_close_Au</t>
  </si>
  <si>
    <t>NNC_ConcThickener_close_Ag</t>
  </si>
  <si>
    <t>NNC_ConcThickener_close_S</t>
  </si>
  <si>
    <t>NNC_ConcThickener_close_U</t>
  </si>
  <si>
    <t>NNC_ConcThickener_close_F</t>
  </si>
  <si>
    <t>NNC_TailsThickening_close_Cu</t>
  </si>
  <si>
    <t>NNC_TailsThickening_close_Fe</t>
  </si>
  <si>
    <t>NNC_TailsThickening_close_Au</t>
  </si>
  <si>
    <t>NNC_TailsThickening_close_Ag</t>
  </si>
  <si>
    <t>NNC_TailsThickening_close_S</t>
  </si>
  <si>
    <t>NNC_TailsThickening_close_U</t>
  </si>
  <si>
    <t>NNC_TailsThickening_close_F</t>
  </si>
  <si>
    <t>NNC_ConcStorageTank1_open_Cu</t>
  </si>
  <si>
    <t>NNC_ConcStorageTank1_open_Fe</t>
  </si>
  <si>
    <t>NNC_ConcStorageTank1_open_Au</t>
  </si>
  <si>
    <t>NNC_ConcStorageTank1_open_Ag</t>
  </si>
  <si>
    <t>NNC_ConcStorageTank1_open_S</t>
  </si>
  <si>
    <t>NNC_ConcStorageTank1_open_U</t>
  </si>
  <si>
    <t>NNC_ConcStorageTank1_open_F</t>
  </si>
  <si>
    <t>NNC_ConcStorageTank2_open_Cu</t>
  </si>
  <si>
    <t>NNC_ConcStorageTank2_open_Fe</t>
  </si>
  <si>
    <t>NNC_ConcStorageTank2_open_Au</t>
  </si>
  <si>
    <t>NNC_ConcStorageTank2_open_Ag</t>
  </si>
  <si>
    <t>NNC_ConcStorageTank2_open_S</t>
  </si>
  <si>
    <t>NNC_ConcStorageTank2_open_U</t>
  </si>
  <si>
    <t>NNC_ConcStorageTank2_open_F</t>
  </si>
  <si>
    <t>NNC_ConcThickener_open_Cu</t>
  </si>
  <si>
    <t>NNC_ConcThickener_open_Fe</t>
  </si>
  <si>
    <t>NNC_ConcThickener_open_Au</t>
  </si>
  <si>
    <t>NNC_ConcThickener_open_Ag</t>
  </si>
  <si>
    <t>NNC_ConcThickener_open_S</t>
  </si>
  <si>
    <t>NNC_ConcThickener_open_U</t>
  </si>
  <si>
    <t>NNC_ConcThickener_open_F</t>
  </si>
  <si>
    <t>NNC_TailsThickening_open_Cu</t>
  </si>
  <si>
    <t>NNC_TailsThickening_open_Fe</t>
  </si>
  <si>
    <t>NNC_TailsThickening_open_Au</t>
  </si>
  <si>
    <t>NNC_TailsThickening_open_Ag</t>
  </si>
  <si>
    <t>NNC_TailsThickening_open_S</t>
  </si>
  <si>
    <t>NNC_TailsThickening_open_U</t>
  </si>
  <si>
    <t>NNC_TailsThickening_open_F</t>
  </si>
  <si>
    <t>NNC_CrushedOreStream_Cu</t>
  </si>
  <si>
    <t>NNC_CrushedOreStream_Fe</t>
  </si>
  <si>
    <t>NNC_CrushedOreStream_Au</t>
  </si>
  <si>
    <t>NNC_CrushedOreStream_Ag</t>
  </si>
  <si>
    <t>NNC_CrushedOreStream_S</t>
  </si>
  <si>
    <t>NNC_CrushedOreStream_U</t>
  </si>
  <si>
    <t>NNC_CrushedOreStream_F</t>
  </si>
  <si>
    <t>NNC_CCLASStreamConcThickenerFeedStream_Cu</t>
  </si>
  <si>
    <t>NNC_CCLASStreamConcThickenerFeedStream_Fe</t>
  </si>
  <si>
    <t>NNC_CCLASStreamConcThickenerFeedStream_Au</t>
  </si>
  <si>
    <t>NNC_CCLASStreamConcThickenerFeedStream_Ag</t>
  </si>
  <si>
    <t>NNC_CCLASStreamConcThickenerFeedStream_S</t>
  </si>
  <si>
    <t>NNC_CCLASStreamConcThickenerFeedStream_U</t>
  </si>
  <si>
    <t>NNC_CCLASStreamConcThickenerFeedStream_F</t>
  </si>
  <si>
    <t>NNC_CCLASStreamFlotationTailsStream_Cu</t>
  </si>
  <si>
    <t>NNC_CCLASStreamFlotationTailsStream_Fe</t>
  </si>
  <si>
    <t>NNC_CCLASStreamFlotationTailsStream_Au</t>
  </si>
  <si>
    <t>NNC_CCLASStreamFlotationTailsStream_Ag</t>
  </si>
  <si>
    <t>NNC_CCLASStreamFlotationTailsStream_S</t>
  </si>
  <si>
    <t>NNC_CCLASStreamFlotationTailsStream_U</t>
  </si>
  <si>
    <t>NNC_CCLASStreamFlotationTailsStream_F</t>
  </si>
  <si>
    <t>NNC_CCLASStreamRougherFeedStream_Cu</t>
  </si>
  <si>
    <t>NNC_CCLASStreamRougherFeedStream_Fe</t>
  </si>
  <si>
    <t>NNC_CCLASStreamRougherFeedStream_Au</t>
  </si>
  <si>
    <t>NNC_CCLASStreamRougherFeedStream_Ag</t>
  </si>
  <si>
    <t>NNC_CCLASStreamRougherFeedStream_S</t>
  </si>
  <si>
    <t>NNC_CCLASStreamRougherFeedStream_U</t>
  </si>
  <si>
    <t>NNC_CCLASStreamRougherFeedStream_F</t>
  </si>
  <si>
    <t>NNC_ConcStorageTank1FeedStream_Cu</t>
  </si>
  <si>
    <t>NNC_ConcStorageTank1FeedStream_Fe</t>
  </si>
  <si>
    <t>NNC_ConcStorageTank1FeedStream_Au</t>
  </si>
  <si>
    <t>NNC_ConcStorageTank1FeedStream_Ag</t>
  </si>
  <si>
    <t>NNC_ConcStorageTank1FeedStream_S</t>
  </si>
  <si>
    <t>NNC_ConcStorageTank1FeedStream_U</t>
  </si>
  <si>
    <t>NNC_ConcStorageTank1FeedStream_F</t>
  </si>
  <si>
    <t>NNC_ConcStorageTank1UnderflowStream_Cu</t>
  </si>
  <si>
    <t>NNC_ConcStorageTank1UnderflowStream_Fe</t>
  </si>
  <si>
    <t>NNC_ConcStorageTank1UnderflowStream_Au</t>
  </si>
  <si>
    <t>NNC_ConcStorageTank1UnderflowStream_Ag</t>
  </si>
  <si>
    <t>NNC_ConcStorageTank1UnderflowStream_S</t>
  </si>
  <si>
    <t>NNC_ConcStorageTank1UnderflowStream_U</t>
  </si>
  <si>
    <t>NNC_ConcStorageTank1UnderflowStream_F</t>
  </si>
  <si>
    <t>NNC_ConcStorageTank2FeedStream_Cu</t>
  </si>
  <si>
    <t>NNC_ConcStorageTank2FeedStream_Fe</t>
  </si>
  <si>
    <t>NNC_ConcStorageTank2FeedStream_Au</t>
  </si>
  <si>
    <t>NNC_ConcStorageTank2FeedStream_Ag</t>
  </si>
  <si>
    <t>NNC_ConcStorageTank2FeedStream_S</t>
  </si>
  <si>
    <t>NNC_ConcStorageTank2FeedStream_U</t>
  </si>
  <si>
    <t>NNC_ConcStorageTank2FeedStream_F</t>
  </si>
  <si>
    <t>NNC_ConcStorageTank2UnderflowStream_Cu</t>
  </si>
  <si>
    <t>NNC_ConcStorageTank2UnderflowStream_Fe</t>
  </si>
  <si>
    <t>NNC_ConcStorageTank2UnderflowStream_Au</t>
  </si>
  <si>
    <t>NNC_ConcStorageTank2UnderflowStream_Ag</t>
  </si>
  <si>
    <t>NNC_ConcStorageTank2UnderflowStream_S</t>
  </si>
  <si>
    <t>NNC_ConcStorageTank2UnderflowStream_U</t>
  </si>
  <si>
    <t>NNC_ConcStorageTank2UnderflowStream_F</t>
  </si>
  <si>
    <t>NNC_ConcThickenerUnderflowStream_Cu</t>
  </si>
  <si>
    <t>NNC_ConcThickenerUnderflowStream_Fe</t>
  </si>
  <si>
    <t>NNC_ConcThickenerUnderflowStream_Au</t>
  </si>
  <si>
    <t>NNC_ConcThickenerUnderflowStream_Ag</t>
  </si>
  <si>
    <t>NNC_ConcThickenerUnderflowStream_S</t>
  </si>
  <si>
    <t>NNC_ConcThickenerUnderflowStream_U</t>
  </si>
  <si>
    <t>NNC_ConcThickenerUnderflowStream_F</t>
  </si>
  <si>
    <t>NNC_OSAStreamConcThickenerFeedStream_Cu</t>
  </si>
  <si>
    <t>NNC_OSAStreamConcThickenerFeedStream_Fe</t>
  </si>
  <si>
    <t>NNC_OSAStreamConcThickenerFeedStream_Au</t>
  </si>
  <si>
    <t>NNC_OSAStreamConcThickenerFeedStream_Ag</t>
  </si>
  <si>
    <t>NNC_OSAStreamConcThickenerFeedStream_S</t>
  </si>
  <si>
    <t>NNC_OSAStreamConcThickenerFeedStream_U</t>
  </si>
  <si>
    <t>NNC_OSAStreamConcThickenerFeedStream_F</t>
  </si>
  <si>
    <t>NNC_OSAStreamFlotationTailsStream_Cu</t>
  </si>
  <si>
    <t>NNC_OSAStreamFlotationTailsStream_Fe</t>
  </si>
  <si>
    <t>NNC_OSAStreamFlotationTailsStream_Au</t>
  </si>
  <si>
    <t>NNC_OSAStreamFlotationTailsStream_Ag</t>
  </si>
  <si>
    <t>NNC_OSAStreamFlotationTailsStream_S</t>
  </si>
  <si>
    <t>NNC_OSAStreamFlotationTailsStream_U</t>
  </si>
  <si>
    <t>NNC_OSAStreamFlotationTailsStream_F</t>
  </si>
  <si>
    <t>NNC_OSAStreamRougherFeedStream_Cu</t>
  </si>
  <si>
    <t>NNC_OSAStreamRougherFeedStream_Fe</t>
  </si>
  <si>
    <t>NNC_OSAStreamRougherFeedStream_Au</t>
  </si>
  <si>
    <t>NNC_OSAStreamRougherFeedStream_Ag</t>
  </si>
  <si>
    <t>NNC_OSAStreamRougherFeedStream_S</t>
  </si>
  <si>
    <t>NNC_OSAStreamRougherFeedStream_U</t>
  </si>
  <si>
    <t>NNC_OSAStreamRougherFeedStream_F</t>
  </si>
  <si>
    <t>NNC_PressureFilterFeedStream_Cu</t>
  </si>
  <si>
    <t>NNC_PressureFilterFeedStream_Fe</t>
  </si>
  <si>
    <t>NNC_PressureFilterFeedStream_Au</t>
  </si>
  <si>
    <t>NNC_PressureFilterFeedStream_Ag</t>
  </si>
  <si>
    <t>NNC_PressureFilterFeedStream_S</t>
  </si>
  <si>
    <t>NNC_PressureFilterFeedStream_U</t>
  </si>
  <si>
    <t>NNC_PressureFilterFeedStream_F</t>
  </si>
  <si>
    <t>NNC_PressureFilterUnderflowStream_Cu</t>
  </si>
  <si>
    <t>NNC_PressureFilterUnderflowStream_Fe</t>
  </si>
  <si>
    <t>NNC_PressureFilterUnderflowStream_Au</t>
  </si>
  <si>
    <t>NNC_PressureFilterUnderflowStream_Ag</t>
  </si>
  <si>
    <t>NNC_PressureFilterUnderflowStream_S</t>
  </si>
  <si>
    <t>NNC_PressureFilterUnderflowStream_U</t>
  </si>
  <si>
    <t>NNC_PressureFilterUnderflowStream_F</t>
  </si>
  <si>
    <t>NNC_SAGMillFeedStream_Cu</t>
  </si>
  <si>
    <t>NNC_SAGMillFeedStream_Fe</t>
  </si>
  <si>
    <t>NNC_SAGMillFeedStream_Au</t>
  </si>
  <si>
    <t>NNC_SAGMillFeedStream_Ag</t>
  </si>
  <si>
    <t>NNC_SAGMillFeedStream_S</t>
  </si>
  <si>
    <t>NNC_SAGMillFeedStream_U</t>
  </si>
  <si>
    <t>NNC_SAGMillFeedStream_F</t>
  </si>
  <si>
    <t>NNC_SpillageReturnStream_Cu</t>
  </si>
  <si>
    <t>NNC_SpillageReturnStream_Fe</t>
  </si>
  <si>
    <t>NNC_SpillageReturnStream_Au</t>
  </si>
  <si>
    <t>NNC_SpillageReturnStream_Ag</t>
  </si>
  <si>
    <t>NNC_SpillageReturnStream_S</t>
  </si>
  <si>
    <t>NNC_SpillageReturnStream_U</t>
  </si>
  <si>
    <t>NNC_SpillageReturnStream_F</t>
  </si>
  <si>
    <t>NNC_TailsThickenerUnderflowStream_Cu</t>
  </si>
  <si>
    <t>NNC_TailsThickenerUnderflowStream_Fe</t>
  </si>
  <si>
    <t>NNC_TailsThickenerUnderflowStream_Au</t>
  </si>
  <si>
    <t>NNC_TailsThickenerUnderflowStream_Ag</t>
  </si>
  <si>
    <t>NNC_TailsThickenerUnderflowStream_S</t>
  </si>
  <si>
    <t>NNC_TailsThickenerUnderflowStream_U</t>
  </si>
  <si>
    <t>NNC_TailsThickenerUnderflowStream_F</t>
  </si>
  <si>
    <t>&gt;=</t>
  </si>
  <si>
    <t>=</t>
  </si>
  <si>
    <t>MB_ConcFilterFeedPump_Mass</t>
  </si>
  <si>
    <t>MB_ConcFilterFeedPump_Ag</t>
  </si>
  <si>
    <t>MB_ConcFilterFeedPump_Au</t>
  </si>
  <si>
    <t>MB_ConcFilterFeedPump_Cu</t>
  </si>
  <si>
    <t>MB_ConcFilterFeedPump_F</t>
  </si>
  <si>
    <t>MB_ConcFilterFeedPump_Fe</t>
  </si>
  <si>
    <t>MB_ConcFilterFeedPump_S</t>
  </si>
  <si>
    <t>MB_ConcFilterFeedPump_U</t>
  </si>
  <si>
    <t>MB_ConcPressureFilter_Mass</t>
  </si>
  <si>
    <t>MB_ConcPressureFilter_Ag</t>
  </si>
  <si>
    <t>MB_ConcPressureFilter_Au</t>
  </si>
  <si>
    <t>MB_ConcPressureFilter_Cu</t>
  </si>
  <si>
    <t>MB_ConcPressureFilter_F</t>
  </si>
  <si>
    <t>MB_ConcPressureFilter_Fe</t>
  </si>
  <si>
    <t>MB_ConcPressureFilter_S</t>
  </si>
  <si>
    <t>MB_ConcPressureFilter_U</t>
  </si>
  <si>
    <t>MB_ConcStorageTank1_Mass</t>
  </si>
  <si>
    <t>MB_ConcStorageTank1_Ag</t>
  </si>
  <si>
    <t>MB_ConcStorageTank1_Au</t>
  </si>
  <si>
    <t>MB_ConcStorageTank1_Cu</t>
  </si>
  <si>
    <t>MB_ConcStorageTank1_F</t>
  </si>
  <si>
    <t>MB_ConcStorageTank1_Fe</t>
  </si>
  <si>
    <t>MB_ConcStorageTank1_S</t>
  </si>
  <si>
    <t>MB_ConcStorageTank1_U</t>
  </si>
  <si>
    <t>MB_ConcStorageTank2_Mass</t>
  </si>
  <si>
    <t>MB_ConcStorageTank2_Ag</t>
  </si>
  <si>
    <t>MB_ConcStorageTank2_Au</t>
  </si>
  <si>
    <t>MB_ConcStorageTank2_Cu</t>
  </si>
  <si>
    <t>MB_ConcStorageTank2_F</t>
  </si>
  <si>
    <t>MB_ConcStorageTank2_Fe</t>
  </si>
  <si>
    <t>MB_ConcStorageTank2_S</t>
  </si>
  <si>
    <t>MB_ConcStorageTank2_U</t>
  </si>
  <si>
    <t>MB_ConcThickener_Mass</t>
  </si>
  <si>
    <t>MB_ConcThickenerFeedStream_Mass</t>
  </si>
  <si>
    <t>MB_ConcThickenerFeedStream_Ag</t>
  </si>
  <si>
    <t>MB_ConcThickenerFeedStream_Au</t>
  </si>
  <si>
    <t>MB_ConcThickenerFeedStream_Cu</t>
  </si>
  <si>
    <t>MB_ConcThickenerFeedStream_F</t>
  </si>
  <si>
    <t>MB_ConcThickenerFeedStream_Fe</t>
  </si>
  <si>
    <t>MB_ConcThickenerFeedStream_S</t>
  </si>
  <si>
    <t>MB_ConcThickenerFeedStream_U</t>
  </si>
  <si>
    <t>MB_ConcThickenerUnderflowPump_Mass</t>
  </si>
  <si>
    <t>MB_ConcThickenerUnderflowPump_Ag</t>
  </si>
  <si>
    <t>MB_ConcThickenerUnderflowPump_Au</t>
  </si>
  <si>
    <t>MB_ConcThickenerUnderflowPump_Cu</t>
  </si>
  <si>
    <t>MB_ConcThickenerUnderflowPump_F</t>
  </si>
  <si>
    <t>MB_ConcThickenerUnderflowPump_Fe</t>
  </si>
  <si>
    <t>MB_ConcThickenerUnderflowPump_S</t>
  </si>
  <si>
    <t>MB_ConcThickenerUnderflowPump_U</t>
  </si>
  <si>
    <t>MB_ConcThickener_Ag</t>
  </si>
  <si>
    <t>MB_ConcThickener_Au</t>
  </si>
  <si>
    <t>MB_ConcThickener_Cu</t>
  </si>
  <si>
    <t>MB_ConcThickener_F</t>
  </si>
  <si>
    <t>MB_ConcThickener_Fe</t>
  </si>
  <si>
    <t>MB_ConcThickener_S</t>
  </si>
  <si>
    <t>MB_ConcThickener_U</t>
  </si>
  <si>
    <t>MB_Flotation_Mass</t>
  </si>
  <si>
    <t>MB_FlotationTailsStream_Mass</t>
  </si>
  <si>
    <t>MB_FlotationTailsStream_Ag</t>
  </si>
  <si>
    <t>MB_FlotationTailsStream_Au</t>
  </si>
  <si>
    <t>MB_FlotationTailsStream_Cu</t>
  </si>
  <si>
    <t>MB_FlotationTailsStream_F</t>
  </si>
  <si>
    <t>MB_FlotationTailsStream_Fe</t>
  </si>
  <si>
    <t>MB_FlotationTailsStream_S</t>
  </si>
  <si>
    <t>MB_FlotationTailsStream_U</t>
  </si>
  <si>
    <t>MB_Flotation_Ag</t>
  </si>
  <si>
    <t>MB_Flotation_Au</t>
  </si>
  <si>
    <t>MB_Flotation_Cu</t>
  </si>
  <si>
    <t>MB_Flotation_F</t>
  </si>
  <si>
    <t>MB_Flotation_Fe</t>
  </si>
  <si>
    <t>MB_Flotation_S</t>
  </si>
  <si>
    <t>MB_Flotation_U</t>
  </si>
  <si>
    <t>MB_Grinding_Mass</t>
  </si>
  <si>
    <t>MB_Grinding_Ag</t>
  </si>
  <si>
    <t>MB_Grinding_Au</t>
  </si>
  <si>
    <t>MB_Grinding_Cu</t>
  </si>
  <si>
    <t>MB_Grinding_F</t>
  </si>
  <si>
    <t>MB_Grinding_Fe</t>
  </si>
  <si>
    <t>MB_Grinding_S</t>
  </si>
  <si>
    <t>MB_Grinding_U</t>
  </si>
  <si>
    <t>MB_RougherFeedStream_Mass</t>
  </si>
  <si>
    <t>MB_RougherFeedStream_Ag</t>
  </si>
  <si>
    <t>MB_RougherFeedStream_Au</t>
  </si>
  <si>
    <t>MB_RougherFeedStream_Cu</t>
  </si>
  <si>
    <t>MB_RougherFeedStream_F</t>
  </si>
  <si>
    <t>MB_RougherFeedStream_Fe</t>
  </si>
  <si>
    <t>MB_RougherFeedStream_S</t>
  </si>
  <si>
    <t>MB_RougherFeedStream_U</t>
  </si>
  <si>
    <t>MB_TailsThickening_Mass</t>
  </si>
  <si>
    <t>MB_TailsThickening_Ag</t>
  </si>
  <si>
    <t>MB_TailsThickening_Au</t>
  </si>
  <si>
    <t>MB_TailsThickening_Cu</t>
  </si>
  <si>
    <t>MB_TailsThickening_F</t>
  </si>
  <si>
    <t>MB_TailsThickening_Fe</t>
  </si>
  <si>
    <t>MB_TailsThickening_S</t>
  </si>
  <si>
    <t>MB_TailsThickening_U</t>
  </si>
  <si>
    <t>ConcThickener_Cu</t>
  </si>
  <si>
    <t>ConcThickener_Fe</t>
  </si>
  <si>
    <t>ConcThickener_Au</t>
  </si>
  <si>
    <t>ConcThickener_Ag</t>
  </si>
  <si>
    <t>ConcThickener_S</t>
  </si>
  <si>
    <t>ConcThickener_U</t>
  </si>
  <si>
    <t>ConcThickener_F</t>
  </si>
  <si>
    <t>TailsThickening_Cu</t>
  </si>
  <si>
    <t>TailsThickening_Fe</t>
  </si>
  <si>
    <t>TailsThickening_Au</t>
  </si>
  <si>
    <t>TailsThickening_Ag</t>
  </si>
  <si>
    <t>TailsThickening_S</t>
  </si>
  <si>
    <t>TailsThickening_U</t>
  </si>
  <si>
    <t>TailsThickening_F</t>
  </si>
  <si>
    <t>ConcStorageTank1_Cu</t>
  </si>
  <si>
    <t>ConcStorageTank1_Fe</t>
  </si>
  <si>
    <t>ConcStorageTank1_Au</t>
  </si>
  <si>
    <t>ConcStorageTank1_Ag</t>
  </si>
  <si>
    <t>ConcStorageTank1_S</t>
  </si>
  <si>
    <t>ConcStorageTank1_U</t>
  </si>
  <si>
    <t>ConcStorageTank1_F</t>
  </si>
  <si>
    <t>ConcStorageTank2_Cu</t>
  </si>
  <si>
    <t>ConcStorageTank2_Fe</t>
  </si>
  <si>
    <t>ConcStorageTank2_Au</t>
  </si>
  <si>
    <t>ConcStorageTank2_Ag</t>
  </si>
  <si>
    <t>ConcStorageTank2_S</t>
  </si>
  <si>
    <t>ConcStorageTank2_U</t>
  </si>
  <si>
    <t>ConcStorageTank2_F</t>
  </si>
  <si>
    <t xml:space="preserve">CrushedOreStream_Cu </t>
  </si>
  <si>
    <t xml:space="preserve">CrushedOreStream_Fe </t>
  </si>
  <si>
    <t xml:space="preserve">CrushedOreStream_Au </t>
  </si>
  <si>
    <t xml:space="preserve">CrushedOreStream_Ag </t>
  </si>
  <si>
    <t xml:space="preserve">CrushedOreStream_S </t>
  </si>
  <si>
    <t xml:space="preserve">CrushedOreStream_U </t>
  </si>
  <si>
    <t xml:space="preserve">CrushedOreStream_F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</si>
</sst>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vertical="top" wrapText="1"/>
    </xf>
    <xf numFmtId="0" fontId="2" fillId="0" borderId="0" xfId="0" applyNumberFormat="1" applyFont="1" applyAlignment="1">
      <alignment vertical="top" wrapText="1"/>
    </xf>
    <xf numFmtId="0" fontId="3" fillId="0" borderId="0" xfId="0" applyFont="1" applyAlignment="1">
      <alignment vertical="top" wrapText="1"/>
    </xf>
    <xf numFmtId="0" fontId="1" fillId="0" borderId="0" xfId="0" applyFont="1"/>
    <xf numFmtId="0" fontId="0" fillId="0" borderId="0" xfId="0" applyNumberFormat="1"/>
    <xf numFmtId="2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16"/>
  <sheetViews>
    <sheetView tabSelected="1" workbookViewId="0">
      <selection activeCell="I512" sqref="I512"/>
    </sheetView>
  </sheetViews>
  <sheetFormatPr defaultRowHeight="1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5.140625" customWidth="1"/>
    <col min="8" max="8" width="24.85546875" bestFit="1" customWidth="1"/>
  </cols>
  <sheetData>
    <row r="1" spans="1:9">
      <c r="B1" s="3" t="s">
        <v>700</v>
      </c>
      <c r="C1" s="4" t="s">
        <v>702</v>
      </c>
      <c r="D1" s="4" t="s">
        <v>701</v>
      </c>
      <c r="E1" s="4" t="s">
        <v>702</v>
      </c>
    </row>
    <row r="2" spans="1:9" ht="33.75">
      <c r="A2" s="1" t="s">
        <v>0</v>
      </c>
      <c r="B2" s="1" t="s">
        <v>880</v>
      </c>
      <c r="C2">
        <f>0</f>
        <v>0</v>
      </c>
      <c r="D2" s="7" t="s">
        <v>879</v>
      </c>
      <c r="E2">
        <f xml:space="preserve"> +ConcStorageTank1UnderflowStream_Mass+ConcStorageTank2UnderflowStream_Mass-PressureFilterFeedStream_Mass-SpillageReturnStream_Mass</f>
        <v>0</v>
      </c>
      <c r="F2" t="str">
        <f>MID(A2,1,FIND(":",A2)-1)</f>
        <v>MB_ConcFilterFeedPump_Mass</v>
      </c>
      <c r="H2" t="str">
        <f>"="&amp;MID(A2,FIND(":(",A2)+2,FIND("=",A2)-FIND(":(",A2)-2)</f>
        <v xml:space="preserve">=+0.0 </v>
      </c>
      <c r="I2" t="str">
        <f>"="&amp;MID(A2,FIND("=",A2)+1,LEN(A2)-FIND("=",A2)-2)</f>
        <v>= +ConcStorageTank1UnderflowStream_Mass+ConcStorageTank2UnderflowStream_Mass-PressureFilterFeedStream_Mass-SpillageReturnStream_Mass</v>
      </c>
    </row>
    <row r="3" spans="1:9" ht="56.25">
      <c r="A3" s="2" t="s">
        <v>1</v>
      </c>
      <c r="B3" s="2" t="s">
        <v>881</v>
      </c>
      <c r="C3">
        <f>0</f>
        <v>0</v>
      </c>
      <c r="D3" s="7" t="s">
        <v>879</v>
      </c>
      <c r="E3">
        <f xml:space="preserve"> +(ConcStorageTank1UnderflowStream_Mass * ConcStorageTank1UnderflowStream_Ag)+(ConcStorageTank2UnderflowStream_Mass * ConcStorageTank2UnderflowStream_Ag)-(PressureFilterFeedStream_Mass * PressureFilterFeedStream_Ag)-(SpillageReturnStream_Mass * SpillageReturnStream_Ag)</f>
        <v>0</v>
      </c>
      <c r="F3" t="str">
        <f t="shared" ref="F2:F65" si="0">MID(A3,1,FIND(":",A3)-1)</f>
        <v>MB_ConcFilterFeedPump_Ag</v>
      </c>
      <c r="H3" t="str">
        <f t="shared" ref="H3:H66" si="1">"="&amp;MID(A3,FIND(":(",A3)+2,FIND("=",A3)-FIND(":(",A3)-2)</f>
        <v xml:space="preserve">=+0.0 </v>
      </c>
      <c r="I3" t="str">
        <f t="shared" ref="I3:I66" si="2">"="&amp;MID(A3,FIND("=",A3)+1,LEN(A3)-FIND("=",A3)-2)</f>
        <v>= +(ConcStorageTank1UnderflowStream_Mass * ConcStorageTank1UnderflowStream_Ag)+(ConcStorageTank2UnderflowStream_Mass * ConcStorageTank2UnderflowStream_Ag)-(PressureFilterFeedStream_Mass * PressureFilterFeedStream_Ag)-(SpillageReturnStream_Mass * SpillageReturnStream_Ag)</v>
      </c>
    </row>
    <row r="4" spans="1:9" ht="56.25">
      <c r="A4" s="2" t="s">
        <v>2</v>
      </c>
      <c r="B4" s="2" t="s">
        <v>882</v>
      </c>
      <c r="C4">
        <f>0</f>
        <v>0</v>
      </c>
      <c r="D4" s="7" t="s">
        <v>879</v>
      </c>
      <c r="E4">
        <f xml:space="preserve"> +(ConcStorageTank1UnderflowStream_Mass * ConcStorageTank1UnderflowStream_Au)+(ConcStorageTank2UnderflowStream_Mass * ConcStorageTank2UnderflowStream_Au)-(PressureFilterFeedStream_Mass * PressureFilterFeedStream_Au)-(SpillageReturnStream_Mass * SpillageReturnStream_Au)</f>
        <v>0</v>
      </c>
      <c r="F4" t="str">
        <f t="shared" si="0"/>
        <v>MB_ConcFilterFeedPump_Au</v>
      </c>
      <c r="H4" t="str">
        <f t="shared" si="1"/>
        <v xml:space="preserve">=+0.0 </v>
      </c>
      <c r="I4" t="str">
        <f t="shared" si="2"/>
        <v>= +(ConcStorageTank1UnderflowStream_Mass * ConcStorageTank1UnderflowStream_Au)+(ConcStorageTank2UnderflowStream_Mass * ConcStorageTank2UnderflowStream_Au)-(PressureFilterFeedStream_Mass * PressureFilterFeedStream_Au)-(SpillageReturnStream_Mass * SpillageReturnStream_Au)</v>
      </c>
    </row>
    <row r="5" spans="1:9" ht="56.25">
      <c r="A5" s="2" t="s">
        <v>3</v>
      </c>
      <c r="B5" s="2" t="s">
        <v>883</v>
      </c>
      <c r="C5">
        <f>0</f>
        <v>0</v>
      </c>
      <c r="D5" s="7" t="s">
        <v>879</v>
      </c>
      <c r="E5">
        <f xml:space="preserve"> +(ConcStorageTank1UnderflowStream_Mass * ConcStorageTank1UnderflowStream_Cu)+(ConcStorageTank2UnderflowStream_Mass * ConcStorageTank2UnderflowStream_Cu)-(PressureFilterFeedStream_Mass * PressureFilterFeedStream_Cu)-(SpillageReturnStream_Mass * SpillageReturnStream_Cu)</f>
        <v>0</v>
      </c>
      <c r="F5" t="str">
        <f t="shared" si="0"/>
        <v>MB_ConcFilterFeedPump_Cu</v>
      </c>
      <c r="H5" t="str">
        <f t="shared" si="1"/>
        <v xml:space="preserve">=+0.0 </v>
      </c>
      <c r="I5" t="str">
        <f t="shared" si="2"/>
        <v>= +(ConcStorageTank1UnderflowStream_Mass * ConcStorageTank1UnderflowStream_Cu)+(ConcStorageTank2UnderflowStream_Mass * ConcStorageTank2UnderflowStream_Cu)-(PressureFilterFeedStream_Mass * PressureFilterFeedStream_Cu)-(SpillageReturnStream_Mass * SpillageReturnStream_Cu)</v>
      </c>
    </row>
    <row r="6" spans="1:9" ht="45">
      <c r="A6" s="2" t="s">
        <v>4</v>
      </c>
      <c r="B6" s="2" t="s">
        <v>884</v>
      </c>
      <c r="C6">
        <f>0</f>
        <v>0</v>
      </c>
      <c r="D6" s="7" t="s">
        <v>879</v>
      </c>
      <c r="E6">
        <f xml:space="preserve"> +(ConcStorageTank1UnderflowStream_Mass * ConcStorageTank1UnderflowStream_F)+(ConcStorageTank2UnderflowStream_Mass * ConcStorageTank2UnderflowStream_F)-(PressureFilterFeedStream_Mass * PressureFilterFeedStream_F)-(SpillageReturnStream_Mass * SpillageReturnStream_F)</f>
        <v>0</v>
      </c>
      <c r="F6" t="str">
        <f t="shared" si="0"/>
        <v>MB_ConcFilterFeedPump_F</v>
      </c>
      <c r="H6" t="str">
        <f t="shared" si="1"/>
        <v xml:space="preserve">=+0.0 </v>
      </c>
      <c r="I6" t="str">
        <f t="shared" si="2"/>
        <v>= +(ConcStorageTank1UnderflowStream_Mass * ConcStorageTank1UnderflowStream_F)+(ConcStorageTank2UnderflowStream_Mass * ConcStorageTank2UnderflowStream_F)-(PressureFilterFeedStream_Mass * PressureFilterFeedStream_F)-(SpillageReturnStream_Mass * SpillageReturnStream_F)</v>
      </c>
    </row>
    <row r="7" spans="1:9" ht="56.25">
      <c r="A7" s="2" t="s">
        <v>5</v>
      </c>
      <c r="B7" s="2" t="s">
        <v>885</v>
      </c>
      <c r="C7">
        <f>0</f>
        <v>0</v>
      </c>
      <c r="D7" s="7" t="s">
        <v>879</v>
      </c>
      <c r="E7">
        <f xml:space="preserve"> +(ConcStorageTank1UnderflowStream_Mass * ConcStorageTank1UnderflowStream_Fe)+(ConcStorageTank2UnderflowStream_Mass * ConcStorageTank2UnderflowStream_Fe)-(PressureFilterFeedStream_Mass * PressureFilterFeedStream_Fe)-(SpillageReturnStream_Mass * SpillageReturnStream_Fe)</f>
        <v>0</v>
      </c>
      <c r="F7" t="str">
        <f t="shared" si="0"/>
        <v>MB_ConcFilterFeedPump_Fe</v>
      </c>
      <c r="H7" t="str">
        <f t="shared" si="1"/>
        <v xml:space="preserve">=+0.0 </v>
      </c>
      <c r="I7" t="str">
        <f t="shared" si="2"/>
        <v>= +(ConcStorageTank1UnderflowStream_Mass * ConcStorageTank1UnderflowStream_Fe)+(ConcStorageTank2UnderflowStream_Mass * ConcStorageTank2UnderflowStream_Fe)-(PressureFilterFeedStream_Mass * PressureFilterFeedStream_Fe)-(SpillageReturnStream_Mass * SpillageReturnStream_Fe)</v>
      </c>
    </row>
    <row r="8" spans="1:9" ht="56.25">
      <c r="A8" s="2" t="s">
        <v>6</v>
      </c>
      <c r="B8" s="2" t="s">
        <v>886</v>
      </c>
      <c r="C8">
        <f>0</f>
        <v>0</v>
      </c>
      <c r="D8" s="7" t="s">
        <v>879</v>
      </c>
      <c r="E8">
        <f xml:space="preserve"> +(ConcStorageTank1UnderflowStream_Mass * ConcStorageTank1UnderflowStream_S)+(ConcStorageTank2UnderflowStream_Mass * ConcStorageTank2UnderflowStream_S)-(PressureFilterFeedStream_Mass * PressureFilterFeedStream_S)-(SpillageReturnStream_Mass * SpillageReturnStream_S)</f>
        <v>0</v>
      </c>
      <c r="F8" t="str">
        <f t="shared" si="0"/>
        <v>MB_ConcFilterFeedPump_S</v>
      </c>
      <c r="H8" t="str">
        <f t="shared" si="1"/>
        <v xml:space="preserve">=+0.0 </v>
      </c>
      <c r="I8" t="str">
        <f t="shared" si="2"/>
        <v>= +(ConcStorageTank1UnderflowStream_Mass * ConcStorageTank1UnderflowStream_S)+(ConcStorageTank2UnderflowStream_Mass * ConcStorageTank2UnderflowStream_S)-(PressureFilterFeedStream_Mass * PressureFilterFeedStream_S)-(SpillageReturnStream_Mass * SpillageReturnStream_S)</v>
      </c>
    </row>
    <row r="9" spans="1:9" ht="56.25">
      <c r="A9" s="2" t="s">
        <v>7</v>
      </c>
      <c r="B9" s="2" t="s">
        <v>887</v>
      </c>
      <c r="C9">
        <f>0</f>
        <v>0</v>
      </c>
      <c r="D9" s="7" t="s">
        <v>879</v>
      </c>
      <c r="E9">
        <f xml:space="preserve"> +(ConcStorageTank1UnderflowStream_Mass * ConcStorageTank1UnderflowStream_U)+(ConcStorageTank2UnderflowStream_Mass * ConcStorageTank2UnderflowStream_U)-(PressureFilterFeedStream_Mass * PressureFilterFeedStream_U)-(SpillageReturnStream_Mass * SpillageReturnStream_U)</f>
        <v>0</v>
      </c>
      <c r="F9" t="str">
        <f t="shared" si="0"/>
        <v>MB_ConcFilterFeedPump_U</v>
      </c>
      <c r="H9" t="str">
        <f t="shared" si="1"/>
        <v xml:space="preserve">=+0.0 </v>
      </c>
      <c r="I9" t="str">
        <f t="shared" si="2"/>
        <v>= +(ConcStorageTank1UnderflowStream_Mass * ConcStorageTank1UnderflowStream_U)+(ConcStorageTank2UnderflowStream_Mass * ConcStorageTank2UnderflowStream_U)-(PressureFilterFeedStream_Mass * PressureFilterFeedStream_U)-(SpillageReturnStream_Mass * SpillageReturnStream_U)</v>
      </c>
    </row>
    <row r="10" spans="1:9" ht="22.5">
      <c r="A10" s="1" t="s">
        <v>8</v>
      </c>
      <c r="B10" s="1" t="s">
        <v>888</v>
      </c>
      <c r="C10">
        <f>0</f>
        <v>0</v>
      </c>
      <c r="D10" s="7" t="s">
        <v>879</v>
      </c>
      <c r="E10">
        <f xml:space="preserve"> +PressureFilterFeedStream_Mass-PressureFilterUnderflowStream_Mass</f>
        <v>0</v>
      </c>
      <c r="F10" t="str">
        <f t="shared" si="0"/>
        <v>MB_ConcPressureFilter_Mass</v>
      </c>
      <c r="H10" t="str">
        <f t="shared" si="1"/>
        <v xml:space="preserve">=+0.0 </v>
      </c>
      <c r="I10" t="str">
        <f t="shared" si="2"/>
        <v>= +PressureFilterFeedStream_Mass-PressureFilterUnderflowStream_Mass</v>
      </c>
    </row>
    <row r="11" spans="1:9" ht="33.75">
      <c r="A11" s="1" t="s">
        <v>9</v>
      </c>
      <c r="B11" s="1" t="s">
        <v>889</v>
      </c>
      <c r="C11">
        <f>0</f>
        <v>0</v>
      </c>
      <c r="D11" s="7" t="s">
        <v>879</v>
      </c>
      <c r="E11">
        <f xml:space="preserve"> +(PressureFilterFeedStream_Mass * PressureFilterFeedStream_Ag)-(PressureFilterUnderflowStream_Mass * PressureFilterUnderflowStream_Ag)</f>
        <v>0</v>
      </c>
      <c r="F11" t="str">
        <f t="shared" si="0"/>
        <v>MB_ConcPressureFilter_Ag</v>
      </c>
      <c r="H11" t="str">
        <f t="shared" si="1"/>
        <v xml:space="preserve">=+0.0 </v>
      </c>
      <c r="I11" t="str">
        <f t="shared" si="2"/>
        <v>= +(PressureFilterFeedStream_Mass * PressureFilterFeedStream_Ag)-(PressureFilterUnderflowStream_Mass * PressureFilterUnderflowStream_Ag)</v>
      </c>
    </row>
    <row r="12" spans="1:9" ht="33.75">
      <c r="A12" s="1" t="s">
        <v>10</v>
      </c>
      <c r="B12" s="1" t="s">
        <v>890</v>
      </c>
      <c r="C12">
        <f>0</f>
        <v>0</v>
      </c>
      <c r="D12" s="7" t="s">
        <v>879</v>
      </c>
      <c r="E12">
        <f xml:space="preserve"> +(PressureFilterFeedStream_Mass * PressureFilterFeedStream_Au)-(PressureFilterUnderflowStream_Mass * PressureFilterUnderflowStream_Au)</f>
        <v>0</v>
      </c>
      <c r="F12" t="str">
        <f t="shared" si="0"/>
        <v>MB_ConcPressureFilter_Au</v>
      </c>
      <c r="H12" t="str">
        <f t="shared" si="1"/>
        <v xml:space="preserve">=+0.0 </v>
      </c>
      <c r="I12" t="str">
        <f t="shared" si="2"/>
        <v>= +(PressureFilterFeedStream_Mass * PressureFilterFeedStream_Au)-(PressureFilterUnderflowStream_Mass * PressureFilterUnderflowStream_Au)</v>
      </c>
    </row>
    <row r="13" spans="1:9" ht="33.75">
      <c r="A13" s="1" t="s">
        <v>11</v>
      </c>
      <c r="B13" s="1" t="s">
        <v>891</v>
      </c>
      <c r="C13">
        <f>0</f>
        <v>0</v>
      </c>
      <c r="D13" s="7" t="s">
        <v>879</v>
      </c>
      <c r="E13">
        <f xml:space="preserve"> +(PressureFilterFeedStream_Mass * PressureFilterFeedStream_Cu)-(PressureFilterUnderflowStream_Mass * PressureFilterUnderflowStream_Cu)</f>
        <v>0</v>
      </c>
      <c r="F13" t="str">
        <f t="shared" si="0"/>
        <v>MB_ConcPressureFilter_Cu</v>
      </c>
      <c r="H13" t="str">
        <f t="shared" si="1"/>
        <v xml:space="preserve">=+0.0 </v>
      </c>
      <c r="I13" t="str">
        <f t="shared" si="2"/>
        <v>= +(PressureFilterFeedStream_Mass * PressureFilterFeedStream_Cu)-(PressureFilterUnderflowStream_Mass * PressureFilterUnderflowStream_Cu)</v>
      </c>
    </row>
    <row r="14" spans="1:9" ht="33.75">
      <c r="A14" s="1" t="s">
        <v>12</v>
      </c>
      <c r="B14" s="1" t="s">
        <v>892</v>
      </c>
      <c r="C14">
        <f>0</f>
        <v>0</v>
      </c>
      <c r="D14" s="7" t="s">
        <v>879</v>
      </c>
      <c r="E14">
        <f xml:space="preserve"> +(PressureFilterFeedStream_Mass * PressureFilterFeedStream_F)-(PressureFilterUnderflowStream_Mass * PressureFilterUnderflowStream_F)</f>
        <v>0</v>
      </c>
      <c r="F14" t="str">
        <f t="shared" si="0"/>
        <v>MB_ConcPressureFilter_F</v>
      </c>
      <c r="H14" t="str">
        <f t="shared" si="1"/>
        <v xml:space="preserve">=+0.0 </v>
      </c>
      <c r="I14" t="str">
        <f t="shared" si="2"/>
        <v>= +(PressureFilterFeedStream_Mass * PressureFilterFeedStream_F)-(PressureFilterUnderflowStream_Mass * PressureFilterUnderflowStream_F)</v>
      </c>
    </row>
    <row r="15" spans="1:9" ht="33.75">
      <c r="A15" s="1" t="s">
        <v>13</v>
      </c>
      <c r="B15" s="1" t="s">
        <v>893</v>
      </c>
      <c r="C15">
        <f>0</f>
        <v>0</v>
      </c>
      <c r="D15" s="7" t="s">
        <v>879</v>
      </c>
      <c r="E15">
        <f xml:space="preserve"> +(PressureFilterFeedStream_Mass * PressureFilterFeedStream_Fe)-(PressureFilterUnderflowStream_Mass * PressureFilterUnderflowStream_Fe)</f>
        <v>0</v>
      </c>
      <c r="F15" t="str">
        <f t="shared" si="0"/>
        <v>MB_ConcPressureFilter_Fe</v>
      </c>
      <c r="H15" t="str">
        <f t="shared" si="1"/>
        <v xml:space="preserve">=+0.0 </v>
      </c>
      <c r="I15" t="str">
        <f t="shared" si="2"/>
        <v>= +(PressureFilterFeedStream_Mass * PressureFilterFeedStream_Fe)-(PressureFilterUnderflowStream_Mass * PressureFilterUnderflowStream_Fe)</v>
      </c>
    </row>
    <row r="16" spans="1:9" ht="33.75">
      <c r="A16" s="1" t="s">
        <v>14</v>
      </c>
      <c r="B16" s="1" t="s">
        <v>894</v>
      </c>
      <c r="C16">
        <f>0</f>
        <v>0</v>
      </c>
      <c r="D16" s="7" t="s">
        <v>879</v>
      </c>
      <c r="E16">
        <f xml:space="preserve"> +(PressureFilterFeedStream_Mass * PressureFilterFeedStream_S)-(PressureFilterUnderflowStream_Mass * PressureFilterUnderflowStream_S)</f>
        <v>0</v>
      </c>
      <c r="F16" t="str">
        <f t="shared" si="0"/>
        <v>MB_ConcPressureFilter_S</v>
      </c>
      <c r="H16" t="str">
        <f t="shared" si="1"/>
        <v xml:space="preserve">=+0.0 </v>
      </c>
      <c r="I16" t="str">
        <f t="shared" si="2"/>
        <v>= +(PressureFilterFeedStream_Mass * PressureFilterFeedStream_S)-(PressureFilterUnderflowStream_Mass * PressureFilterUnderflowStream_S)</v>
      </c>
    </row>
    <row r="17" spans="1:9" ht="33.75">
      <c r="A17" s="1" t="s">
        <v>15</v>
      </c>
      <c r="B17" s="1" t="s">
        <v>895</v>
      </c>
      <c r="C17">
        <f>0</f>
        <v>0</v>
      </c>
      <c r="D17" s="7" t="s">
        <v>879</v>
      </c>
      <c r="E17">
        <f xml:space="preserve"> +(PressureFilterFeedStream_Mass * PressureFilterFeedStream_U)-(PressureFilterUnderflowStream_Mass * PressureFilterUnderflowStream_U)</f>
        <v>0</v>
      </c>
      <c r="F17" t="str">
        <f t="shared" si="0"/>
        <v>MB_ConcPressureFilter_U</v>
      </c>
      <c r="H17" t="str">
        <f t="shared" si="1"/>
        <v xml:space="preserve">=+0.0 </v>
      </c>
      <c r="I17" t="str">
        <f t="shared" si="2"/>
        <v>= +(PressureFilterFeedStream_Mass * PressureFilterFeedStream_U)-(PressureFilterUnderflowStream_Mass * PressureFilterUnderflowStream_U)</v>
      </c>
    </row>
    <row r="18" spans="1:9" ht="33.75">
      <c r="A18" s="1" t="s">
        <v>16</v>
      </c>
      <c r="B18" s="1" t="s">
        <v>896</v>
      </c>
      <c r="C18">
        <f>ConcStorageTank1_close_Mass - ConcStorageTank1_open_Mass+0</f>
        <v>0</v>
      </c>
      <c r="D18" s="7" t="s">
        <v>879</v>
      </c>
      <c r="E18">
        <f xml:space="preserve"> +ConcStorageTank1FeedStream_Mass-ConcStorageTank1UnderflowStream_Mass</f>
        <v>0</v>
      </c>
      <c r="F18" t="str">
        <f t="shared" si="0"/>
        <v>MB_ConcStorageTank1_Mass</v>
      </c>
      <c r="H18" t="str">
        <f t="shared" si="1"/>
        <v xml:space="preserve">=ConcStorageTank1_close_Mass - ConcStorageTank1_open_Mass+0.0 </v>
      </c>
      <c r="I18" t="str">
        <f t="shared" si="2"/>
        <v>= +ConcStorageTank1FeedStream_Mass-ConcStorageTank1UnderflowStream_Mass</v>
      </c>
    </row>
    <row r="19" spans="1:9" ht="56.25">
      <c r="A19" s="2" t="s">
        <v>17</v>
      </c>
      <c r="B19" s="2" t="s">
        <v>897</v>
      </c>
      <c r="C19">
        <f>(ConcStorageTank1_close_Mass * ConcStorageTank1_close_Ag) - (ConcStorageTank1_open_Mass * ConcStorageTank1_open_Ag)+0</f>
        <v>0</v>
      </c>
      <c r="D19" s="7" t="s">
        <v>879</v>
      </c>
      <c r="E19">
        <f xml:space="preserve"> +(ConcStorageTank1FeedStream_Mass * ConcStorageTank1FeedStream_Ag)-(ConcStorageTank1UnderflowStream_Mass * ConcStorageTank1UnderflowStream_Ag)</f>
        <v>0</v>
      </c>
      <c r="F19" t="str">
        <f t="shared" si="0"/>
        <v>MB_ConcStorageTank1_Ag</v>
      </c>
      <c r="H19" t="str">
        <f t="shared" si="1"/>
        <v xml:space="preserve">=(ConcStorageTank1_close_Mass * ConcStorageTank1_close_Ag) - (ConcStorageTank1_open_Mass * ConcStorageTank1_open_Ag)+0.0 </v>
      </c>
      <c r="I19" t="str">
        <f t="shared" si="2"/>
        <v>= +(ConcStorageTank1FeedStream_Mass * ConcStorageTank1FeedStream_Ag)-(ConcStorageTank1UnderflowStream_Mass * ConcStorageTank1UnderflowStream_Ag)</v>
      </c>
    </row>
    <row r="20" spans="1:9" ht="56.25">
      <c r="A20" s="2" t="s">
        <v>18</v>
      </c>
      <c r="B20" s="2" t="s">
        <v>898</v>
      </c>
      <c r="C20">
        <f>(ConcStorageTank1_close_Mass * ConcStorageTank1_close_Au) - (ConcStorageTank1_open_Mass * ConcStorageTank1_open_Au)+0</f>
        <v>0</v>
      </c>
      <c r="D20" s="7" t="s">
        <v>879</v>
      </c>
      <c r="E20">
        <f xml:space="preserve"> +(ConcStorageTank1FeedStream_Mass * ConcStorageTank1FeedStream_Au)-(ConcStorageTank1UnderflowStream_Mass * ConcStorageTank1UnderflowStream_Au)</f>
        <v>0</v>
      </c>
      <c r="F20" t="str">
        <f t="shared" si="0"/>
        <v>MB_ConcStorageTank1_Au</v>
      </c>
      <c r="H20" t="str">
        <f t="shared" si="1"/>
        <v xml:space="preserve">=(ConcStorageTank1_close_Mass * ConcStorageTank1_close_Au) - (ConcStorageTank1_open_Mass * ConcStorageTank1_open_Au)+0.0 </v>
      </c>
      <c r="I20" t="str">
        <f t="shared" si="2"/>
        <v>= +(ConcStorageTank1FeedStream_Mass * ConcStorageTank1FeedStream_Au)-(ConcStorageTank1UnderflowStream_Mass * ConcStorageTank1UnderflowStream_Au)</v>
      </c>
    </row>
    <row r="21" spans="1:9" ht="56.25">
      <c r="A21" s="2" t="s">
        <v>19</v>
      </c>
      <c r="B21" s="2" t="s">
        <v>899</v>
      </c>
      <c r="C21">
        <f>(ConcStorageTank1_close_Mass * ConcStorageTank1_close_Cu) - (ConcStorageTank1_open_Mass * ConcStorageTank1_open_Cu)+0</f>
        <v>0</v>
      </c>
      <c r="D21" s="7" t="s">
        <v>879</v>
      </c>
      <c r="E21">
        <f xml:space="preserve"> +(ConcStorageTank1FeedStream_Mass * ConcStorageTank1FeedStream_Cu)-(ConcStorageTank1UnderflowStream_Mass * ConcStorageTank1UnderflowStream_Cu)</f>
        <v>0</v>
      </c>
      <c r="F21" t="str">
        <f t="shared" si="0"/>
        <v>MB_ConcStorageTank1_Cu</v>
      </c>
      <c r="H21" t="str">
        <f t="shared" si="1"/>
        <v xml:space="preserve">=(ConcStorageTank1_close_Mass * ConcStorageTank1_close_Cu) - (ConcStorageTank1_open_Mass * ConcStorageTank1_open_Cu)+0.0 </v>
      </c>
      <c r="I21" t="str">
        <f t="shared" si="2"/>
        <v>= +(ConcStorageTank1FeedStream_Mass * ConcStorageTank1FeedStream_Cu)-(ConcStorageTank1UnderflowStream_Mass * ConcStorageTank1UnderflowStream_Cu)</v>
      </c>
    </row>
    <row r="22" spans="1:9" ht="56.25">
      <c r="A22" s="2" t="s">
        <v>20</v>
      </c>
      <c r="B22" s="2" t="s">
        <v>900</v>
      </c>
      <c r="C22">
        <f>(ConcStorageTank1_close_Mass * ConcStorageTank1_close_F) - (ConcStorageTank1_open_Mass * ConcStorageTank1_open_F)+0</f>
        <v>0</v>
      </c>
      <c r="D22" s="7" t="s">
        <v>879</v>
      </c>
      <c r="E22">
        <f xml:space="preserve"> +(ConcStorageTank1FeedStream_Mass * ConcStorageTank1FeedStream_F)-(ConcStorageTank1UnderflowStream_Mass * ConcStorageTank1UnderflowStream_F)</f>
        <v>0</v>
      </c>
      <c r="F22" t="str">
        <f t="shared" si="0"/>
        <v>MB_ConcStorageTank1_F</v>
      </c>
      <c r="H22" t="str">
        <f t="shared" si="1"/>
        <v xml:space="preserve">=(ConcStorageTank1_close_Mass * ConcStorageTank1_close_F) - (ConcStorageTank1_open_Mass * ConcStorageTank1_open_F)+0.0 </v>
      </c>
      <c r="I22" t="str">
        <f t="shared" si="2"/>
        <v>= +(ConcStorageTank1FeedStream_Mass * ConcStorageTank1FeedStream_F)-(ConcStorageTank1UnderflowStream_Mass * ConcStorageTank1UnderflowStream_F)</v>
      </c>
    </row>
    <row r="23" spans="1:9" ht="56.25">
      <c r="A23" s="2" t="s">
        <v>21</v>
      </c>
      <c r="B23" s="2" t="s">
        <v>901</v>
      </c>
      <c r="C23">
        <f>(ConcStorageTank1_close_Mass * ConcStorageTank1_close_Fe) - (ConcStorageTank1_open_Mass * ConcStorageTank1_open_Fe)+0</f>
        <v>0</v>
      </c>
      <c r="D23" s="7" t="s">
        <v>879</v>
      </c>
      <c r="E23">
        <f xml:space="preserve"> +(ConcStorageTank1FeedStream_Mass * ConcStorageTank1FeedStream_Fe)-(ConcStorageTank1UnderflowStream_Mass * ConcStorageTank1UnderflowStream_Fe)</f>
        <v>0</v>
      </c>
      <c r="F23" t="str">
        <f t="shared" si="0"/>
        <v>MB_ConcStorageTank1_Fe</v>
      </c>
      <c r="H23" t="str">
        <f t="shared" si="1"/>
        <v xml:space="preserve">=(ConcStorageTank1_close_Mass * ConcStorageTank1_close_Fe) - (ConcStorageTank1_open_Mass * ConcStorageTank1_open_Fe)+0.0 </v>
      </c>
      <c r="I23" t="str">
        <f t="shared" si="2"/>
        <v>= +(ConcStorageTank1FeedStream_Mass * ConcStorageTank1FeedStream_Fe)-(ConcStorageTank1UnderflowStream_Mass * ConcStorageTank1UnderflowStream_Fe)</v>
      </c>
    </row>
    <row r="24" spans="1:9" ht="56.25">
      <c r="A24" s="2" t="s">
        <v>22</v>
      </c>
      <c r="B24" s="2" t="s">
        <v>902</v>
      </c>
      <c r="C24">
        <f>(ConcStorageTank1_close_Mass * ConcStorageTank1_close_S) - (ConcStorageTank1_open_Mass * ConcStorageTank1_open_S)+0</f>
        <v>0</v>
      </c>
      <c r="D24" s="7" t="s">
        <v>879</v>
      </c>
      <c r="E24">
        <f xml:space="preserve"> +(ConcStorageTank1FeedStream_Mass * ConcStorageTank1FeedStream_S)-(ConcStorageTank1UnderflowStream_Mass * ConcStorageTank1UnderflowStream_S)</f>
        <v>0</v>
      </c>
      <c r="F24" t="str">
        <f t="shared" si="0"/>
        <v>MB_ConcStorageTank1_S</v>
      </c>
      <c r="H24" t="str">
        <f t="shared" si="1"/>
        <v xml:space="preserve">=(ConcStorageTank1_close_Mass * ConcStorageTank1_close_S) - (ConcStorageTank1_open_Mass * ConcStorageTank1_open_S)+0.0 </v>
      </c>
      <c r="I24" t="str">
        <f t="shared" si="2"/>
        <v>= +(ConcStorageTank1FeedStream_Mass * ConcStorageTank1FeedStream_S)-(ConcStorageTank1UnderflowStream_Mass * ConcStorageTank1UnderflowStream_S)</v>
      </c>
    </row>
    <row r="25" spans="1:9" ht="56.25">
      <c r="A25" s="2" t="s">
        <v>23</v>
      </c>
      <c r="B25" s="2" t="s">
        <v>903</v>
      </c>
      <c r="C25">
        <f>(ConcStorageTank1_close_Mass * ConcStorageTank1_close_U) - (ConcStorageTank1_open_Mass * ConcStorageTank1_open_U)+0</f>
        <v>0</v>
      </c>
      <c r="D25" s="7" t="s">
        <v>879</v>
      </c>
      <c r="E25">
        <f xml:space="preserve"> +(ConcStorageTank1FeedStream_Mass * ConcStorageTank1FeedStream_U)-(ConcStorageTank1UnderflowStream_Mass * ConcStorageTank1UnderflowStream_U)</f>
        <v>0</v>
      </c>
      <c r="F25" t="str">
        <f t="shared" si="0"/>
        <v>MB_ConcStorageTank1_U</v>
      </c>
      <c r="H25" t="str">
        <f t="shared" si="1"/>
        <v xml:space="preserve">=(ConcStorageTank1_close_Mass * ConcStorageTank1_close_U) - (ConcStorageTank1_open_Mass * ConcStorageTank1_open_U)+0.0 </v>
      </c>
      <c r="I25" t="str">
        <f t="shared" si="2"/>
        <v>= +(ConcStorageTank1FeedStream_Mass * ConcStorageTank1FeedStream_U)-(ConcStorageTank1UnderflowStream_Mass * ConcStorageTank1UnderflowStream_U)</v>
      </c>
    </row>
    <row r="26" spans="1:9" ht="33.75">
      <c r="A26" s="1" t="s">
        <v>24</v>
      </c>
      <c r="B26" s="1" t="s">
        <v>904</v>
      </c>
      <c r="C26">
        <f>ConcStorageTank2_close_Mass - ConcStorageTank2_open_Mass+0</f>
        <v>0</v>
      </c>
      <c r="D26" s="7" t="s">
        <v>879</v>
      </c>
      <c r="E26">
        <f xml:space="preserve"> +ConcStorageTank2FeedStream_Mass-ConcStorageTank2UnderflowStream_Mass</f>
        <v>0</v>
      </c>
      <c r="F26" t="str">
        <f t="shared" si="0"/>
        <v>MB_ConcStorageTank2_Mass</v>
      </c>
      <c r="H26" t="str">
        <f t="shared" si="1"/>
        <v xml:space="preserve">=ConcStorageTank2_close_Mass - ConcStorageTank2_open_Mass+0.0 </v>
      </c>
      <c r="I26" t="str">
        <f t="shared" si="2"/>
        <v>= +ConcStorageTank2FeedStream_Mass-ConcStorageTank2UnderflowStream_Mass</v>
      </c>
    </row>
    <row r="27" spans="1:9" ht="56.25">
      <c r="A27" s="2" t="s">
        <v>25</v>
      </c>
      <c r="B27" s="2" t="s">
        <v>905</v>
      </c>
      <c r="C27">
        <f>(ConcStorageTank2_close_Mass * ConcStorageTank2_close_Ag) - (ConcStorageTank2_open_Mass * ConcStorageTank2_open_Ag)+0</f>
        <v>0</v>
      </c>
      <c r="D27" s="7" t="s">
        <v>879</v>
      </c>
      <c r="E27">
        <f xml:space="preserve"> +(ConcStorageTank2FeedStream_Mass * ConcStorageTank2FeedStream_Ag)-(ConcStorageTank2UnderflowStream_Mass * ConcStorageTank2UnderflowStream_Ag)</f>
        <v>0</v>
      </c>
      <c r="F27" t="str">
        <f t="shared" si="0"/>
        <v>MB_ConcStorageTank2_Ag</v>
      </c>
      <c r="H27" t="str">
        <f t="shared" si="1"/>
        <v xml:space="preserve">=(ConcStorageTank2_close_Mass * ConcStorageTank2_close_Ag) - (ConcStorageTank2_open_Mass * ConcStorageTank2_open_Ag)+0.0 </v>
      </c>
      <c r="I27" t="str">
        <f t="shared" si="2"/>
        <v>= +(ConcStorageTank2FeedStream_Mass * ConcStorageTank2FeedStream_Ag)-(ConcStorageTank2UnderflowStream_Mass * ConcStorageTank2UnderflowStream_Ag)</v>
      </c>
    </row>
    <row r="28" spans="1:9" ht="56.25">
      <c r="A28" s="2" t="s">
        <v>26</v>
      </c>
      <c r="B28" s="2" t="s">
        <v>906</v>
      </c>
      <c r="C28">
        <f>(ConcStorageTank2_close_Mass * ConcStorageTank2_close_Au) - (ConcStorageTank2_open_Mass * ConcStorageTank2_open_Au)+0</f>
        <v>0</v>
      </c>
      <c r="D28" s="7" t="s">
        <v>879</v>
      </c>
      <c r="E28">
        <f xml:space="preserve"> +(ConcStorageTank2FeedStream_Mass * ConcStorageTank2FeedStream_Au)-(ConcStorageTank2UnderflowStream_Mass * ConcStorageTank2UnderflowStream_Au)</f>
        <v>0</v>
      </c>
      <c r="F28" t="str">
        <f t="shared" si="0"/>
        <v>MB_ConcStorageTank2_Au</v>
      </c>
      <c r="H28" t="str">
        <f t="shared" si="1"/>
        <v xml:space="preserve">=(ConcStorageTank2_close_Mass * ConcStorageTank2_close_Au) - (ConcStorageTank2_open_Mass * ConcStorageTank2_open_Au)+0.0 </v>
      </c>
      <c r="I28" t="str">
        <f t="shared" si="2"/>
        <v>= +(ConcStorageTank2FeedStream_Mass * ConcStorageTank2FeedStream_Au)-(ConcStorageTank2UnderflowStream_Mass * ConcStorageTank2UnderflowStream_Au)</v>
      </c>
    </row>
    <row r="29" spans="1:9" ht="56.25">
      <c r="A29" s="2" t="s">
        <v>27</v>
      </c>
      <c r="B29" s="2" t="s">
        <v>907</v>
      </c>
      <c r="C29">
        <f>(ConcStorageTank2_close_Mass * ConcStorageTank2_close_Cu) - (ConcStorageTank2_open_Mass * ConcStorageTank2_open_Cu)+0</f>
        <v>0</v>
      </c>
      <c r="D29" s="7" t="s">
        <v>879</v>
      </c>
      <c r="E29">
        <f xml:space="preserve"> +(ConcStorageTank2FeedStream_Mass * ConcStorageTank2FeedStream_Cu)-(ConcStorageTank2UnderflowStream_Mass * ConcStorageTank2UnderflowStream_Cu)</f>
        <v>0</v>
      </c>
      <c r="F29" t="str">
        <f t="shared" si="0"/>
        <v>MB_ConcStorageTank2_Cu</v>
      </c>
      <c r="H29" t="str">
        <f t="shared" si="1"/>
        <v xml:space="preserve">=(ConcStorageTank2_close_Mass * ConcStorageTank2_close_Cu) - (ConcStorageTank2_open_Mass * ConcStorageTank2_open_Cu)+0.0 </v>
      </c>
      <c r="I29" t="str">
        <f t="shared" si="2"/>
        <v>= +(ConcStorageTank2FeedStream_Mass * ConcStorageTank2FeedStream_Cu)-(ConcStorageTank2UnderflowStream_Mass * ConcStorageTank2UnderflowStream_Cu)</v>
      </c>
    </row>
    <row r="30" spans="1:9" ht="56.25">
      <c r="A30" s="2" t="s">
        <v>28</v>
      </c>
      <c r="B30" s="2" t="s">
        <v>908</v>
      </c>
      <c r="C30">
        <f>(ConcStorageTank2_close_Mass * ConcStorageTank2_close_F) - (ConcStorageTank2_open_Mass * ConcStorageTank2_open_F)+0</f>
        <v>0</v>
      </c>
      <c r="D30" s="7" t="s">
        <v>879</v>
      </c>
      <c r="E30">
        <f xml:space="preserve"> +(ConcStorageTank2FeedStream_Mass * ConcStorageTank2FeedStream_F)-(ConcStorageTank2UnderflowStream_Mass * ConcStorageTank2UnderflowStream_F)</f>
        <v>0</v>
      </c>
      <c r="F30" t="str">
        <f t="shared" si="0"/>
        <v>MB_ConcStorageTank2_F</v>
      </c>
      <c r="H30" t="str">
        <f t="shared" si="1"/>
        <v xml:space="preserve">=(ConcStorageTank2_close_Mass * ConcStorageTank2_close_F) - (ConcStorageTank2_open_Mass * ConcStorageTank2_open_F)+0.0 </v>
      </c>
      <c r="I30" t="str">
        <f t="shared" si="2"/>
        <v>= +(ConcStorageTank2FeedStream_Mass * ConcStorageTank2FeedStream_F)-(ConcStorageTank2UnderflowStream_Mass * ConcStorageTank2UnderflowStream_F)</v>
      </c>
    </row>
    <row r="31" spans="1:9" ht="56.25">
      <c r="A31" s="2" t="s">
        <v>29</v>
      </c>
      <c r="B31" s="2" t="s">
        <v>909</v>
      </c>
      <c r="C31">
        <f>(ConcStorageTank2_close_Mass * ConcStorageTank2_close_Fe) - (ConcStorageTank2_open_Mass * ConcStorageTank2_open_Fe)+0</f>
        <v>0</v>
      </c>
      <c r="D31" s="7" t="s">
        <v>879</v>
      </c>
      <c r="E31">
        <f xml:space="preserve"> +(ConcStorageTank2FeedStream_Mass * ConcStorageTank2FeedStream_Fe)-(ConcStorageTank2UnderflowStream_Mass * ConcStorageTank2UnderflowStream_Fe)</f>
        <v>0</v>
      </c>
      <c r="F31" t="str">
        <f t="shared" si="0"/>
        <v>MB_ConcStorageTank2_Fe</v>
      </c>
      <c r="H31" t="str">
        <f t="shared" si="1"/>
        <v xml:space="preserve">=(ConcStorageTank2_close_Mass * ConcStorageTank2_close_Fe) - (ConcStorageTank2_open_Mass * ConcStorageTank2_open_Fe)+0.0 </v>
      </c>
      <c r="I31" t="str">
        <f t="shared" si="2"/>
        <v>= +(ConcStorageTank2FeedStream_Mass * ConcStorageTank2FeedStream_Fe)-(ConcStorageTank2UnderflowStream_Mass * ConcStorageTank2UnderflowStream_Fe)</v>
      </c>
    </row>
    <row r="32" spans="1:9" ht="56.25">
      <c r="A32" s="2" t="s">
        <v>30</v>
      </c>
      <c r="B32" s="2" t="s">
        <v>910</v>
      </c>
      <c r="C32">
        <f>(ConcStorageTank2_close_Mass * ConcStorageTank2_close_S) - (ConcStorageTank2_open_Mass * ConcStorageTank2_open_S)+0</f>
        <v>0</v>
      </c>
      <c r="D32" s="7" t="s">
        <v>879</v>
      </c>
      <c r="E32">
        <f xml:space="preserve"> +(ConcStorageTank2FeedStream_Mass * ConcStorageTank2FeedStream_S)-(ConcStorageTank2UnderflowStream_Mass * ConcStorageTank2UnderflowStream_S)</f>
        <v>0</v>
      </c>
      <c r="F32" t="str">
        <f t="shared" si="0"/>
        <v>MB_ConcStorageTank2_S</v>
      </c>
      <c r="H32" t="str">
        <f t="shared" si="1"/>
        <v xml:space="preserve">=(ConcStorageTank2_close_Mass * ConcStorageTank2_close_S) - (ConcStorageTank2_open_Mass * ConcStorageTank2_open_S)+0.0 </v>
      </c>
      <c r="I32" t="str">
        <f t="shared" si="2"/>
        <v>= +(ConcStorageTank2FeedStream_Mass * ConcStorageTank2FeedStream_S)-(ConcStorageTank2UnderflowStream_Mass * ConcStorageTank2UnderflowStream_S)</v>
      </c>
    </row>
    <row r="33" spans="1:9" ht="56.25">
      <c r="A33" s="2" t="s">
        <v>31</v>
      </c>
      <c r="B33" s="2" t="s">
        <v>911</v>
      </c>
      <c r="C33">
        <f>(ConcStorageTank2_close_Mass * ConcStorageTank2_close_U) - (ConcStorageTank2_open_Mass * ConcStorageTank2_open_U)+0</f>
        <v>0</v>
      </c>
      <c r="D33" s="7" t="s">
        <v>879</v>
      </c>
      <c r="E33">
        <f xml:space="preserve"> +(ConcStorageTank2FeedStream_Mass * ConcStorageTank2FeedStream_U)-(ConcStorageTank2UnderflowStream_Mass * ConcStorageTank2UnderflowStream_U)</f>
        <v>0</v>
      </c>
      <c r="F33" t="str">
        <f t="shared" si="0"/>
        <v>MB_ConcStorageTank2_U</v>
      </c>
      <c r="H33" t="str">
        <f t="shared" si="1"/>
        <v xml:space="preserve">=(ConcStorageTank2_close_Mass * ConcStorageTank2_close_U) - (ConcStorageTank2_open_Mass * ConcStorageTank2_open_U)+0.0 </v>
      </c>
      <c r="I33" t="str">
        <f t="shared" si="2"/>
        <v>= +(ConcStorageTank2FeedStream_Mass * ConcStorageTank2FeedStream_U)-(ConcStorageTank2UnderflowStream_Mass * ConcStorageTank2UnderflowStream_U)</v>
      </c>
    </row>
    <row r="34" spans="1:9" ht="45">
      <c r="A34" s="1" t="s">
        <v>32</v>
      </c>
      <c r="B34" s="1" t="s">
        <v>912</v>
      </c>
      <c r="C34">
        <f>ConcThickener_close_Mass - ConcThickener_open_Mass+0</f>
        <v>0</v>
      </c>
      <c r="D34" s="7" t="s">
        <v>879</v>
      </c>
      <c r="E34">
        <f xml:space="preserve"> +CCLASStreamConcThickenerFeedStream_Mass+SpillageReturnStream_Mass-ConcThickenerUnderflowStream_Mass</f>
        <v>0</v>
      </c>
      <c r="F34" t="str">
        <f t="shared" si="0"/>
        <v>MB_ConcThickener_Mass</v>
      </c>
      <c r="H34" t="str">
        <f t="shared" si="1"/>
        <v xml:space="preserve">=ConcThickener_close_Mass - ConcThickener_open_Mass+0.0 </v>
      </c>
      <c r="I34" t="str">
        <f t="shared" si="2"/>
        <v>= +CCLASStreamConcThickenerFeedStream_Mass+SpillageReturnStream_Mass-ConcThickenerUnderflowStream_Mass</v>
      </c>
    </row>
    <row r="35" spans="1:9" ht="33.75">
      <c r="A35" s="1" t="s">
        <v>33</v>
      </c>
      <c r="B35" s="1" t="s">
        <v>913</v>
      </c>
      <c r="C35">
        <f>0</f>
        <v>0</v>
      </c>
      <c r="D35" s="7" t="s">
        <v>879</v>
      </c>
      <c r="E35">
        <f xml:space="preserve"> +OSAStreamConcThickenerFeedStream_Mass-CCLASStreamConcThickenerFeedStream_Mass</f>
        <v>0</v>
      </c>
      <c r="F35" t="str">
        <f t="shared" si="0"/>
        <v>MB_ConcThickenerFeedStream_Mass</v>
      </c>
      <c r="H35" t="str">
        <f t="shared" si="1"/>
        <v xml:space="preserve">=+0.0 </v>
      </c>
      <c r="I35" t="str">
        <f t="shared" si="2"/>
        <v>= +OSAStreamConcThickenerFeedStream_Mass-CCLASStreamConcThickenerFeedStream_Mass</v>
      </c>
    </row>
    <row r="36" spans="1:9" ht="56.25">
      <c r="A36" s="1" t="s">
        <v>34</v>
      </c>
      <c r="B36" s="1" t="s">
        <v>914</v>
      </c>
      <c r="C36">
        <f>0</f>
        <v>0</v>
      </c>
      <c r="D36" s="7" t="s">
        <v>879</v>
      </c>
      <c r="E36">
        <f xml:space="preserve"> +(OSAStreamConcThickenerFeedStream_Mass * OSAStreamConcThickenerFeedStream_Ag)-(CCLASStreamConcThickenerFeedStream_Mass * CCLASStreamConcThickenerFeedStream_Ag)</f>
        <v>0</v>
      </c>
      <c r="F36" t="str">
        <f t="shared" si="0"/>
        <v>MB_ConcThickenerFeedStream_Ag</v>
      </c>
      <c r="H36" t="str">
        <f t="shared" si="1"/>
        <v xml:space="preserve">=+0.0 </v>
      </c>
      <c r="I36" t="str">
        <f t="shared" si="2"/>
        <v>= +(OSAStreamConcThickenerFeedStream_Mass * OSAStreamConcThickenerFeedStream_Ag)-(CCLASStreamConcThickenerFeedStream_Mass * CCLASStreamConcThickenerFeedStream_Ag)</v>
      </c>
    </row>
    <row r="37" spans="1:9" ht="56.25">
      <c r="A37" s="1" t="s">
        <v>35</v>
      </c>
      <c r="B37" s="1" t="s">
        <v>915</v>
      </c>
      <c r="C37">
        <f>0</f>
        <v>0</v>
      </c>
      <c r="D37" s="7" t="s">
        <v>879</v>
      </c>
      <c r="E37">
        <f xml:space="preserve"> +(OSAStreamConcThickenerFeedStream_Mass * OSAStreamConcThickenerFeedStream_Au)-(CCLASStreamConcThickenerFeedStream_Mass * CCLASStreamConcThickenerFeedStream_Au)</f>
        <v>0</v>
      </c>
      <c r="F37" t="str">
        <f t="shared" si="0"/>
        <v>MB_ConcThickenerFeedStream_Au</v>
      </c>
      <c r="H37" t="str">
        <f t="shared" si="1"/>
        <v xml:space="preserve">=+0.0 </v>
      </c>
      <c r="I37" t="str">
        <f t="shared" si="2"/>
        <v>= +(OSAStreamConcThickenerFeedStream_Mass * OSAStreamConcThickenerFeedStream_Au)-(CCLASStreamConcThickenerFeedStream_Mass * CCLASStreamConcThickenerFeedStream_Au)</v>
      </c>
    </row>
    <row r="38" spans="1:9" ht="56.25">
      <c r="A38" s="1" t="s">
        <v>36</v>
      </c>
      <c r="B38" s="1" t="s">
        <v>916</v>
      </c>
      <c r="C38">
        <f>0</f>
        <v>0</v>
      </c>
      <c r="D38" s="7" t="s">
        <v>879</v>
      </c>
      <c r="E38">
        <f xml:space="preserve"> +(OSAStreamConcThickenerFeedStream_Mass * OSAStreamConcThickenerFeedStream_Cu)-(CCLASStreamConcThickenerFeedStream_Mass * CCLASStreamConcThickenerFeedStream_Cu)</f>
        <v>0</v>
      </c>
      <c r="F38" t="str">
        <f t="shared" si="0"/>
        <v>MB_ConcThickenerFeedStream_Cu</v>
      </c>
      <c r="H38" t="str">
        <f t="shared" si="1"/>
        <v xml:space="preserve">=+0.0 </v>
      </c>
      <c r="I38" t="str">
        <f t="shared" si="2"/>
        <v>= +(OSAStreamConcThickenerFeedStream_Mass * OSAStreamConcThickenerFeedStream_Cu)-(CCLASStreamConcThickenerFeedStream_Mass * CCLASStreamConcThickenerFeedStream_Cu)</v>
      </c>
    </row>
    <row r="39" spans="1:9" ht="56.25">
      <c r="A39" s="1" t="s">
        <v>37</v>
      </c>
      <c r="B39" s="1" t="s">
        <v>917</v>
      </c>
      <c r="C39">
        <f>0</f>
        <v>0</v>
      </c>
      <c r="D39" s="7" t="s">
        <v>879</v>
      </c>
      <c r="E39">
        <f xml:space="preserve"> +(OSAStreamConcThickenerFeedStream_Mass * OSAStreamConcThickenerFeedStream_F)-(CCLASStreamConcThickenerFeedStream_Mass * CCLASStreamConcThickenerFeedStream_F)</f>
        <v>0</v>
      </c>
      <c r="F39" t="str">
        <f t="shared" si="0"/>
        <v>MB_ConcThickenerFeedStream_F</v>
      </c>
      <c r="H39" t="str">
        <f t="shared" si="1"/>
        <v xml:space="preserve">=+0.0 </v>
      </c>
      <c r="I39" t="str">
        <f t="shared" si="2"/>
        <v>= +(OSAStreamConcThickenerFeedStream_Mass * OSAStreamConcThickenerFeedStream_F)-(CCLASStreamConcThickenerFeedStream_Mass * CCLASStreamConcThickenerFeedStream_F)</v>
      </c>
    </row>
    <row r="40" spans="1:9" ht="56.25">
      <c r="A40" s="1" t="s">
        <v>38</v>
      </c>
      <c r="B40" s="1" t="s">
        <v>918</v>
      </c>
      <c r="C40">
        <f>0</f>
        <v>0</v>
      </c>
      <c r="D40" s="7" t="s">
        <v>879</v>
      </c>
      <c r="E40">
        <f xml:space="preserve"> +(OSAStreamConcThickenerFeedStream_Mass * OSAStreamConcThickenerFeedStream_Fe)-(CCLASStreamConcThickenerFeedStream_Mass * CCLASStreamConcThickenerFeedStream_Fe)</f>
        <v>0</v>
      </c>
      <c r="F40" t="str">
        <f t="shared" si="0"/>
        <v>MB_ConcThickenerFeedStream_Fe</v>
      </c>
      <c r="H40" t="str">
        <f t="shared" si="1"/>
        <v xml:space="preserve">=+0.0 </v>
      </c>
      <c r="I40" t="str">
        <f t="shared" si="2"/>
        <v>= +(OSAStreamConcThickenerFeedStream_Mass * OSAStreamConcThickenerFeedStream_Fe)-(CCLASStreamConcThickenerFeedStream_Mass * CCLASStreamConcThickenerFeedStream_Fe)</v>
      </c>
    </row>
    <row r="41" spans="1:9" ht="56.25">
      <c r="A41" s="1" t="s">
        <v>39</v>
      </c>
      <c r="B41" s="1" t="s">
        <v>919</v>
      </c>
      <c r="C41">
        <f>0</f>
        <v>0</v>
      </c>
      <c r="D41" s="7" t="s">
        <v>879</v>
      </c>
      <c r="E41">
        <f xml:space="preserve"> +(OSAStreamConcThickenerFeedStream_Mass * OSAStreamConcThickenerFeedStream_S)-(CCLASStreamConcThickenerFeedStream_Mass * CCLASStreamConcThickenerFeedStream_S)</f>
        <v>0</v>
      </c>
      <c r="F41" t="str">
        <f t="shared" si="0"/>
        <v>MB_ConcThickenerFeedStream_S</v>
      </c>
      <c r="H41" t="str">
        <f t="shared" si="1"/>
        <v xml:space="preserve">=+0.0 </v>
      </c>
      <c r="I41" t="str">
        <f t="shared" si="2"/>
        <v>= +(OSAStreamConcThickenerFeedStream_Mass * OSAStreamConcThickenerFeedStream_S)-(CCLASStreamConcThickenerFeedStream_Mass * CCLASStreamConcThickenerFeedStream_S)</v>
      </c>
    </row>
    <row r="42" spans="1:9" ht="56.25">
      <c r="A42" s="1" t="s">
        <v>40</v>
      </c>
      <c r="B42" s="1" t="s">
        <v>920</v>
      </c>
      <c r="C42">
        <f>0</f>
        <v>0</v>
      </c>
      <c r="D42" s="7" t="s">
        <v>879</v>
      </c>
      <c r="E42">
        <f xml:space="preserve"> +(OSAStreamConcThickenerFeedStream_Mass * OSAStreamConcThickenerFeedStream_U)-(CCLASStreamConcThickenerFeedStream_Mass * CCLASStreamConcThickenerFeedStream_U)</f>
        <v>0</v>
      </c>
      <c r="F42" t="str">
        <f t="shared" si="0"/>
        <v>MB_ConcThickenerFeedStream_U</v>
      </c>
      <c r="H42" t="str">
        <f t="shared" si="1"/>
        <v xml:space="preserve">=+0.0 </v>
      </c>
      <c r="I42" t="str">
        <f t="shared" si="2"/>
        <v>= +(OSAStreamConcThickenerFeedStream_Mass * OSAStreamConcThickenerFeedStream_U)-(CCLASStreamConcThickenerFeedStream_Mass * CCLASStreamConcThickenerFeedStream_U)</v>
      </c>
    </row>
    <row r="43" spans="1:9" ht="33.75">
      <c r="A43" s="1" t="s">
        <v>41</v>
      </c>
      <c r="B43" s="1" t="s">
        <v>921</v>
      </c>
      <c r="C43">
        <f>0</f>
        <v>0</v>
      </c>
      <c r="D43" s="7" t="s">
        <v>879</v>
      </c>
      <c r="E43">
        <f xml:space="preserve"> +ConcThickenerUnderflowStream_Mass-ConcStorageTank1FeedStream_Mass-ConcStorageTank2FeedStream_Mass</f>
        <v>0</v>
      </c>
      <c r="F43" t="str">
        <f t="shared" si="0"/>
        <v>MB_ConcThickenerUnderflowPump_Mass</v>
      </c>
      <c r="H43" t="str">
        <f t="shared" si="1"/>
        <v xml:space="preserve">=+0.0 </v>
      </c>
      <c r="I43" t="str">
        <f t="shared" si="2"/>
        <v>= +ConcThickenerUnderflowStream_Mass-ConcStorageTank1FeedStream_Mass-ConcStorageTank2FeedStream_Mass</v>
      </c>
    </row>
    <row r="44" spans="1:9" ht="45">
      <c r="A44" s="1" t="s">
        <v>42</v>
      </c>
      <c r="B44" s="1" t="s">
        <v>922</v>
      </c>
      <c r="C44">
        <f>0</f>
        <v>0</v>
      </c>
      <c r="D44" s="7" t="s">
        <v>879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0</v>
      </c>
      <c r="F44" t="str">
        <f t="shared" si="0"/>
        <v>MB_ConcThickenerUnderflowPump_Ag</v>
      </c>
      <c r="H44" t="str">
        <f t="shared" si="1"/>
        <v xml:space="preserve">=+0.0 </v>
      </c>
      <c r="I44" t="str">
        <f t="shared" si="2"/>
        <v>= +(ConcThickenerUnderflowStream_Mass * ConcThickenerUnderflowStream_Ag)-(ConcStorageTank1FeedStream_Mass * ConcStorageTank1FeedStream_Ag)-(ConcStorageTank2FeedStream_Mass * ConcStorageTank2FeedStream_Ag)</v>
      </c>
    </row>
    <row r="45" spans="1:9" ht="45">
      <c r="A45" s="1" t="s">
        <v>43</v>
      </c>
      <c r="B45" s="1" t="s">
        <v>923</v>
      </c>
      <c r="C45">
        <f>0</f>
        <v>0</v>
      </c>
      <c r="D45" s="7" t="s">
        <v>879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0</v>
      </c>
      <c r="F45" t="str">
        <f t="shared" si="0"/>
        <v>MB_ConcThickenerUnderflowPump_Au</v>
      </c>
      <c r="H45" t="str">
        <f t="shared" si="1"/>
        <v xml:space="preserve">=+0.0 </v>
      </c>
      <c r="I45" t="str">
        <f t="shared" si="2"/>
        <v>= +(ConcThickenerUnderflowStream_Mass * ConcThickenerUnderflowStream_Au)-(ConcStorageTank1FeedStream_Mass * ConcStorageTank1FeedStream_Au)-(ConcStorageTank2FeedStream_Mass * ConcStorageTank2FeedStream_Au)</v>
      </c>
    </row>
    <row r="46" spans="1:9" ht="45">
      <c r="A46" s="1" t="s">
        <v>44</v>
      </c>
      <c r="B46" s="1" t="s">
        <v>924</v>
      </c>
      <c r="C46">
        <f>0</f>
        <v>0</v>
      </c>
      <c r="D46" s="7" t="s">
        <v>879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0</v>
      </c>
      <c r="F46" t="str">
        <f t="shared" si="0"/>
        <v>MB_ConcThickenerUnderflowPump_Cu</v>
      </c>
      <c r="H46" t="str">
        <f t="shared" si="1"/>
        <v xml:space="preserve">=+0.0 </v>
      </c>
      <c r="I46" t="str">
        <f t="shared" si="2"/>
        <v>= +(ConcThickenerUnderflowStream_Mass * ConcThickenerUnderflowStream_Cu)-(ConcStorageTank1FeedStream_Mass * ConcStorageTank1FeedStream_Cu)-(ConcStorageTank2FeedStream_Mass * ConcStorageTank2FeedStream_Cu)</v>
      </c>
    </row>
    <row r="47" spans="1:9" ht="45">
      <c r="A47" s="1" t="s">
        <v>45</v>
      </c>
      <c r="B47" s="1" t="s">
        <v>925</v>
      </c>
      <c r="C47">
        <f>0</f>
        <v>0</v>
      </c>
      <c r="D47" s="7" t="s">
        <v>879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0</v>
      </c>
      <c r="F47" t="str">
        <f t="shared" si="0"/>
        <v>MB_ConcThickenerUnderflowPump_F</v>
      </c>
      <c r="H47" t="str">
        <f t="shared" si="1"/>
        <v xml:space="preserve">=+0.0 </v>
      </c>
      <c r="I47" t="str">
        <f t="shared" si="2"/>
        <v>= +(ConcThickenerUnderflowStream_Mass * ConcThickenerUnderflowStream_F)-(ConcStorageTank1FeedStream_Mass * ConcStorageTank1FeedStream_F)-(ConcStorageTank2FeedStream_Mass * ConcStorageTank2FeedStream_F)</v>
      </c>
    </row>
    <row r="48" spans="1:9" ht="45">
      <c r="A48" s="1" t="s">
        <v>46</v>
      </c>
      <c r="B48" s="1" t="s">
        <v>926</v>
      </c>
      <c r="C48">
        <f>0</f>
        <v>0</v>
      </c>
      <c r="D48" s="7" t="s">
        <v>879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0</v>
      </c>
      <c r="F48" t="str">
        <f t="shared" si="0"/>
        <v>MB_ConcThickenerUnderflowPump_Fe</v>
      </c>
      <c r="H48" t="str">
        <f t="shared" si="1"/>
        <v xml:space="preserve">=+0.0 </v>
      </c>
      <c r="I48" t="str">
        <f t="shared" si="2"/>
        <v>= +(ConcThickenerUnderflowStream_Mass * ConcThickenerUnderflowStream_Fe)-(ConcStorageTank1FeedStream_Mass * ConcStorageTank1FeedStream_Fe)-(ConcStorageTank2FeedStream_Mass * ConcStorageTank2FeedStream_Fe)</v>
      </c>
    </row>
    <row r="49" spans="1:9" ht="45">
      <c r="A49" s="1" t="s">
        <v>47</v>
      </c>
      <c r="B49" s="1" t="s">
        <v>927</v>
      </c>
      <c r="C49">
        <f>0</f>
        <v>0</v>
      </c>
      <c r="D49" s="7" t="s">
        <v>879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0</v>
      </c>
      <c r="F49" t="str">
        <f t="shared" si="0"/>
        <v>MB_ConcThickenerUnderflowPump_S</v>
      </c>
      <c r="H49" t="str">
        <f t="shared" si="1"/>
        <v xml:space="preserve">=+0.0 </v>
      </c>
      <c r="I49" t="str">
        <f t="shared" si="2"/>
        <v>= +(ConcThickenerUnderflowStream_Mass * ConcThickenerUnderflowStream_S)-(ConcStorageTank1FeedStream_Mass * ConcStorageTank1FeedStream_S)-(ConcStorageTank2FeedStream_Mass * ConcStorageTank2FeedStream_S)</v>
      </c>
    </row>
    <row r="50" spans="1:9" ht="45">
      <c r="A50" s="1" t="s">
        <v>48</v>
      </c>
      <c r="B50" s="1" t="s">
        <v>928</v>
      </c>
      <c r="C50">
        <f>0</f>
        <v>0</v>
      </c>
      <c r="D50" s="7" t="s">
        <v>879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0</v>
      </c>
      <c r="F50" t="str">
        <f t="shared" si="0"/>
        <v>MB_ConcThickenerUnderflowPump_U</v>
      </c>
      <c r="H50" t="str">
        <f t="shared" si="1"/>
        <v xml:space="preserve">=+0.0 </v>
      </c>
      <c r="I50" t="str">
        <f t="shared" si="2"/>
        <v>= +(ConcThickenerUnderflowStream_Mass * ConcThickenerUnderflowStream_U)-(ConcStorageTank1FeedStream_Mass * ConcStorageTank1FeedStream_U)-(ConcStorageTank2FeedStream_Mass * ConcStorageTank2FeedStream_U)</v>
      </c>
    </row>
    <row r="51" spans="1:9" ht="67.5">
      <c r="A51" s="2" t="s">
        <v>49</v>
      </c>
      <c r="B51" s="2" t="s">
        <v>929</v>
      </c>
      <c r="C51">
        <f>(ConcThickener_close_Mass * ConcThickener_close_Ag) - (ConcThickener_open_Mass * ConcThickener_open_Ag)+0</f>
        <v>0</v>
      </c>
      <c r="D51" s="7" t="s">
        <v>879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0</v>
      </c>
      <c r="F51" t="str">
        <f t="shared" si="0"/>
        <v>MB_ConcThickener_Ag</v>
      </c>
      <c r="H51" t="str">
        <f t="shared" si="1"/>
        <v xml:space="preserve">=(ConcThickener_close_Mass * ConcThickener_close_Ag) - (ConcThickener_open_Mass * ConcThickener_open_Ag)+0.0 </v>
      </c>
      <c r="I51" t="str">
        <f t="shared" si="2"/>
        <v>= +(CCLASStreamConcThickenerFeedStream_Mass * CCLASStreamConcThickenerFeedStream_Ag)+(SpillageReturnStream_Mass * SpillageReturnStream_Ag)-(ConcThickenerUnderflowStream_Mass * ConcThickenerUnderflowStream_Ag)</v>
      </c>
    </row>
    <row r="52" spans="1:9" ht="67.5">
      <c r="A52" s="2" t="s">
        <v>50</v>
      </c>
      <c r="B52" s="2" t="s">
        <v>930</v>
      </c>
      <c r="C52">
        <f>(ConcThickener_close_Mass * ConcThickener_close_Au) - (ConcThickener_open_Mass * ConcThickener_open_Au)+0</f>
        <v>0</v>
      </c>
      <c r="D52" s="7" t="s">
        <v>879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0</v>
      </c>
      <c r="F52" t="str">
        <f t="shared" si="0"/>
        <v>MB_ConcThickener_Au</v>
      </c>
      <c r="H52" t="str">
        <f t="shared" si="1"/>
        <v xml:space="preserve">=(ConcThickener_close_Mass * ConcThickener_close_Au) - (ConcThickener_open_Mass * ConcThickener_open_Au)+0.0 </v>
      </c>
      <c r="I52" t="str">
        <f t="shared" si="2"/>
        <v>= +(CCLASStreamConcThickenerFeedStream_Mass * CCLASStreamConcThickenerFeedStream_Au)+(SpillageReturnStream_Mass * SpillageReturnStream_Au)-(ConcThickenerUnderflowStream_Mass * ConcThickenerUnderflowStream_Au)</v>
      </c>
    </row>
    <row r="53" spans="1:9" ht="67.5">
      <c r="A53" s="2" t="s">
        <v>51</v>
      </c>
      <c r="B53" s="2" t="s">
        <v>931</v>
      </c>
      <c r="C53">
        <f>(ConcThickener_close_Mass * ConcThickener_close_Cu) - (ConcThickener_open_Mass * ConcThickener_open_Cu)+0</f>
        <v>0</v>
      </c>
      <c r="D53" s="7" t="s">
        <v>879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0</v>
      </c>
      <c r="F53" t="str">
        <f t="shared" si="0"/>
        <v>MB_ConcThickener_Cu</v>
      </c>
      <c r="H53" t="str">
        <f t="shared" si="1"/>
        <v xml:space="preserve">=(ConcThickener_close_Mass * ConcThickener_close_Cu) - (ConcThickener_open_Mass * ConcThickener_open_Cu)+0.0 </v>
      </c>
      <c r="I53" t="str">
        <f t="shared" si="2"/>
        <v>= +(CCLASStreamConcThickenerFeedStream_Mass * CCLASStreamConcThickenerFeedStream_Cu)+(SpillageReturnStream_Mass * SpillageReturnStream_Cu)-(ConcThickenerUnderflowStream_Mass * ConcThickenerUnderflowStream_Cu)</v>
      </c>
    </row>
    <row r="54" spans="1:9" ht="67.5">
      <c r="A54" s="2" t="s">
        <v>52</v>
      </c>
      <c r="B54" s="2" t="s">
        <v>932</v>
      </c>
      <c r="C54">
        <f>(ConcThickener_close_Mass * ConcThickener_close_F) - (ConcThickener_open_Mass * ConcThickener_open_F)+0</f>
        <v>0</v>
      </c>
      <c r="D54" s="7" t="s">
        <v>879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</v>
      </c>
      <c r="F54" t="str">
        <f t="shared" si="0"/>
        <v>MB_ConcThickener_F</v>
      </c>
      <c r="H54" t="str">
        <f t="shared" si="1"/>
        <v xml:space="preserve">=(ConcThickener_close_Mass * ConcThickener_close_F) - (ConcThickener_open_Mass * ConcThickener_open_F)+0.0 </v>
      </c>
      <c r="I54" t="str">
        <f t="shared" si="2"/>
        <v>= +(CCLASStreamConcThickenerFeedStream_Mass * CCLASStreamConcThickenerFeedStream_F)+(SpillageReturnStream_Mass * SpillageReturnStream_F)-(ConcThickenerUnderflowStream_Mass * ConcThickenerUnderflowStream_F)</v>
      </c>
    </row>
    <row r="55" spans="1:9" ht="67.5">
      <c r="A55" s="2" t="s">
        <v>53</v>
      </c>
      <c r="B55" s="2" t="s">
        <v>933</v>
      </c>
      <c r="C55">
        <f>(ConcThickener_close_Mass * ConcThickener_close_Fe) - (ConcThickener_open_Mass * ConcThickener_open_Fe)+0</f>
        <v>0</v>
      </c>
      <c r="D55" s="7" t="s">
        <v>879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0</v>
      </c>
      <c r="F55" t="str">
        <f t="shared" si="0"/>
        <v>MB_ConcThickener_Fe</v>
      </c>
      <c r="H55" t="str">
        <f t="shared" si="1"/>
        <v xml:space="preserve">=(ConcThickener_close_Mass * ConcThickener_close_Fe) - (ConcThickener_open_Mass * ConcThickener_open_Fe)+0.0 </v>
      </c>
      <c r="I55" t="str">
        <f t="shared" si="2"/>
        <v>= +(CCLASStreamConcThickenerFeedStream_Mass * CCLASStreamConcThickenerFeedStream_Fe)+(SpillageReturnStream_Mass * SpillageReturnStream_Fe)-(ConcThickenerUnderflowStream_Mass * ConcThickenerUnderflowStream_Fe)</v>
      </c>
    </row>
    <row r="56" spans="1:9" ht="67.5">
      <c r="A56" s="2" t="s">
        <v>54</v>
      </c>
      <c r="B56" s="2" t="s">
        <v>934</v>
      </c>
      <c r="C56">
        <f>(ConcThickener_close_Mass * ConcThickener_close_S) - (ConcThickener_open_Mass * ConcThickener_open_S)+0</f>
        <v>0</v>
      </c>
      <c r="D56" s="7" t="s">
        <v>879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0</v>
      </c>
      <c r="F56" t="str">
        <f t="shared" si="0"/>
        <v>MB_ConcThickener_S</v>
      </c>
      <c r="H56" t="str">
        <f t="shared" si="1"/>
        <v xml:space="preserve">=(ConcThickener_close_Mass * ConcThickener_close_S) - (ConcThickener_open_Mass * ConcThickener_open_S)+0.0 </v>
      </c>
      <c r="I56" t="str">
        <f t="shared" si="2"/>
        <v>= +(CCLASStreamConcThickenerFeedStream_Mass * CCLASStreamConcThickenerFeedStream_S)+(SpillageReturnStream_Mass * SpillageReturnStream_S)-(ConcThickenerUnderflowStream_Mass * ConcThickenerUnderflowStream_S)</v>
      </c>
    </row>
    <row r="57" spans="1:9" ht="67.5">
      <c r="A57" s="2" t="s">
        <v>55</v>
      </c>
      <c r="B57" s="2" t="s">
        <v>935</v>
      </c>
      <c r="C57">
        <f>(ConcThickener_close_Mass * ConcThickener_close_U) - (ConcThickener_open_Mass * ConcThickener_open_U)+0</f>
        <v>0</v>
      </c>
      <c r="D57" s="7" t="s">
        <v>879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0</v>
      </c>
      <c r="F57" t="str">
        <f t="shared" si="0"/>
        <v>MB_ConcThickener_U</v>
      </c>
      <c r="H57" t="str">
        <f t="shared" si="1"/>
        <v xml:space="preserve">=(ConcThickener_close_Mass * ConcThickener_close_U) - (ConcThickener_open_Mass * ConcThickener_open_U)+0.0 </v>
      </c>
      <c r="I57" t="str">
        <f t="shared" si="2"/>
        <v>= +(CCLASStreamConcThickenerFeedStream_Mass * CCLASStreamConcThickenerFeedStream_U)+(SpillageReturnStream_Mass * SpillageReturnStream_U)-(ConcThickenerUnderflowStream_Mass * ConcThickenerUnderflowStream_U)</v>
      </c>
    </row>
    <row r="58" spans="1:9" ht="22.5">
      <c r="A58" s="1" t="s">
        <v>56</v>
      </c>
      <c r="B58" s="1" t="s">
        <v>936</v>
      </c>
      <c r="C58">
        <f>0</f>
        <v>0</v>
      </c>
      <c r="D58" s="7" t="s">
        <v>879</v>
      </c>
      <c r="E58">
        <f xml:space="preserve"> +CCLASStreamRougherFeedStream_Mass-OSAStreamConcThickenerFeedStream_Mass-OSAStreamFlotationTailsStream_Mass</f>
        <v>0</v>
      </c>
      <c r="F58" t="str">
        <f t="shared" si="0"/>
        <v>MB_Flotation_Mass</v>
      </c>
      <c r="H58" t="str">
        <f t="shared" si="1"/>
        <v xml:space="preserve">=+0.0 </v>
      </c>
      <c r="I58" t="str">
        <f t="shared" si="2"/>
        <v>= +CCLASStreamRougherFeedStream_Mass-OSAStreamConcThickenerFeedStream_Mass-OSAStreamFlotationTailsStream_Mass</v>
      </c>
    </row>
    <row r="59" spans="1:9" ht="22.5">
      <c r="A59" s="1" t="s">
        <v>57</v>
      </c>
      <c r="B59" s="1" t="s">
        <v>937</v>
      </c>
      <c r="C59">
        <f>0</f>
        <v>0</v>
      </c>
      <c r="D59" s="7" t="s">
        <v>879</v>
      </c>
      <c r="E59">
        <f xml:space="preserve"> +OSAStreamFlotationTailsStream_Mass-CCLASStreamFlotationTailsStream_Mass</f>
        <v>0</v>
      </c>
      <c r="F59" t="str">
        <f t="shared" si="0"/>
        <v>MB_FlotationTailsStream_Mass</v>
      </c>
      <c r="H59" t="str">
        <f t="shared" si="1"/>
        <v xml:space="preserve">=+0.0 </v>
      </c>
      <c r="I59" t="str">
        <f t="shared" si="2"/>
        <v>= +OSAStreamFlotationTailsStream_Mass-CCLASStreamFlotationTailsStream_Mass</v>
      </c>
    </row>
    <row r="60" spans="1:9" ht="33.75">
      <c r="A60" s="1" t="s">
        <v>58</v>
      </c>
      <c r="B60" s="1" t="s">
        <v>938</v>
      </c>
      <c r="C60">
        <f>0</f>
        <v>0</v>
      </c>
      <c r="D60" s="7" t="s">
        <v>879</v>
      </c>
      <c r="E60">
        <f xml:space="preserve"> +(OSAStreamFlotationTailsStream_Mass * OSAStreamFlotationTailsStream_Ag)-(CCLASStreamFlotationTailsStream_Mass * CCLASStreamFlotationTailsStream_Ag)</f>
        <v>0</v>
      </c>
      <c r="F60" t="str">
        <f t="shared" si="0"/>
        <v>MB_FlotationTailsStream_Ag</v>
      </c>
      <c r="H60" t="str">
        <f t="shared" si="1"/>
        <v xml:space="preserve">=+0.0 </v>
      </c>
      <c r="I60" t="str">
        <f t="shared" si="2"/>
        <v>= +(OSAStreamFlotationTailsStream_Mass * OSAStreamFlotationTailsStream_Ag)-(CCLASStreamFlotationTailsStream_Mass * CCLASStreamFlotationTailsStream_Ag)</v>
      </c>
    </row>
    <row r="61" spans="1:9" ht="33.75">
      <c r="A61" s="1" t="s">
        <v>59</v>
      </c>
      <c r="B61" s="1" t="s">
        <v>939</v>
      </c>
      <c r="C61">
        <f>0</f>
        <v>0</v>
      </c>
      <c r="D61" s="7" t="s">
        <v>879</v>
      </c>
      <c r="E61">
        <f xml:space="preserve"> +(OSAStreamFlotationTailsStream_Mass * OSAStreamFlotationTailsStream_Au)-(CCLASStreamFlotationTailsStream_Mass * CCLASStreamFlotationTailsStream_Au)</f>
        <v>0</v>
      </c>
      <c r="F61" t="str">
        <f t="shared" si="0"/>
        <v>MB_FlotationTailsStream_Au</v>
      </c>
      <c r="H61" t="str">
        <f t="shared" si="1"/>
        <v xml:space="preserve">=+0.0 </v>
      </c>
      <c r="I61" t="str">
        <f t="shared" si="2"/>
        <v>= +(OSAStreamFlotationTailsStream_Mass * OSAStreamFlotationTailsStream_Au)-(CCLASStreamFlotationTailsStream_Mass * CCLASStreamFlotationTailsStream_Au)</v>
      </c>
    </row>
    <row r="62" spans="1:9" ht="33.75">
      <c r="A62" s="1" t="s">
        <v>60</v>
      </c>
      <c r="B62" s="1" t="s">
        <v>940</v>
      </c>
      <c r="C62">
        <f>0</f>
        <v>0</v>
      </c>
      <c r="D62" s="7" t="s">
        <v>879</v>
      </c>
      <c r="E62">
        <f xml:space="preserve"> +(OSAStreamFlotationTailsStream_Mass * OSAStreamFlotationTailsStream_Cu)-(CCLASStreamFlotationTailsStream_Mass * CCLASStreamFlotationTailsStream_Cu)</f>
        <v>0</v>
      </c>
      <c r="F62" t="str">
        <f t="shared" si="0"/>
        <v>MB_FlotationTailsStream_Cu</v>
      </c>
      <c r="H62" t="str">
        <f t="shared" si="1"/>
        <v xml:space="preserve">=+0.0 </v>
      </c>
      <c r="I62" t="str">
        <f t="shared" si="2"/>
        <v>= +(OSAStreamFlotationTailsStream_Mass * OSAStreamFlotationTailsStream_Cu)-(CCLASStreamFlotationTailsStream_Mass * CCLASStreamFlotationTailsStream_Cu)</v>
      </c>
    </row>
    <row r="63" spans="1:9" ht="33.75">
      <c r="A63" s="1" t="s">
        <v>61</v>
      </c>
      <c r="B63" s="1" t="s">
        <v>941</v>
      </c>
      <c r="C63">
        <f>0</f>
        <v>0</v>
      </c>
      <c r="D63" s="7" t="s">
        <v>879</v>
      </c>
      <c r="E63">
        <f xml:space="preserve"> +(OSAStreamFlotationTailsStream_Mass * OSAStreamFlotationTailsStream_F)-(CCLASStreamFlotationTailsStream_Mass * CCLASStreamFlotationTailsStream_F)</f>
        <v>0</v>
      </c>
      <c r="F63" t="str">
        <f t="shared" si="0"/>
        <v>MB_FlotationTailsStream_F</v>
      </c>
      <c r="H63" t="str">
        <f t="shared" si="1"/>
        <v xml:space="preserve">=+0.0 </v>
      </c>
      <c r="I63" t="str">
        <f t="shared" si="2"/>
        <v>= +(OSAStreamFlotationTailsStream_Mass * OSAStreamFlotationTailsStream_F)-(CCLASStreamFlotationTailsStream_Mass * CCLASStreamFlotationTailsStream_F)</v>
      </c>
    </row>
    <row r="64" spans="1:9" ht="33.75">
      <c r="A64" s="1" t="s">
        <v>62</v>
      </c>
      <c r="B64" s="1" t="s">
        <v>942</v>
      </c>
      <c r="C64">
        <f>0</f>
        <v>0</v>
      </c>
      <c r="D64" s="7" t="s">
        <v>879</v>
      </c>
      <c r="E64">
        <f xml:space="preserve"> +(OSAStreamFlotationTailsStream_Mass * OSAStreamFlotationTailsStream_Fe)-(CCLASStreamFlotationTailsStream_Mass * CCLASStreamFlotationTailsStream_Fe)</f>
        <v>0</v>
      </c>
      <c r="F64" t="str">
        <f t="shared" si="0"/>
        <v>MB_FlotationTailsStream_Fe</v>
      </c>
      <c r="H64" t="str">
        <f t="shared" si="1"/>
        <v xml:space="preserve">=+0.0 </v>
      </c>
      <c r="I64" t="str">
        <f t="shared" si="2"/>
        <v>= +(OSAStreamFlotationTailsStream_Mass * OSAStreamFlotationTailsStream_Fe)-(CCLASStreamFlotationTailsStream_Mass * CCLASStreamFlotationTailsStream_Fe)</v>
      </c>
    </row>
    <row r="65" spans="1:9" ht="33.75">
      <c r="A65" s="1" t="s">
        <v>63</v>
      </c>
      <c r="B65" s="1" t="s">
        <v>943</v>
      </c>
      <c r="C65">
        <f>0</f>
        <v>0</v>
      </c>
      <c r="D65" s="7" t="s">
        <v>879</v>
      </c>
      <c r="E65">
        <f xml:space="preserve"> +(OSAStreamFlotationTailsStream_Mass * OSAStreamFlotationTailsStream_S)-(CCLASStreamFlotationTailsStream_Mass * CCLASStreamFlotationTailsStream_S)</f>
        <v>0</v>
      </c>
      <c r="F65" t="str">
        <f t="shared" si="0"/>
        <v>MB_FlotationTailsStream_S</v>
      </c>
      <c r="H65" t="str">
        <f t="shared" si="1"/>
        <v xml:space="preserve">=+0.0 </v>
      </c>
      <c r="I65" t="str">
        <f t="shared" si="2"/>
        <v>= +(OSAStreamFlotationTailsStream_Mass * OSAStreamFlotationTailsStream_S)-(CCLASStreamFlotationTailsStream_Mass * CCLASStreamFlotationTailsStream_S)</v>
      </c>
    </row>
    <row r="66" spans="1:9" ht="33.75">
      <c r="A66" s="1" t="s">
        <v>64</v>
      </c>
      <c r="B66" s="1" t="s">
        <v>944</v>
      </c>
      <c r="C66">
        <f>0</f>
        <v>0</v>
      </c>
      <c r="D66" s="7" t="s">
        <v>879</v>
      </c>
      <c r="E66">
        <f xml:space="preserve"> +(OSAStreamFlotationTailsStream_Mass * OSAStreamFlotationTailsStream_U)-(CCLASStreamFlotationTailsStream_Mass * CCLASStreamFlotationTailsStream_U)</f>
        <v>0</v>
      </c>
      <c r="F66" t="str">
        <f t="shared" ref="F66:F97" si="3">MID(A66,1,FIND(":",A66)-1)</f>
        <v>MB_FlotationTailsStream_U</v>
      </c>
      <c r="H66" t="str">
        <f t="shared" si="1"/>
        <v xml:space="preserve">=+0.0 </v>
      </c>
      <c r="I66" t="str">
        <f t="shared" si="2"/>
        <v>= +(OSAStreamFlotationTailsStream_Mass * OSAStreamFlotationTailsStream_U)-(CCLASStreamFlotationTailsStream_Mass * CCLASStreamFlotationTailsStream_U)</v>
      </c>
    </row>
    <row r="67" spans="1:9" ht="45">
      <c r="A67" s="1" t="s">
        <v>65</v>
      </c>
      <c r="B67" s="1" t="s">
        <v>945</v>
      </c>
      <c r="C67">
        <f>0</f>
        <v>0</v>
      </c>
      <c r="D67" s="7" t="s">
        <v>879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0</v>
      </c>
      <c r="F67" t="str">
        <f t="shared" si="3"/>
        <v>MB_Flotation_Ag</v>
      </c>
      <c r="H67" t="str">
        <f t="shared" ref="H67:H97" si="4">"="&amp;MID(A67,FIND(":(",A67)+2,FIND("=",A67)-FIND(":(",A67)-2)</f>
        <v xml:space="preserve">=+0.0 </v>
      </c>
      <c r="I67" t="str">
        <f t="shared" ref="I67:I97" si="5">"="&amp;MID(A67,FIND("=",A67)+1,LEN(A67)-FIND("=",A67)-2)</f>
        <v>= +(CCLASStreamRougherFeedStream_Mass * CCLASStreamRougherFeedStream_Ag)-(OSAStreamConcThickenerFeedStream_Mass * OSAStreamConcThickenerFeedStream_Ag)-(OSAStreamFlotationTailsStream_Mass * OSAStreamFlotationTailsStream_Ag)</v>
      </c>
    </row>
    <row r="68" spans="1:9" ht="45">
      <c r="A68" s="1" t="s">
        <v>66</v>
      </c>
      <c r="B68" s="1" t="s">
        <v>946</v>
      </c>
      <c r="C68">
        <f>0</f>
        <v>0</v>
      </c>
      <c r="D68" s="7" t="s">
        <v>879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0</v>
      </c>
      <c r="F68" t="str">
        <f t="shared" si="3"/>
        <v>MB_Flotation_Au</v>
      </c>
      <c r="H68" t="str">
        <f t="shared" si="4"/>
        <v xml:space="preserve">=+0.0 </v>
      </c>
      <c r="I68" t="str">
        <f t="shared" si="5"/>
        <v>= +(CCLASStreamRougherFeedStream_Mass * CCLASStreamRougherFeedStream_Au)-(OSAStreamConcThickenerFeedStream_Mass * OSAStreamConcThickenerFeedStream_Au)-(OSAStreamFlotationTailsStream_Mass * OSAStreamFlotationTailsStream_Au)</v>
      </c>
    </row>
    <row r="69" spans="1:9" ht="45">
      <c r="A69" s="1" t="s">
        <v>67</v>
      </c>
      <c r="B69" s="1" t="s">
        <v>947</v>
      </c>
      <c r="C69">
        <f>0</f>
        <v>0</v>
      </c>
      <c r="D69" s="7" t="s">
        <v>879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0</v>
      </c>
      <c r="F69" t="str">
        <f t="shared" si="3"/>
        <v>MB_Flotation_Cu</v>
      </c>
      <c r="H69" t="str">
        <f t="shared" si="4"/>
        <v xml:space="preserve">=+0.0 </v>
      </c>
      <c r="I69" t="str">
        <f t="shared" si="5"/>
        <v>= +(CCLASStreamRougherFeedStream_Mass * CCLASStreamRougherFeedStream_Cu)-(OSAStreamConcThickenerFeedStream_Mass * OSAStreamConcThickenerFeedStream_Cu)-(OSAStreamFlotationTailsStream_Mass * OSAStreamFlotationTailsStream_Cu)</v>
      </c>
    </row>
    <row r="70" spans="1:9" ht="45">
      <c r="A70" s="1" t="s">
        <v>68</v>
      </c>
      <c r="B70" s="1" t="s">
        <v>948</v>
      </c>
      <c r="C70">
        <f>0</f>
        <v>0</v>
      </c>
      <c r="D70" s="7" t="s">
        <v>879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0</v>
      </c>
      <c r="F70" t="str">
        <f t="shared" si="3"/>
        <v>MB_Flotation_F</v>
      </c>
      <c r="H70" t="str">
        <f t="shared" si="4"/>
        <v xml:space="preserve">=+0.0 </v>
      </c>
      <c r="I70" t="str">
        <f t="shared" si="5"/>
        <v>= +(CCLASStreamRougherFeedStream_Mass * CCLASStreamRougherFeedStream_F)-(OSAStreamConcThickenerFeedStream_Mass * OSAStreamConcThickenerFeedStream_F)-(OSAStreamFlotationTailsStream_Mass * OSAStreamFlotationTailsStream_F)</v>
      </c>
    </row>
    <row r="71" spans="1:9" ht="45">
      <c r="A71" s="1" t="s">
        <v>69</v>
      </c>
      <c r="B71" s="1" t="s">
        <v>949</v>
      </c>
      <c r="C71">
        <f>0</f>
        <v>0</v>
      </c>
      <c r="D71" s="7" t="s">
        <v>879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0</v>
      </c>
      <c r="F71" t="str">
        <f t="shared" si="3"/>
        <v>MB_Flotation_Fe</v>
      </c>
      <c r="H71" t="str">
        <f t="shared" si="4"/>
        <v xml:space="preserve">=+0.0 </v>
      </c>
      <c r="I71" t="str">
        <f t="shared" si="5"/>
        <v>= +(CCLASStreamRougherFeedStream_Mass * CCLASStreamRougherFeedStream_Fe)-(OSAStreamConcThickenerFeedStream_Mass * OSAStreamConcThickenerFeedStream_Fe)-(OSAStreamFlotationTailsStream_Mass * OSAStreamFlotationTailsStream_Fe)</v>
      </c>
    </row>
    <row r="72" spans="1:9" ht="45">
      <c r="A72" s="1" t="s">
        <v>70</v>
      </c>
      <c r="B72" s="1" t="s">
        <v>950</v>
      </c>
      <c r="C72">
        <f>0</f>
        <v>0</v>
      </c>
      <c r="D72" s="7" t="s">
        <v>879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0</v>
      </c>
      <c r="F72" t="str">
        <f t="shared" si="3"/>
        <v>MB_Flotation_S</v>
      </c>
      <c r="H72" t="str">
        <f t="shared" si="4"/>
        <v xml:space="preserve">=+0.0 </v>
      </c>
      <c r="I72" t="str">
        <f t="shared" si="5"/>
        <v>= +(CCLASStreamRougherFeedStream_Mass * CCLASStreamRougherFeedStream_S)-(OSAStreamConcThickenerFeedStream_Mass * OSAStreamConcThickenerFeedStream_S)-(OSAStreamFlotationTailsStream_Mass * OSAStreamFlotationTailsStream_S)</v>
      </c>
    </row>
    <row r="73" spans="1:9" ht="45">
      <c r="A73" s="1" t="s">
        <v>71</v>
      </c>
      <c r="B73" s="1" t="s">
        <v>951</v>
      </c>
      <c r="C73">
        <f>0</f>
        <v>0</v>
      </c>
      <c r="D73" s="7" t="s">
        <v>879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0</v>
      </c>
      <c r="F73" t="str">
        <f t="shared" si="3"/>
        <v>MB_Flotation_U</v>
      </c>
      <c r="H73" t="str">
        <f t="shared" si="4"/>
        <v xml:space="preserve">=+0.0 </v>
      </c>
      <c r="I73" t="str">
        <f t="shared" si="5"/>
        <v>= +(CCLASStreamRougherFeedStream_Mass * CCLASStreamRougherFeedStream_U)-(OSAStreamConcThickenerFeedStream_Mass * OSAStreamConcThickenerFeedStream_U)-(OSAStreamFlotationTailsStream_Mass * OSAStreamFlotationTailsStream_U)</v>
      </c>
    </row>
    <row r="74" spans="1:9" ht="22.5">
      <c r="A74" s="1" t="s">
        <v>72</v>
      </c>
      <c r="B74" s="1" t="s">
        <v>952</v>
      </c>
      <c r="C74">
        <f>0</f>
        <v>0</v>
      </c>
      <c r="D74" s="7" t="s">
        <v>879</v>
      </c>
      <c r="E74">
        <f xml:space="preserve"> +SAGMillFeedStream_Mass-OSAStreamRougherFeedStream_Mass</f>
        <v>0</v>
      </c>
      <c r="F74" t="str">
        <f t="shared" si="3"/>
        <v>MB_Grinding_Mass</v>
      </c>
      <c r="H74" t="str">
        <f t="shared" si="4"/>
        <v xml:space="preserve">=+0.0 </v>
      </c>
      <c r="I74" t="str">
        <f t="shared" si="5"/>
        <v>= +SAGMillFeedStream_Mass-OSAStreamRougherFeedStream_Mass</v>
      </c>
    </row>
    <row r="75" spans="1:9" ht="22.5">
      <c r="A75" s="1" t="s">
        <v>73</v>
      </c>
      <c r="B75" s="1" t="s">
        <v>953</v>
      </c>
      <c r="C75">
        <f>0</f>
        <v>0</v>
      </c>
      <c r="D75" s="7" t="s">
        <v>879</v>
      </c>
      <c r="E75">
        <f xml:space="preserve"> +(SAGMillFeedStream_Mass * SAGMillFeedStream_Ag)-(OSAStreamRougherFeedStream_Mass * OSAStreamRougherFeedStream_Ag)</f>
        <v>0</v>
      </c>
      <c r="F75" t="str">
        <f t="shared" si="3"/>
        <v>MB_Grinding_Ag</v>
      </c>
      <c r="H75" t="str">
        <f t="shared" si="4"/>
        <v xml:space="preserve">=+0.0 </v>
      </c>
      <c r="I75" t="str">
        <f t="shared" si="5"/>
        <v>= +(SAGMillFeedStream_Mass * SAGMillFeedStream_Ag)-(OSAStreamRougherFeedStream_Mass * OSAStreamRougherFeedStream_Ag)</v>
      </c>
    </row>
    <row r="76" spans="1:9" ht="22.5">
      <c r="A76" s="1" t="s">
        <v>74</v>
      </c>
      <c r="B76" s="1" t="s">
        <v>954</v>
      </c>
      <c r="C76">
        <f>0</f>
        <v>0</v>
      </c>
      <c r="D76" s="7" t="s">
        <v>879</v>
      </c>
      <c r="E76">
        <f xml:space="preserve"> +(SAGMillFeedStream_Mass * SAGMillFeedStream_Au)-(OSAStreamRougherFeedStream_Mass * OSAStreamRougherFeedStream_Au)</f>
        <v>0</v>
      </c>
      <c r="F76" t="str">
        <f t="shared" si="3"/>
        <v>MB_Grinding_Au</v>
      </c>
      <c r="H76" t="str">
        <f t="shared" si="4"/>
        <v xml:space="preserve">=+0.0 </v>
      </c>
      <c r="I76" t="str">
        <f t="shared" si="5"/>
        <v>= +(SAGMillFeedStream_Mass * SAGMillFeedStream_Au)-(OSAStreamRougherFeedStream_Mass * OSAStreamRougherFeedStream_Au)</v>
      </c>
    </row>
    <row r="77" spans="1:9" ht="22.5">
      <c r="A77" s="1" t="s">
        <v>75</v>
      </c>
      <c r="B77" s="1" t="s">
        <v>955</v>
      </c>
      <c r="C77">
        <f>0</f>
        <v>0</v>
      </c>
      <c r="D77" s="7" t="s">
        <v>879</v>
      </c>
      <c r="E77">
        <f xml:space="preserve"> +(SAGMillFeedStream_Mass * SAGMillFeedStream_Cu)-(OSAStreamRougherFeedStream_Mass * OSAStreamRougherFeedStream_Cu)</f>
        <v>0</v>
      </c>
      <c r="F77" t="str">
        <f t="shared" si="3"/>
        <v>MB_Grinding_Cu</v>
      </c>
      <c r="H77" t="str">
        <f t="shared" si="4"/>
        <v xml:space="preserve">=+0.0 </v>
      </c>
      <c r="I77" t="str">
        <f t="shared" si="5"/>
        <v>= +(SAGMillFeedStream_Mass * SAGMillFeedStream_Cu)-(OSAStreamRougherFeedStream_Mass * OSAStreamRougherFeedStream_Cu)</v>
      </c>
    </row>
    <row r="78" spans="1:9" ht="22.5">
      <c r="A78" s="1" t="s">
        <v>76</v>
      </c>
      <c r="B78" s="1" t="s">
        <v>956</v>
      </c>
      <c r="C78">
        <f>0</f>
        <v>0</v>
      </c>
      <c r="D78" s="7" t="s">
        <v>879</v>
      </c>
      <c r="E78">
        <f xml:space="preserve"> +(SAGMillFeedStream_Mass * SAGMillFeedStream_F)-(OSAStreamRougherFeedStream_Mass * OSAStreamRougherFeedStream_F)</f>
        <v>0</v>
      </c>
      <c r="F78" t="str">
        <f t="shared" si="3"/>
        <v>MB_Grinding_F</v>
      </c>
      <c r="H78" t="str">
        <f t="shared" si="4"/>
        <v xml:space="preserve">=+0.0 </v>
      </c>
      <c r="I78" t="str">
        <f t="shared" si="5"/>
        <v>= +(SAGMillFeedStream_Mass * SAGMillFeedStream_F)-(OSAStreamRougherFeedStream_Mass * OSAStreamRougherFeedStream_F)</v>
      </c>
    </row>
    <row r="79" spans="1:9" ht="22.5">
      <c r="A79" s="1" t="s">
        <v>77</v>
      </c>
      <c r="B79" s="1" t="s">
        <v>957</v>
      </c>
      <c r="C79">
        <f>0</f>
        <v>0</v>
      </c>
      <c r="D79" s="7" t="s">
        <v>879</v>
      </c>
      <c r="E79">
        <f xml:space="preserve"> +(SAGMillFeedStream_Mass * SAGMillFeedStream_Fe)-(OSAStreamRougherFeedStream_Mass * OSAStreamRougherFeedStream_Fe)</f>
        <v>0</v>
      </c>
      <c r="F79" t="str">
        <f t="shared" si="3"/>
        <v>MB_Grinding_Fe</v>
      </c>
      <c r="H79" t="str">
        <f t="shared" si="4"/>
        <v xml:space="preserve">=+0.0 </v>
      </c>
      <c r="I79" t="str">
        <f t="shared" si="5"/>
        <v>= +(SAGMillFeedStream_Mass * SAGMillFeedStream_Fe)-(OSAStreamRougherFeedStream_Mass * OSAStreamRougherFeedStream_Fe)</v>
      </c>
    </row>
    <row r="80" spans="1:9" ht="22.5">
      <c r="A80" s="1" t="s">
        <v>78</v>
      </c>
      <c r="B80" s="1" t="s">
        <v>958</v>
      </c>
      <c r="C80">
        <f>0</f>
        <v>0</v>
      </c>
      <c r="D80" s="7" t="s">
        <v>879</v>
      </c>
      <c r="E80">
        <f xml:space="preserve"> +(SAGMillFeedStream_Mass * SAGMillFeedStream_S)-(OSAStreamRougherFeedStream_Mass * OSAStreamRougherFeedStream_S)</f>
        <v>0</v>
      </c>
      <c r="F80" t="str">
        <f t="shared" si="3"/>
        <v>MB_Grinding_S</v>
      </c>
      <c r="H80" t="str">
        <f t="shared" si="4"/>
        <v xml:space="preserve">=+0.0 </v>
      </c>
      <c r="I80" t="str">
        <f t="shared" si="5"/>
        <v>= +(SAGMillFeedStream_Mass * SAGMillFeedStream_S)-(OSAStreamRougherFeedStream_Mass * OSAStreamRougherFeedStream_S)</v>
      </c>
    </row>
    <row r="81" spans="1:9" ht="22.5">
      <c r="A81" s="1" t="s">
        <v>79</v>
      </c>
      <c r="B81" s="1" t="s">
        <v>959</v>
      </c>
      <c r="C81">
        <f>0</f>
        <v>0</v>
      </c>
      <c r="D81" s="7" t="s">
        <v>879</v>
      </c>
      <c r="E81">
        <f xml:space="preserve"> +(SAGMillFeedStream_Mass * SAGMillFeedStream_U)-(OSAStreamRougherFeedStream_Mass * OSAStreamRougherFeedStream_U)</f>
        <v>0</v>
      </c>
      <c r="F81" t="str">
        <f t="shared" si="3"/>
        <v>MB_Grinding_U</v>
      </c>
      <c r="H81" t="str">
        <f t="shared" si="4"/>
        <v xml:space="preserve">=+0.0 </v>
      </c>
      <c r="I81" t="str">
        <f t="shared" si="5"/>
        <v>= +(SAGMillFeedStream_Mass * SAGMillFeedStream_U)-(OSAStreamRougherFeedStream_Mass * OSAStreamRougherFeedStream_U)</v>
      </c>
    </row>
    <row r="82" spans="1:9" ht="22.5">
      <c r="A82" s="1" t="s">
        <v>80</v>
      </c>
      <c r="B82" s="1" t="s">
        <v>960</v>
      </c>
      <c r="C82">
        <f>0</f>
        <v>0</v>
      </c>
      <c r="D82" s="7" t="s">
        <v>879</v>
      </c>
      <c r="E82">
        <f xml:space="preserve"> +OSAStreamRougherFeedStream_Mass-CCLASStreamRougherFeedStream_Mass</f>
        <v>0</v>
      </c>
      <c r="F82" t="str">
        <f t="shared" si="3"/>
        <v>MB_RougherFeedStream_Mass</v>
      </c>
      <c r="H82" t="str">
        <f t="shared" si="4"/>
        <v xml:space="preserve">=+0.0 </v>
      </c>
      <c r="I82" t="str">
        <f t="shared" si="5"/>
        <v>= +OSAStreamRougherFeedStream_Mass-CCLASStreamRougherFeedStream_Mass</v>
      </c>
    </row>
    <row r="83" spans="1:9" ht="33.75">
      <c r="A83" s="1" t="s">
        <v>81</v>
      </c>
      <c r="B83" s="1" t="s">
        <v>961</v>
      </c>
      <c r="C83">
        <f>0</f>
        <v>0</v>
      </c>
      <c r="D83" s="7" t="s">
        <v>879</v>
      </c>
      <c r="E83">
        <f xml:space="preserve"> +(OSAStreamRougherFeedStream_Mass * OSAStreamRougherFeedStream_Ag)-(CCLASStreamRougherFeedStream_Mass * CCLASStreamRougherFeedStream_Ag)</f>
        <v>0</v>
      </c>
      <c r="F83" t="str">
        <f t="shared" si="3"/>
        <v>MB_RougherFeedStream_Ag</v>
      </c>
      <c r="H83" t="str">
        <f t="shared" si="4"/>
        <v xml:space="preserve">=+0.0 </v>
      </c>
      <c r="I83" t="str">
        <f t="shared" si="5"/>
        <v>= +(OSAStreamRougherFeedStream_Mass * OSAStreamRougherFeedStream_Ag)-(CCLASStreamRougherFeedStream_Mass * CCLASStreamRougherFeedStream_Ag)</v>
      </c>
    </row>
    <row r="84" spans="1:9" ht="33.75">
      <c r="A84" s="1" t="s">
        <v>82</v>
      </c>
      <c r="B84" s="1" t="s">
        <v>962</v>
      </c>
      <c r="C84">
        <f>0</f>
        <v>0</v>
      </c>
      <c r="D84" s="7" t="s">
        <v>879</v>
      </c>
      <c r="E84">
        <f xml:space="preserve"> +(OSAStreamRougherFeedStream_Mass * OSAStreamRougherFeedStream_Au)-(CCLASStreamRougherFeedStream_Mass * CCLASStreamRougherFeedStream_Au)</f>
        <v>0</v>
      </c>
      <c r="F84" t="str">
        <f t="shared" si="3"/>
        <v>MB_RougherFeedStream_Au</v>
      </c>
      <c r="H84" t="str">
        <f t="shared" si="4"/>
        <v xml:space="preserve">=+0.0 </v>
      </c>
      <c r="I84" t="str">
        <f t="shared" si="5"/>
        <v>= +(OSAStreamRougherFeedStream_Mass * OSAStreamRougherFeedStream_Au)-(CCLASStreamRougherFeedStream_Mass * CCLASStreamRougherFeedStream_Au)</v>
      </c>
    </row>
    <row r="85" spans="1:9" ht="33.75">
      <c r="A85" s="1" t="s">
        <v>83</v>
      </c>
      <c r="B85" s="1" t="s">
        <v>963</v>
      </c>
      <c r="C85">
        <f>0</f>
        <v>0</v>
      </c>
      <c r="D85" s="7" t="s">
        <v>879</v>
      </c>
      <c r="E85">
        <f xml:space="preserve"> +(OSAStreamRougherFeedStream_Mass * OSAStreamRougherFeedStream_Cu)-(CCLASStreamRougherFeedStream_Mass * CCLASStreamRougherFeedStream_Cu)</f>
        <v>0</v>
      </c>
      <c r="F85" t="str">
        <f t="shared" si="3"/>
        <v>MB_RougherFeedStream_Cu</v>
      </c>
      <c r="H85" t="str">
        <f t="shared" si="4"/>
        <v xml:space="preserve">=+0.0 </v>
      </c>
      <c r="I85" t="str">
        <f t="shared" si="5"/>
        <v>= +(OSAStreamRougherFeedStream_Mass * OSAStreamRougherFeedStream_Cu)-(CCLASStreamRougherFeedStream_Mass * CCLASStreamRougherFeedStream_Cu)</v>
      </c>
    </row>
    <row r="86" spans="1:9" ht="33.75">
      <c r="A86" s="1" t="s">
        <v>84</v>
      </c>
      <c r="B86" s="1" t="s">
        <v>964</v>
      </c>
      <c r="C86">
        <f>0</f>
        <v>0</v>
      </c>
      <c r="D86" s="7" t="s">
        <v>879</v>
      </c>
      <c r="E86">
        <f xml:space="preserve"> +(OSAStreamRougherFeedStream_Mass * OSAStreamRougherFeedStream_F)-(CCLASStreamRougherFeedStream_Mass * CCLASStreamRougherFeedStream_F)</f>
        <v>0</v>
      </c>
      <c r="F86" t="str">
        <f t="shared" si="3"/>
        <v>MB_RougherFeedStream_F</v>
      </c>
      <c r="H86" t="str">
        <f t="shared" si="4"/>
        <v xml:space="preserve">=+0.0 </v>
      </c>
      <c r="I86" t="str">
        <f t="shared" si="5"/>
        <v>= +(OSAStreamRougherFeedStream_Mass * OSAStreamRougherFeedStream_F)-(CCLASStreamRougherFeedStream_Mass * CCLASStreamRougherFeedStream_F)</v>
      </c>
    </row>
    <row r="87" spans="1:9" ht="33.75">
      <c r="A87" s="1" t="s">
        <v>85</v>
      </c>
      <c r="B87" s="1" t="s">
        <v>965</v>
      </c>
      <c r="C87">
        <f>0</f>
        <v>0</v>
      </c>
      <c r="D87" s="7" t="s">
        <v>879</v>
      </c>
      <c r="E87">
        <f xml:space="preserve"> +(OSAStreamRougherFeedStream_Mass * OSAStreamRougherFeedStream_Fe)-(CCLASStreamRougherFeedStream_Mass * CCLASStreamRougherFeedStream_Fe)</f>
        <v>0</v>
      </c>
      <c r="F87" t="str">
        <f t="shared" si="3"/>
        <v>MB_RougherFeedStream_Fe</v>
      </c>
      <c r="H87" t="str">
        <f t="shared" si="4"/>
        <v xml:space="preserve">=+0.0 </v>
      </c>
      <c r="I87" t="str">
        <f t="shared" si="5"/>
        <v>= +(OSAStreamRougherFeedStream_Mass * OSAStreamRougherFeedStream_Fe)-(CCLASStreamRougherFeedStream_Mass * CCLASStreamRougherFeedStream_Fe)</v>
      </c>
    </row>
    <row r="88" spans="1:9" ht="33.75">
      <c r="A88" s="1" t="s">
        <v>86</v>
      </c>
      <c r="B88" s="1" t="s">
        <v>966</v>
      </c>
      <c r="C88">
        <f>0</f>
        <v>0</v>
      </c>
      <c r="D88" s="7" t="s">
        <v>879</v>
      </c>
      <c r="E88">
        <f xml:space="preserve"> +(OSAStreamRougherFeedStream_Mass * OSAStreamRougherFeedStream_S)-(CCLASStreamRougherFeedStream_Mass * CCLASStreamRougherFeedStream_S)</f>
        <v>0</v>
      </c>
      <c r="F88" t="str">
        <f t="shared" si="3"/>
        <v>MB_RougherFeedStream_S</v>
      </c>
      <c r="H88" t="str">
        <f t="shared" si="4"/>
        <v xml:space="preserve">=+0.0 </v>
      </c>
      <c r="I88" t="str">
        <f t="shared" si="5"/>
        <v>= +(OSAStreamRougherFeedStream_Mass * OSAStreamRougherFeedStream_S)-(CCLASStreamRougherFeedStream_Mass * CCLASStreamRougherFeedStream_S)</v>
      </c>
    </row>
    <row r="89" spans="1:9" ht="33.75">
      <c r="A89" s="1" t="s">
        <v>87</v>
      </c>
      <c r="B89" s="1" t="s">
        <v>967</v>
      </c>
      <c r="C89">
        <f>0</f>
        <v>0</v>
      </c>
      <c r="D89" s="7" t="s">
        <v>879</v>
      </c>
      <c r="E89">
        <f xml:space="preserve"> +(OSAStreamRougherFeedStream_Mass * OSAStreamRougherFeedStream_U)-(CCLASStreamRougherFeedStream_Mass * CCLASStreamRougherFeedStream_U)</f>
        <v>0</v>
      </c>
      <c r="F89" t="str">
        <f t="shared" si="3"/>
        <v>MB_RougherFeedStream_U</v>
      </c>
      <c r="H89" t="str">
        <f t="shared" si="4"/>
        <v xml:space="preserve">=+0.0 </v>
      </c>
      <c r="I89" t="str">
        <f t="shared" si="5"/>
        <v>= +(OSAStreamRougherFeedStream_Mass * OSAStreamRougherFeedStream_U)-(CCLASStreamRougherFeedStream_Mass * CCLASStreamRougherFeedStream_U)</v>
      </c>
    </row>
    <row r="90" spans="1:9" ht="33.75">
      <c r="A90" s="1" t="s">
        <v>88</v>
      </c>
      <c r="B90" s="1" t="s">
        <v>968</v>
      </c>
      <c r="C90">
        <f>TailsThickening_close_Mass - TailsThickening_open_Mass+0</f>
        <v>0</v>
      </c>
      <c r="D90" s="7" t="s">
        <v>879</v>
      </c>
      <c r="E90">
        <f xml:space="preserve"> +CCLASStreamFlotationTailsStream_Mass-TailsThickenerUnderflowStream_Mass</f>
        <v>0</v>
      </c>
      <c r="F90" t="str">
        <f t="shared" si="3"/>
        <v>MB_TailsThickening_Mass</v>
      </c>
      <c r="H90" t="str">
        <f t="shared" si="4"/>
        <v xml:space="preserve">=TailsThickening_close_Mass - TailsThickening_open_Mass+0.0 </v>
      </c>
      <c r="I90" t="str">
        <f t="shared" si="5"/>
        <v>= +CCLASStreamFlotationTailsStream_Mass-TailsThickenerUnderflowStream_Mass</v>
      </c>
    </row>
    <row r="91" spans="1:9" ht="45">
      <c r="A91" s="2" t="s">
        <v>89</v>
      </c>
      <c r="B91" s="2" t="s">
        <v>969</v>
      </c>
      <c r="C91">
        <f>(TailsThickening_close_Mass * TailsThickening_close_Ag) - (TailsThickening_open_Mass * TailsThickening_open_Ag)+0</f>
        <v>0</v>
      </c>
      <c r="D91" s="7" t="s">
        <v>879</v>
      </c>
      <c r="E91">
        <f xml:space="preserve"> +(CCLASStreamFlotationTailsStream_Mass * CCLASStreamFlotationTailsStream_Ag)-(TailsThickenerUnderflowStream_Mass * TailsThickenerUnderflowStream_Ag)</f>
        <v>0</v>
      </c>
      <c r="F91" t="str">
        <f t="shared" si="3"/>
        <v>MB_TailsThickening_Ag</v>
      </c>
      <c r="H91" t="str">
        <f t="shared" si="4"/>
        <v xml:space="preserve">=(TailsThickening_close_Mass * TailsThickening_close_Ag) - (TailsThickening_open_Mass * TailsThickening_open_Ag)+0.0 </v>
      </c>
      <c r="I91" t="str">
        <f t="shared" si="5"/>
        <v>= +(CCLASStreamFlotationTailsStream_Mass * CCLASStreamFlotationTailsStream_Ag)-(TailsThickenerUnderflowStream_Mass * TailsThickenerUnderflowStream_Ag)</v>
      </c>
    </row>
    <row r="92" spans="1:9" ht="45">
      <c r="A92" s="2" t="s">
        <v>90</v>
      </c>
      <c r="B92" s="2" t="s">
        <v>970</v>
      </c>
      <c r="C92">
        <f>(TailsThickening_close_Mass * TailsThickening_close_Au) - (TailsThickening_open_Mass * TailsThickening_open_Au)+0</f>
        <v>0</v>
      </c>
      <c r="D92" s="7" t="s">
        <v>879</v>
      </c>
      <c r="E92">
        <f xml:space="preserve"> +(CCLASStreamFlotationTailsStream_Mass * CCLASStreamFlotationTailsStream_Au)-(TailsThickenerUnderflowStream_Mass * TailsThickenerUnderflowStream_Au)</f>
        <v>0</v>
      </c>
      <c r="F92" t="str">
        <f t="shared" si="3"/>
        <v>MB_TailsThickening_Au</v>
      </c>
      <c r="H92" t="str">
        <f t="shared" si="4"/>
        <v xml:space="preserve">=(TailsThickening_close_Mass * TailsThickening_close_Au) - (TailsThickening_open_Mass * TailsThickening_open_Au)+0.0 </v>
      </c>
      <c r="I92" t="str">
        <f t="shared" si="5"/>
        <v>= +(CCLASStreamFlotationTailsStream_Mass * CCLASStreamFlotationTailsStream_Au)-(TailsThickenerUnderflowStream_Mass * TailsThickenerUnderflowStream_Au)</v>
      </c>
    </row>
    <row r="93" spans="1:9" ht="45">
      <c r="A93" s="2" t="s">
        <v>91</v>
      </c>
      <c r="B93" s="2" t="s">
        <v>971</v>
      </c>
      <c r="C93">
        <f>(TailsThickening_close_Mass * TailsThickening_close_Cu) - (TailsThickening_open_Mass * TailsThickening_open_Cu)+0</f>
        <v>0</v>
      </c>
      <c r="D93" s="7" t="s">
        <v>879</v>
      </c>
      <c r="E93">
        <f xml:space="preserve"> +(CCLASStreamFlotationTailsStream_Mass * CCLASStreamFlotationTailsStream_Cu)-(TailsThickenerUnderflowStream_Mass * TailsThickenerUnderflowStream_Cu)</f>
        <v>0</v>
      </c>
      <c r="F93" t="str">
        <f t="shared" si="3"/>
        <v>MB_TailsThickening_Cu</v>
      </c>
      <c r="H93" t="str">
        <f t="shared" si="4"/>
        <v xml:space="preserve">=(TailsThickening_close_Mass * TailsThickening_close_Cu) - (TailsThickening_open_Mass * TailsThickening_open_Cu)+0.0 </v>
      </c>
      <c r="I93" t="str">
        <f t="shared" si="5"/>
        <v>= +(CCLASStreamFlotationTailsStream_Mass * CCLASStreamFlotationTailsStream_Cu)-(TailsThickenerUnderflowStream_Mass * TailsThickenerUnderflowStream_Cu)</v>
      </c>
    </row>
    <row r="94" spans="1:9" ht="45">
      <c r="A94" s="2" t="s">
        <v>92</v>
      </c>
      <c r="B94" s="2" t="s">
        <v>972</v>
      </c>
      <c r="C94">
        <f>(TailsThickening_close_Mass * TailsThickening_close_F) - (TailsThickening_open_Mass * TailsThickening_open_F)+0</f>
        <v>0</v>
      </c>
      <c r="D94" s="7" t="s">
        <v>879</v>
      </c>
      <c r="E94">
        <f xml:space="preserve"> +(CCLASStreamFlotationTailsStream_Mass * CCLASStreamFlotationTailsStream_F)-(TailsThickenerUnderflowStream_Mass * TailsThickenerUnderflowStream_F)</f>
        <v>0</v>
      </c>
      <c r="F94" t="str">
        <f t="shared" si="3"/>
        <v>MB_TailsThickening_F</v>
      </c>
      <c r="H94" t="str">
        <f t="shared" si="4"/>
        <v xml:space="preserve">=(TailsThickening_close_Mass * TailsThickening_close_F) - (TailsThickening_open_Mass * TailsThickening_open_F)+0.0 </v>
      </c>
      <c r="I94" t="str">
        <f t="shared" si="5"/>
        <v>= +(CCLASStreamFlotationTailsStream_Mass * CCLASStreamFlotationTailsStream_F)-(TailsThickenerUnderflowStream_Mass * TailsThickenerUnderflowStream_F)</v>
      </c>
    </row>
    <row r="95" spans="1:9" ht="45">
      <c r="A95" s="2" t="s">
        <v>93</v>
      </c>
      <c r="B95" s="2" t="s">
        <v>973</v>
      </c>
      <c r="C95">
        <f>(TailsThickening_close_Mass * TailsThickening_close_Fe) - (TailsThickening_open_Mass * TailsThickening_open_Fe)+0</f>
        <v>0</v>
      </c>
      <c r="D95" s="7" t="s">
        <v>879</v>
      </c>
      <c r="E95">
        <f xml:space="preserve"> +(CCLASStreamFlotationTailsStream_Mass * CCLASStreamFlotationTailsStream_Fe)-(TailsThickenerUnderflowStream_Mass * TailsThickenerUnderflowStream_Fe)</f>
        <v>0</v>
      </c>
      <c r="F95" t="str">
        <f t="shared" si="3"/>
        <v>MB_TailsThickening_Fe</v>
      </c>
      <c r="H95" t="str">
        <f t="shared" si="4"/>
        <v xml:space="preserve">=(TailsThickening_close_Mass * TailsThickening_close_Fe) - (TailsThickening_open_Mass * TailsThickening_open_Fe)+0.0 </v>
      </c>
      <c r="I95" t="str">
        <f t="shared" si="5"/>
        <v>= +(CCLASStreamFlotationTailsStream_Mass * CCLASStreamFlotationTailsStream_Fe)-(TailsThickenerUnderflowStream_Mass * TailsThickenerUnderflowStream_Fe)</v>
      </c>
    </row>
    <row r="96" spans="1:9" ht="45">
      <c r="A96" s="2" t="s">
        <v>94</v>
      </c>
      <c r="B96" s="2" t="s">
        <v>974</v>
      </c>
      <c r="C96">
        <f>(TailsThickening_close_Mass * TailsThickening_close_S) - (TailsThickening_open_Mass * TailsThickening_open_S)+0</f>
        <v>0</v>
      </c>
      <c r="D96" s="7" t="s">
        <v>879</v>
      </c>
      <c r="E96">
        <f xml:space="preserve"> +(CCLASStreamFlotationTailsStream_Mass * CCLASStreamFlotationTailsStream_S)-(TailsThickenerUnderflowStream_Mass * TailsThickenerUnderflowStream_S)</f>
        <v>0</v>
      </c>
      <c r="F96" t="str">
        <f t="shared" si="3"/>
        <v>MB_TailsThickening_S</v>
      </c>
      <c r="H96" t="str">
        <f t="shared" si="4"/>
        <v xml:space="preserve">=(TailsThickening_close_Mass * TailsThickening_close_S) - (TailsThickening_open_Mass * TailsThickening_open_S)+0.0 </v>
      </c>
      <c r="I96" t="str">
        <f t="shared" si="5"/>
        <v>= +(CCLASStreamFlotationTailsStream_Mass * CCLASStreamFlotationTailsStream_S)-(TailsThickenerUnderflowStream_Mass * TailsThickenerUnderflowStream_S)</v>
      </c>
    </row>
    <row r="97" spans="1:9" ht="45">
      <c r="A97" s="2" t="s">
        <v>95</v>
      </c>
      <c r="B97" s="2" t="s">
        <v>975</v>
      </c>
      <c r="C97">
        <f>(TailsThickening_close_Mass * TailsThickening_close_U) - (TailsThickening_open_Mass * TailsThickening_open_U)+0</f>
        <v>0</v>
      </c>
      <c r="D97" s="7" t="s">
        <v>879</v>
      </c>
      <c r="E97">
        <f xml:space="preserve"> +(CCLASStreamFlotationTailsStream_Mass * CCLASStreamFlotationTailsStream_U)-(TailsThickenerUnderflowStream_Mass * TailsThickenerUnderflowStream_U)</f>
        <v>0</v>
      </c>
      <c r="F97" t="str">
        <f t="shared" si="3"/>
        <v>MB_TailsThickening_U</v>
      </c>
      <c r="H97" t="str">
        <f t="shared" si="4"/>
        <v xml:space="preserve">=(TailsThickening_close_Mass * TailsThickening_close_U) - (TailsThickening_open_Mass * TailsThickening_open_U)+0.0 </v>
      </c>
      <c r="I97" t="str">
        <f t="shared" si="5"/>
        <v>= +(CCLASStreamFlotationTailsStream_Mass * CCLASStreamFlotationTailsStream_U)-(TailsThickenerUnderflowStream_Mass * TailsThickenerUnderflowStream_U)</v>
      </c>
    </row>
    <row r="98" spans="1:9">
      <c r="A98" s="1"/>
      <c r="B98" s="1"/>
    </row>
    <row r="99" spans="1:9" s="4" customFormat="1">
      <c r="A99" s="3" t="s">
        <v>96</v>
      </c>
      <c r="B99" s="3" t="s">
        <v>700</v>
      </c>
      <c r="C99" s="4" t="s">
        <v>702</v>
      </c>
      <c r="D99" s="4" t="s">
        <v>701</v>
      </c>
      <c r="E99" s="4" t="s">
        <v>702</v>
      </c>
    </row>
    <row r="100" spans="1:9" ht="22.5">
      <c r="A100" s="1" t="s">
        <v>97</v>
      </c>
      <c r="B100" s="1" t="s">
        <v>976</v>
      </c>
      <c r="C100">
        <f>(3*ConcThickenerUnderflowStream_Cu)-(ConcThickener_open_Cu)-(2*OSAStreamConcThickenerFeedStream_Cu)</f>
        <v>0</v>
      </c>
      <c r="D100" s="7" t="s">
        <v>879</v>
      </c>
      <c r="E100" s="5">
        <v>0</v>
      </c>
      <c r="F100" t="str">
        <f>MID(A100,1,FIND(":",A100)-1)</f>
        <v>ConcThickener_Cu</v>
      </c>
      <c r="H100" t="str">
        <f t="shared" ref="H100:H133" si="6">"="&amp;MID(A100,FIND(":(",A100)+2,FIND("=",A100)-FIND(":(",A100)-2)</f>
        <v>=(3*ConcThickenerUnderflowStream_Cu)-(ConcThickener_open_Cu)-(2*OSAStreamConcThickenerFeedStream_Cu)</v>
      </c>
      <c r="I100" t="str">
        <f t="shared" ref="I100:I134" si="7">MID(A100,FIND("=",A100)+1,LEN(A100)-FIND("=",A100)-2)</f>
        <v>0</v>
      </c>
    </row>
    <row r="101" spans="1:9" ht="22.5">
      <c r="A101" s="1" t="s">
        <v>98</v>
      </c>
      <c r="B101" s="1" t="s">
        <v>977</v>
      </c>
      <c r="C101">
        <f>(3*ConcThickenerUnderflowStream_Fe)-(ConcThickener_open_Fe)-(2*OSAStreamConcThickenerFeedStream_Fe)</f>
        <v>0</v>
      </c>
      <c r="D101" s="7" t="s">
        <v>879</v>
      </c>
      <c r="E101" s="5">
        <v>0</v>
      </c>
      <c r="F101" t="str">
        <f t="shared" ref="F101:F134" si="8">MID(A101,1,FIND(":",A101)-1)</f>
        <v>ConcThickener_Fe</v>
      </c>
      <c r="H101" t="str">
        <f t="shared" si="6"/>
        <v>=(3*ConcThickenerUnderflowStream_Fe)-(ConcThickener_open_Fe)-(2*OSAStreamConcThickenerFeedStream_Fe)</v>
      </c>
      <c r="I101" t="str">
        <f t="shared" si="7"/>
        <v>0</v>
      </c>
    </row>
    <row r="102" spans="1:9" ht="22.5">
      <c r="A102" s="1" t="s">
        <v>99</v>
      </c>
      <c r="B102" s="1" t="s">
        <v>978</v>
      </c>
      <c r="C102">
        <f>(3*ConcThickenerUnderflowStream_Au)-(ConcThickener_open_Au)-(2*OSAStreamConcThickenerFeedStream_Au)</f>
        <v>0</v>
      </c>
      <c r="D102" s="7" t="s">
        <v>879</v>
      </c>
      <c r="E102" s="5">
        <v>0</v>
      </c>
      <c r="F102" t="str">
        <f t="shared" si="8"/>
        <v>ConcThickener_Au</v>
      </c>
      <c r="H102" t="str">
        <f t="shared" si="6"/>
        <v>=(3*ConcThickenerUnderflowStream_Au)-(ConcThickener_open_Au)-(2*OSAStreamConcThickenerFeedStream_Au)</v>
      </c>
      <c r="I102" t="str">
        <f t="shared" si="7"/>
        <v>0</v>
      </c>
    </row>
    <row r="103" spans="1:9" ht="22.5">
      <c r="A103" s="1" t="s">
        <v>100</v>
      </c>
      <c r="B103" s="1" t="s">
        <v>979</v>
      </c>
      <c r="C103">
        <f>(3*ConcThickenerUnderflowStream_Ag)-(ConcThickener_open_Ag)-(2*OSAStreamConcThickenerFeedStream_Ag)</f>
        <v>0</v>
      </c>
      <c r="D103" s="7" t="s">
        <v>879</v>
      </c>
      <c r="E103" s="5">
        <v>0</v>
      </c>
      <c r="F103" t="str">
        <f t="shared" si="8"/>
        <v>ConcThickener_Ag</v>
      </c>
      <c r="H103" t="str">
        <f t="shared" si="6"/>
        <v>=(3*ConcThickenerUnderflowStream_Ag)-(ConcThickener_open_Ag)-(2*OSAStreamConcThickenerFeedStream_Ag)</v>
      </c>
      <c r="I103" t="str">
        <f t="shared" si="7"/>
        <v>0</v>
      </c>
    </row>
    <row r="104" spans="1:9" ht="22.5">
      <c r="A104" s="1" t="s">
        <v>101</v>
      </c>
      <c r="B104" s="1" t="s">
        <v>980</v>
      </c>
      <c r="C104">
        <f>(3*ConcThickenerUnderflowStream_S)-(ConcThickener_open_S)-(2*OSAStreamConcThickenerFeedStream_S)</f>
        <v>0</v>
      </c>
      <c r="D104" s="7" t="s">
        <v>879</v>
      </c>
      <c r="E104" s="5">
        <v>0</v>
      </c>
      <c r="F104" t="str">
        <f t="shared" si="8"/>
        <v>ConcThickener_S</v>
      </c>
      <c r="H104" t="str">
        <f t="shared" si="6"/>
        <v>=(3*ConcThickenerUnderflowStream_S)-(ConcThickener_open_S)-(2*OSAStreamConcThickenerFeedStream_S)</v>
      </c>
      <c r="I104" t="str">
        <f t="shared" si="7"/>
        <v>0</v>
      </c>
    </row>
    <row r="105" spans="1:9" ht="22.5">
      <c r="A105" s="1" t="s">
        <v>102</v>
      </c>
      <c r="B105" s="1" t="s">
        <v>981</v>
      </c>
      <c r="C105">
        <f>(3*ConcThickenerUnderflowStream_U)-(ConcThickener_open_U)-(2*OSAStreamConcThickenerFeedStream_U)</f>
        <v>0</v>
      </c>
      <c r="D105" s="7" t="s">
        <v>879</v>
      </c>
      <c r="E105" s="5">
        <v>0</v>
      </c>
      <c r="F105" t="str">
        <f t="shared" si="8"/>
        <v>ConcThickener_U</v>
      </c>
      <c r="H105" t="str">
        <f t="shared" si="6"/>
        <v>=(3*ConcThickenerUnderflowStream_U)-(ConcThickener_open_U)-(2*OSAStreamConcThickenerFeedStream_U)</v>
      </c>
      <c r="I105" t="str">
        <f t="shared" si="7"/>
        <v>0</v>
      </c>
    </row>
    <row r="106" spans="1:9" ht="22.5">
      <c r="A106" s="1" t="s">
        <v>103</v>
      </c>
      <c r="B106" s="1" t="s">
        <v>982</v>
      </c>
      <c r="C106">
        <f>(3*ConcThickenerUnderflowStream_F)-(ConcThickener_open_F)-(2*OSAStreamConcThickenerFeedStream_F)</f>
        <v>0</v>
      </c>
      <c r="D106" s="7" t="s">
        <v>879</v>
      </c>
      <c r="E106" s="5">
        <v>0</v>
      </c>
      <c r="F106" t="str">
        <f t="shared" si="8"/>
        <v>ConcThickener_F</v>
      </c>
      <c r="H106" t="str">
        <f t="shared" si="6"/>
        <v>=(3*ConcThickenerUnderflowStream_F)-(ConcThickener_open_F)-(2*OSAStreamConcThickenerFeedStream_F)</v>
      </c>
      <c r="I106" t="str">
        <f t="shared" si="7"/>
        <v>0</v>
      </c>
    </row>
    <row r="107" spans="1:9" ht="22.5">
      <c r="A107" s="1" t="s">
        <v>104</v>
      </c>
      <c r="B107" s="1" t="s">
        <v>983</v>
      </c>
      <c r="C107">
        <f>(4*TailsThickenerUnderflowStream_Cu)-(TailsThickening_open_Cu)-(3*OSAStreamFlotationTailsStream_Cu)</f>
        <v>0</v>
      </c>
      <c r="D107" s="7" t="s">
        <v>879</v>
      </c>
      <c r="E107" s="5">
        <v>0</v>
      </c>
      <c r="F107" t="str">
        <f t="shared" si="8"/>
        <v>TailsThickening_Cu</v>
      </c>
      <c r="H107" t="str">
        <f t="shared" si="6"/>
        <v>=(4*TailsThickenerUnderflowStream_Cu)-(TailsThickening_open_Cu)-(3*OSAStreamFlotationTailsStream_Cu)</v>
      </c>
      <c r="I107" t="str">
        <f t="shared" si="7"/>
        <v>0</v>
      </c>
    </row>
    <row r="108" spans="1:9" ht="22.5">
      <c r="A108" s="1" t="s">
        <v>105</v>
      </c>
      <c r="B108" s="1" t="s">
        <v>984</v>
      </c>
      <c r="C108">
        <f>(4*TailsThickenerUnderflowStream_Fe)-(TailsThickening_open_Fe)-(3*OSAStreamFlotationTailsStream_Fe)</f>
        <v>0</v>
      </c>
      <c r="D108" s="7" t="s">
        <v>879</v>
      </c>
      <c r="E108" s="5">
        <v>0</v>
      </c>
      <c r="F108" t="str">
        <f t="shared" si="8"/>
        <v>TailsThickening_Fe</v>
      </c>
      <c r="H108" t="str">
        <f t="shared" si="6"/>
        <v>=(4*TailsThickenerUnderflowStream_Fe)-(TailsThickening_open_Fe)-(3*OSAStreamFlotationTailsStream_Fe)</v>
      </c>
      <c r="I108" t="str">
        <f t="shared" si="7"/>
        <v>0</v>
      </c>
    </row>
    <row r="109" spans="1:9" ht="22.5">
      <c r="A109" s="1" t="s">
        <v>106</v>
      </c>
      <c r="B109" s="1" t="s">
        <v>985</v>
      </c>
      <c r="C109">
        <f>(4*TailsThickenerUnderflowStream_Au)-(TailsThickening_open_Au)-(3*OSAStreamFlotationTailsStream_Au)</f>
        <v>0</v>
      </c>
      <c r="D109" s="7" t="s">
        <v>879</v>
      </c>
      <c r="E109" s="5">
        <v>0</v>
      </c>
      <c r="F109" t="str">
        <f t="shared" si="8"/>
        <v>TailsThickening_Au</v>
      </c>
      <c r="H109" t="str">
        <f t="shared" si="6"/>
        <v>=(4*TailsThickenerUnderflowStream_Au)-(TailsThickening_open_Au)-(3*OSAStreamFlotationTailsStream_Au)</v>
      </c>
      <c r="I109" t="str">
        <f t="shared" si="7"/>
        <v>0</v>
      </c>
    </row>
    <row r="110" spans="1:9" ht="22.5">
      <c r="A110" s="1" t="s">
        <v>107</v>
      </c>
      <c r="B110" s="1" t="s">
        <v>986</v>
      </c>
      <c r="C110">
        <f>(4*TailsThickenerUnderflowStream_Ag)-(TailsThickening_open_Ag)-(3*OSAStreamFlotationTailsStream_Ag)</f>
        <v>0</v>
      </c>
      <c r="D110" s="7" t="s">
        <v>879</v>
      </c>
      <c r="E110" s="5">
        <v>0</v>
      </c>
      <c r="F110" t="str">
        <f t="shared" si="8"/>
        <v>TailsThickening_Ag</v>
      </c>
      <c r="H110" t="str">
        <f t="shared" si="6"/>
        <v>=(4*TailsThickenerUnderflowStream_Ag)-(TailsThickening_open_Ag)-(3*OSAStreamFlotationTailsStream_Ag)</v>
      </c>
      <c r="I110" t="str">
        <f t="shared" si="7"/>
        <v>0</v>
      </c>
    </row>
    <row r="111" spans="1:9" ht="22.5">
      <c r="A111" s="1" t="s">
        <v>108</v>
      </c>
      <c r="B111" s="1" t="s">
        <v>987</v>
      </c>
      <c r="C111">
        <f>(4*TailsThickenerUnderflowStream_S)-(TailsThickening_open_S)-(3*OSAStreamFlotationTailsStream_S)</f>
        <v>0</v>
      </c>
      <c r="D111" s="7" t="s">
        <v>879</v>
      </c>
      <c r="E111" s="5">
        <v>0</v>
      </c>
      <c r="F111" t="str">
        <f t="shared" si="8"/>
        <v>TailsThickening_S</v>
      </c>
      <c r="H111" t="str">
        <f t="shared" si="6"/>
        <v>=(4*TailsThickenerUnderflowStream_S)-(TailsThickening_open_S)-(3*OSAStreamFlotationTailsStream_S)</v>
      </c>
      <c r="I111" t="str">
        <f t="shared" si="7"/>
        <v>0</v>
      </c>
    </row>
    <row r="112" spans="1:9" ht="22.5">
      <c r="A112" s="1" t="s">
        <v>109</v>
      </c>
      <c r="B112" s="1" t="s">
        <v>988</v>
      </c>
      <c r="C112">
        <f>(4*TailsThickenerUnderflowStream_U)-(TailsThickening_open_U)-(3*OSAStreamFlotationTailsStream_U)</f>
        <v>0</v>
      </c>
      <c r="D112" s="7" t="s">
        <v>879</v>
      </c>
      <c r="E112" s="5">
        <v>0</v>
      </c>
      <c r="F112" t="str">
        <f t="shared" si="8"/>
        <v>TailsThickening_U</v>
      </c>
      <c r="H112" t="str">
        <f t="shared" si="6"/>
        <v>=(4*TailsThickenerUnderflowStream_U)-(TailsThickening_open_U)-(3*OSAStreamFlotationTailsStream_U)</v>
      </c>
      <c r="I112" t="str">
        <f t="shared" si="7"/>
        <v>0</v>
      </c>
    </row>
    <row r="113" spans="1:9" ht="22.5">
      <c r="A113" s="1" t="s">
        <v>110</v>
      </c>
      <c r="B113" s="1" t="s">
        <v>989</v>
      </c>
      <c r="C113">
        <f>(4*TailsThickenerUnderflowStream_F)-(TailsThickening_open_F)-(3*OSAStreamFlotationTailsStream_F)</f>
        <v>0</v>
      </c>
      <c r="D113" s="7" t="s">
        <v>879</v>
      </c>
      <c r="E113" s="5">
        <v>0</v>
      </c>
      <c r="F113" t="str">
        <f t="shared" si="8"/>
        <v>TailsThickening_F</v>
      </c>
      <c r="H113" t="str">
        <f t="shared" si="6"/>
        <v>=(4*TailsThickenerUnderflowStream_F)-(TailsThickening_open_F)-(3*OSAStreamFlotationTailsStream_F)</v>
      </c>
      <c r="I113" t="str">
        <f t="shared" si="7"/>
        <v>0</v>
      </c>
    </row>
    <row r="114" spans="1:9" ht="22.5">
      <c r="A114" s="1" t="s">
        <v>111</v>
      </c>
      <c r="B114" s="1" t="s">
        <v>990</v>
      </c>
      <c r="C114">
        <f>(ConcStorageTank1UnderflowStream_Cu)-(ConcStorageTank1_open_Cu)</f>
        <v>0</v>
      </c>
      <c r="D114" s="7" t="s">
        <v>879</v>
      </c>
      <c r="E114" s="5">
        <v>0</v>
      </c>
      <c r="F114" t="str">
        <f t="shared" si="8"/>
        <v>ConcStorageTank1_Cu</v>
      </c>
      <c r="H114" t="str">
        <f t="shared" si="6"/>
        <v>=(ConcStorageTank1UnderflowStream_Cu)-(ConcStorageTank1_open_Cu)</v>
      </c>
      <c r="I114" t="str">
        <f t="shared" si="7"/>
        <v>0</v>
      </c>
    </row>
    <row r="115" spans="1:9" ht="22.5">
      <c r="A115" s="1" t="s">
        <v>112</v>
      </c>
      <c r="B115" s="1" t="s">
        <v>991</v>
      </c>
      <c r="C115">
        <f>(ConcStorageTank1UnderflowStream_Fe)-(ConcStorageTank1_open_Fe)</f>
        <v>0</v>
      </c>
      <c r="D115" s="7" t="s">
        <v>879</v>
      </c>
      <c r="E115" s="5">
        <v>0</v>
      </c>
      <c r="F115" t="str">
        <f t="shared" si="8"/>
        <v>ConcStorageTank1_Fe</v>
      </c>
      <c r="H115" t="str">
        <f t="shared" si="6"/>
        <v>=(ConcStorageTank1UnderflowStream_Fe)-(ConcStorageTank1_open_Fe)</v>
      </c>
      <c r="I115" t="str">
        <f t="shared" si="7"/>
        <v>0</v>
      </c>
    </row>
    <row r="116" spans="1:9" ht="22.5">
      <c r="A116" s="1" t="s">
        <v>113</v>
      </c>
      <c r="B116" s="1" t="s">
        <v>992</v>
      </c>
      <c r="C116">
        <f>(ConcStorageTank1UnderflowStream_Au)-(ConcStorageTank1_open_Au)</f>
        <v>0</v>
      </c>
      <c r="D116" s="7" t="s">
        <v>879</v>
      </c>
      <c r="E116" s="5">
        <v>0</v>
      </c>
      <c r="F116" t="str">
        <f t="shared" si="8"/>
        <v>ConcStorageTank1_Au</v>
      </c>
      <c r="H116" t="str">
        <f t="shared" si="6"/>
        <v>=(ConcStorageTank1UnderflowStream_Au)-(ConcStorageTank1_open_Au)</v>
      </c>
      <c r="I116" t="str">
        <f t="shared" si="7"/>
        <v>0</v>
      </c>
    </row>
    <row r="117" spans="1:9" ht="22.5">
      <c r="A117" s="1" t="s">
        <v>114</v>
      </c>
      <c r="B117" s="1" t="s">
        <v>993</v>
      </c>
      <c r="C117">
        <f>(ConcStorageTank1UnderflowStream_Ag)-(ConcStorageTank1_open_Ag)</f>
        <v>0</v>
      </c>
      <c r="D117" s="7" t="s">
        <v>879</v>
      </c>
      <c r="E117" s="5">
        <v>0</v>
      </c>
      <c r="F117" t="str">
        <f t="shared" si="8"/>
        <v>ConcStorageTank1_Ag</v>
      </c>
      <c r="H117" t="str">
        <f t="shared" si="6"/>
        <v>=(ConcStorageTank1UnderflowStream_Ag)-(ConcStorageTank1_open_Ag)</v>
      </c>
      <c r="I117" t="str">
        <f t="shared" si="7"/>
        <v>0</v>
      </c>
    </row>
    <row r="118" spans="1:9" ht="22.5">
      <c r="A118" s="1" t="s">
        <v>115</v>
      </c>
      <c r="B118" s="1" t="s">
        <v>994</v>
      </c>
      <c r="C118">
        <f>(ConcStorageTank1UnderflowStream_S)-(ConcStorageTank1_open_S)</f>
        <v>0</v>
      </c>
      <c r="D118" s="7" t="s">
        <v>879</v>
      </c>
      <c r="E118" s="5">
        <v>0</v>
      </c>
      <c r="F118" t="str">
        <f t="shared" si="8"/>
        <v>ConcStorageTank1_S</v>
      </c>
      <c r="H118" t="str">
        <f t="shared" si="6"/>
        <v>=(ConcStorageTank1UnderflowStream_S)-(ConcStorageTank1_open_S)</v>
      </c>
      <c r="I118" t="str">
        <f t="shared" si="7"/>
        <v>0</v>
      </c>
    </row>
    <row r="119" spans="1:9" ht="22.5">
      <c r="A119" s="1" t="s">
        <v>116</v>
      </c>
      <c r="B119" s="1" t="s">
        <v>995</v>
      </c>
      <c r="C119">
        <f>(ConcStorageTank1UnderflowStream_U)-(ConcStorageTank1_open_U)</f>
        <v>0</v>
      </c>
      <c r="D119" s="7" t="s">
        <v>879</v>
      </c>
      <c r="E119" s="5">
        <v>0</v>
      </c>
      <c r="F119" t="str">
        <f t="shared" si="8"/>
        <v>ConcStorageTank1_U</v>
      </c>
      <c r="H119" t="str">
        <f t="shared" si="6"/>
        <v>=(ConcStorageTank1UnderflowStream_U)-(ConcStorageTank1_open_U)</v>
      </c>
      <c r="I119" t="str">
        <f t="shared" si="7"/>
        <v>0</v>
      </c>
    </row>
    <row r="120" spans="1:9" ht="22.5">
      <c r="A120" s="1" t="s">
        <v>117</v>
      </c>
      <c r="B120" s="1" t="s">
        <v>996</v>
      </c>
      <c r="C120">
        <f>(ConcStorageTank1UnderflowStream_F)-(ConcStorageTank1_open_F)</f>
        <v>0</v>
      </c>
      <c r="D120" s="7" t="s">
        <v>879</v>
      </c>
      <c r="E120" s="5">
        <v>0</v>
      </c>
      <c r="F120" t="str">
        <f t="shared" si="8"/>
        <v>ConcStorageTank1_F</v>
      </c>
      <c r="H120" t="str">
        <f t="shared" si="6"/>
        <v>=(ConcStorageTank1UnderflowStream_F)-(ConcStorageTank1_open_F)</v>
      </c>
      <c r="I120" t="str">
        <f t="shared" si="7"/>
        <v>0</v>
      </c>
    </row>
    <row r="121" spans="1:9" ht="22.5">
      <c r="A121" s="1" t="s">
        <v>118</v>
      </c>
      <c r="B121" s="1" t="s">
        <v>997</v>
      </c>
      <c r="C121">
        <f>(ConcStorageTank2UnderflowStream_Cu)-(ConcStorageTank2_open_Cu)</f>
        <v>0</v>
      </c>
      <c r="D121" s="7" t="s">
        <v>879</v>
      </c>
      <c r="E121" s="5">
        <v>0</v>
      </c>
      <c r="F121" t="str">
        <f t="shared" si="8"/>
        <v>ConcStorageTank2_Cu</v>
      </c>
      <c r="H121" t="str">
        <f t="shared" si="6"/>
        <v>=(ConcStorageTank2UnderflowStream_Cu)-(ConcStorageTank2_open_Cu)</v>
      </c>
      <c r="I121" t="str">
        <f t="shared" si="7"/>
        <v>0</v>
      </c>
    </row>
    <row r="122" spans="1:9" ht="22.5">
      <c r="A122" s="1" t="s">
        <v>119</v>
      </c>
      <c r="B122" s="1" t="s">
        <v>998</v>
      </c>
      <c r="C122">
        <f>(ConcStorageTank2UnderflowStream_Fe)-(ConcStorageTank2_open_Fe)</f>
        <v>0</v>
      </c>
      <c r="D122" s="7" t="s">
        <v>879</v>
      </c>
      <c r="E122" s="5">
        <v>0</v>
      </c>
      <c r="F122" t="str">
        <f t="shared" si="8"/>
        <v>ConcStorageTank2_Fe</v>
      </c>
      <c r="H122" t="str">
        <f t="shared" si="6"/>
        <v>=(ConcStorageTank2UnderflowStream_Fe)-(ConcStorageTank2_open_Fe)</v>
      </c>
      <c r="I122" t="str">
        <f t="shared" si="7"/>
        <v>0</v>
      </c>
    </row>
    <row r="123" spans="1:9" ht="22.5">
      <c r="A123" s="1" t="s">
        <v>120</v>
      </c>
      <c r="B123" s="1" t="s">
        <v>999</v>
      </c>
      <c r="C123">
        <f>(ConcStorageTank2UnderflowStream_Au)-(ConcStorageTank2_open_Au)</f>
        <v>0</v>
      </c>
      <c r="D123" s="7" t="s">
        <v>879</v>
      </c>
      <c r="E123" s="5">
        <v>0</v>
      </c>
      <c r="F123" t="str">
        <f t="shared" si="8"/>
        <v>ConcStorageTank2_Au</v>
      </c>
      <c r="H123" t="str">
        <f t="shared" si="6"/>
        <v>=(ConcStorageTank2UnderflowStream_Au)-(ConcStorageTank2_open_Au)</v>
      </c>
      <c r="I123" t="str">
        <f t="shared" si="7"/>
        <v>0</v>
      </c>
    </row>
    <row r="124" spans="1:9" ht="22.5">
      <c r="A124" s="1" t="s">
        <v>121</v>
      </c>
      <c r="B124" s="1" t="s">
        <v>1000</v>
      </c>
      <c r="C124">
        <f>(ConcStorageTank2UnderflowStream_Ag)-(ConcStorageTank2_open_Ag)</f>
        <v>0</v>
      </c>
      <c r="D124" s="7" t="s">
        <v>879</v>
      </c>
      <c r="E124" s="5">
        <v>0</v>
      </c>
      <c r="F124" t="str">
        <f t="shared" si="8"/>
        <v>ConcStorageTank2_Ag</v>
      </c>
      <c r="H124" t="str">
        <f t="shared" si="6"/>
        <v>=(ConcStorageTank2UnderflowStream_Ag)-(ConcStorageTank2_open_Ag)</v>
      </c>
      <c r="I124" t="str">
        <f t="shared" si="7"/>
        <v>0</v>
      </c>
    </row>
    <row r="125" spans="1:9" ht="22.5">
      <c r="A125" s="1" t="s">
        <v>122</v>
      </c>
      <c r="B125" s="1" t="s">
        <v>1001</v>
      </c>
      <c r="C125">
        <f>(ConcStorageTank2UnderflowStream_S)-(ConcStorageTank2_open_S)</f>
        <v>0</v>
      </c>
      <c r="D125" s="7" t="s">
        <v>879</v>
      </c>
      <c r="E125" s="5">
        <v>0</v>
      </c>
      <c r="F125" t="str">
        <f t="shared" si="8"/>
        <v>ConcStorageTank2_S</v>
      </c>
      <c r="H125" t="str">
        <f t="shared" si="6"/>
        <v>=(ConcStorageTank2UnderflowStream_S)-(ConcStorageTank2_open_S)</v>
      </c>
      <c r="I125" t="str">
        <f t="shared" si="7"/>
        <v>0</v>
      </c>
    </row>
    <row r="126" spans="1:9" ht="22.5">
      <c r="A126" s="1" t="s">
        <v>123</v>
      </c>
      <c r="B126" s="1" t="s">
        <v>1002</v>
      </c>
      <c r="C126">
        <f>(ConcStorageTank2UnderflowStream_U)-(ConcStorageTank2_open_U)</f>
        <v>0</v>
      </c>
      <c r="D126" s="7" t="s">
        <v>879</v>
      </c>
      <c r="E126" s="5">
        <v>0</v>
      </c>
      <c r="F126" t="str">
        <f t="shared" si="8"/>
        <v>ConcStorageTank2_U</v>
      </c>
      <c r="H126" t="str">
        <f t="shared" si="6"/>
        <v>=(ConcStorageTank2UnderflowStream_U)-(ConcStorageTank2_open_U)</v>
      </c>
      <c r="I126" t="str">
        <f t="shared" si="7"/>
        <v>0</v>
      </c>
    </row>
    <row r="127" spans="1:9" ht="22.5">
      <c r="A127" s="1" t="s">
        <v>124</v>
      </c>
      <c r="B127" s="1" t="s">
        <v>1003</v>
      </c>
      <c r="C127">
        <f>(ConcStorageTank2UnderflowStream_F)-(ConcStorageTank2_open_F)</f>
        <v>0</v>
      </c>
      <c r="D127" s="7" t="s">
        <v>879</v>
      </c>
      <c r="E127" s="5">
        <v>0</v>
      </c>
      <c r="F127" t="str">
        <f t="shared" si="8"/>
        <v>ConcStorageTank2_F</v>
      </c>
      <c r="H127" t="str">
        <f t="shared" si="6"/>
        <v>=(ConcStorageTank2UnderflowStream_F)-(ConcStorageTank2_open_F)</v>
      </c>
      <c r="I127" t="str">
        <f t="shared" si="7"/>
        <v>0</v>
      </c>
    </row>
    <row r="128" spans="1:9" ht="22.5">
      <c r="A128" s="1" t="s">
        <v>125</v>
      </c>
      <c r="B128" s="1" t="s">
        <v>668</v>
      </c>
      <c r="C128">
        <f>(SpillageReturnStream_Cu)-(PressureFilterFeedStream_Cu)</f>
        <v>0</v>
      </c>
      <c r="D128" s="7" t="s">
        <v>879</v>
      </c>
      <c r="E128" s="5">
        <v>0</v>
      </c>
      <c r="F128" t="str">
        <f t="shared" si="8"/>
        <v>SpillageReturnStream_Cu</v>
      </c>
      <c r="H128" t="str">
        <f t="shared" si="6"/>
        <v>=(SpillageReturnStream_Cu)-(PressureFilterFeedStream_Cu)</v>
      </c>
      <c r="I128" t="str">
        <f t="shared" si="7"/>
        <v>0</v>
      </c>
    </row>
    <row r="129" spans="1:9" ht="22.5">
      <c r="A129" s="1" t="s">
        <v>126</v>
      </c>
      <c r="B129" s="1" t="s">
        <v>669</v>
      </c>
      <c r="C129">
        <f>(SpillageReturnStream_Fe)-(PressureFilterFeedStream_Fe)</f>
        <v>0</v>
      </c>
      <c r="D129" s="7" t="s">
        <v>879</v>
      </c>
      <c r="E129" s="5">
        <v>0</v>
      </c>
      <c r="F129" t="str">
        <f t="shared" si="8"/>
        <v>SpillageReturnStream_Fe</v>
      </c>
      <c r="H129" t="str">
        <f t="shared" si="6"/>
        <v>=(SpillageReturnStream_Fe)-(PressureFilterFeedStream_Fe)</v>
      </c>
      <c r="I129" t="str">
        <f t="shared" si="7"/>
        <v>0</v>
      </c>
    </row>
    <row r="130" spans="1:9" ht="22.5">
      <c r="A130" s="1" t="s">
        <v>127</v>
      </c>
      <c r="B130" s="1" t="s">
        <v>670</v>
      </c>
      <c r="C130">
        <f>(SpillageReturnStream_Au)-(PressureFilterFeedStream_Au)</f>
        <v>0</v>
      </c>
      <c r="D130" s="7" t="s">
        <v>879</v>
      </c>
      <c r="E130" s="5">
        <v>0</v>
      </c>
      <c r="F130" t="str">
        <f t="shared" si="8"/>
        <v>SpillageReturnStream_Au</v>
      </c>
      <c r="H130" t="str">
        <f t="shared" si="6"/>
        <v>=(SpillageReturnStream_Au)-(PressureFilterFeedStream_Au)</v>
      </c>
      <c r="I130" t="str">
        <f t="shared" si="7"/>
        <v>0</v>
      </c>
    </row>
    <row r="131" spans="1:9" ht="22.5">
      <c r="A131" s="1" t="s">
        <v>128</v>
      </c>
      <c r="B131" s="1" t="s">
        <v>671</v>
      </c>
      <c r="C131">
        <f>(SpillageReturnStream_Ag)-(PressureFilterFeedStream_Ag)</f>
        <v>0</v>
      </c>
      <c r="D131" s="7" t="s">
        <v>879</v>
      </c>
      <c r="E131" s="5">
        <v>0</v>
      </c>
      <c r="F131" t="str">
        <f t="shared" si="8"/>
        <v>SpillageReturnStream_Ag</v>
      </c>
      <c r="H131" t="str">
        <f t="shared" si="6"/>
        <v>=(SpillageReturnStream_Ag)-(PressureFilterFeedStream_Ag)</v>
      </c>
      <c r="I131" t="str">
        <f t="shared" si="7"/>
        <v>0</v>
      </c>
    </row>
    <row r="132" spans="1:9">
      <c r="A132" s="1" t="s">
        <v>129</v>
      </c>
      <c r="B132" s="1" t="s">
        <v>672</v>
      </c>
      <c r="C132">
        <f>(SpillageReturnStream_S)-(PressureFilterFeedStream_S)</f>
        <v>0</v>
      </c>
      <c r="D132" s="7" t="s">
        <v>879</v>
      </c>
      <c r="E132" s="5">
        <v>0</v>
      </c>
      <c r="F132" t="str">
        <f t="shared" si="8"/>
        <v>SpillageReturnStream_S</v>
      </c>
      <c r="H132" t="str">
        <f t="shared" si="6"/>
        <v>=(SpillageReturnStream_S)-(PressureFilterFeedStream_S)</v>
      </c>
      <c r="I132" t="str">
        <f t="shared" si="7"/>
        <v>0</v>
      </c>
    </row>
    <row r="133" spans="1:9">
      <c r="A133" s="1" t="s">
        <v>130</v>
      </c>
      <c r="B133" s="1" t="s">
        <v>673</v>
      </c>
      <c r="C133">
        <f>(SpillageReturnStream_U)-(PressureFilterFeedStream_U)</f>
        <v>0</v>
      </c>
      <c r="D133" s="7" t="s">
        <v>879</v>
      </c>
      <c r="E133" s="5">
        <v>0</v>
      </c>
      <c r="F133" t="str">
        <f t="shared" si="8"/>
        <v>SpillageReturnStream_U</v>
      </c>
      <c r="H133" t="str">
        <f t="shared" si="6"/>
        <v>=(SpillageReturnStream_U)-(PressureFilterFeedStream_U)</v>
      </c>
      <c r="I133" t="str">
        <f t="shared" si="7"/>
        <v>0</v>
      </c>
    </row>
    <row r="134" spans="1:9">
      <c r="A134" s="1" t="s">
        <v>131</v>
      </c>
      <c r="B134" s="1" t="s">
        <v>674</v>
      </c>
      <c r="C134">
        <f>(SpillageReturnStream_F)-(PressureFilterFeedStream_F)</f>
        <v>0</v>
      </c>
      <c r="D134" s="7" t="s">
        <v>879</v>
      </c>
      <c r="E134" s="5">
        <v>0</v>
      </c>
      <c r="F134" t="str">
        <f t="shared" si="8"/>
        <v>SpillageReturnStream_F</v>
      </c>
      <c r="H134" t="str">
        <f>"="&amp;MID(A134,FIND(":(",A134)+2,FIND("=",A134)-FIND(":(",A134)-2)</f>
        <v>=(SpillageReturnStream_F)-(PressureFilterFeedStream_F)</v>
      </c>
      <c r="I134" t="str">
        <f t="shared" si="7"/>
        <v>0</v>
      </c>
    </row>
    <row r="135" spans="1:9">
      <c r="A135" s="1"/>
      <c r="B135" s="1"/>
    </row>
    <row r="136" spans="1:9">
      <c r="A136" s="1" t="s">
        <v>132</v>
      </c>
      <c r="B136" s="1"/>
    </row>
    <row r="137" spans="1:9">
      <c r="A137" s="1"/>
      <c r="B137" s="1"/>
    </row>
    <row r="138" spans="1:9" s="4" customFormat="1">
      <c r="A138" s="3" t="s">
        <v>133</v>
      </c>
      <c r="B138" s="3" t="s">
        <v>700</v>
      </c>
      <c r="C138" s="4" t="s">
        <v>702</v>
      </c>
      <c r="D138" s="4" t="s">
        <v>701</v>
      </c>
      <c r="E138" s="4" t="s">
        <v>702</v>
      </c>
    </row>
    <row r="139" spans="1:9">
      <c r="A139" s="1" t="s">
        <v>134</v>
      </c>
      <c r="B139" s="1" t="s">
        <v>703</v>
      </c>
      <c r="C139">
        <f>ConcStorageTank1_close_Cu</f>
        <v>0</v>
      </c>
      <c r="D139" s="7" t="s">
        <v>878</v>
      </c>
      <c r="E139">
        <v>0</v>
      </c>
      <c r="H139" t="str">
        <f>MID(A139,1,FIND(":",A139)-1)</f>
        <v>NNC_ConcStorageTank1_close_Cu</v>
      </c>
      <c r="I139" t="str">
        <f>"="&amp;MID(A139,FIND(":(",A139)+2,FIND("&gt;=",A139)-FIND(":(",A139)-2)</f>
        <v xml:space="preserve">=ConcStorageTank1_close_Cu </v>
      </c>
    </row>
    <row r="140" spans="1:9">
      <c r="A140" s="1" t="s">
        <v>135</v>
      </c>
      <c r="B140" s="1" t="s">
        <v>704</v>
      </c>
      <c r="C140">
        <f>ConcStorageTank1_close_Fe</f>
        <v>0</v>
      </c>
      <c r="D140" s="7" t="s">
        <v>878</v>
      </c>
      <c r="E140">
        <v>0</v>
      </c>
      <c r="H140" t="str">
        <f t="shared" ref="H140:H203" si="9">MID(A140,1,FIND(":",A140)-1)</f>
        <v>NNC_ConcStorageTank1_close_Fe</v>
      </c>
      <c r="I140" t="str">
        <f t="shared" ref="I140:J203" si="10">"="&amp;MID(A140,FIND(":(",A140)+2,FIND("&gt;=",A140)-FIND(":(",A140)-2)</f>
        <v xml:space="preserve">=ConcStorageTank1_close_Fe </v>
      </c>
    </row>
    <row r="141" spans="1:9">
      <c r="A141" s="1" t="s">
        <v>136</v>
      </c>
      <c r="B141" s="1" t="s">
        <v>705</v>
      </c>
      <c r="C141">
        <f>ConcStorageTank1_close_Au</f>
        <v>0</v>
      </c>
      <c r="D141" s="7" t="s">
        <v>878</v>
      </c>
      <c r="E141">
        <v>0</v>
      </c>
      <c r="H141" t="str">
        <f t="shared" si="9"/>
        <v>NNC_ConcStorageTank1_close_Au</v>
      </c>
      <c r="I141" t="str">
        <f t="shared" si="10"/>
        <v xml:space="preserve">=ConcStorageTank1_close_Au </v>
      </c>
    </row>
    <row r="142" spans="1:9">
      <c r="A142" s="1" t="s">
        <v>137</v>
      </c>
      <c r="B142" s="1" t="s">
        <v>706</v>
      </c>
      <c r="C142">
        <f>ConcStorageTank1_close_Ag</f>
        <v>0</v>
      </c>
      <c r="D142" s="7" t="s">
        <v>878</v>
      </c>
      <c r="E142">
        <v>0</v>
      </c>
      <c r="H142" t="str">
        <f t="shared" si="9"/>
        <v>NNC_ConcStorageTank1_close_Ag</v>
      </c>
      <c r="I142" t="str">
        <f t="shared" si="10"/>
        <v xml:space="preserve">=ConcStorageTank1_close_Ag </v>
      </c>
    </row>
    <row r="143" spans="1:9">
      <c r="A143" s="1" t="s">
        <v>138</v>
      </c>
      <c r="B143" s="1" t="s">
        <v>707</v>
      </c>
      <c r="C143">
        <f>ConcStorageTank1_close_S</f>
        <v>0</v>
      </c>
      <c r="D143" s="7" t="s">
        <v>878</v>
      </c>
      <c r="E143">
        <v>0</v>
      </c>
      <c r="H143" t="str">
        <f t="shared" si="9"/>
        <v>NNC_ConcStorageTank1_close_S</v>
      </c>
      <c r="I143" t="str">
        <f t="shared" si="10"/>
        <v xml:space="preserve">=ConcStorageTank1_close_S </v>
      </c>
    </row>
    <row r="144" spans="1:9">
      <c r="A144" s="1" t="s">
        <v>139</v>
      </c>
      <c r="B144" s="1" t="s">
        <v>708</v>
      </c>
      <c r="C144">
        <f>ConcStorageTank1_close_U</f>
        <v>0</v>
      </c>
      <c r="D144" s="7" t="s">
        <v>878</v>
      </c>
      <c r="E144">
        <v>0</v>
      </c>
      <c r="H144" t="str">
        <f t="shared" si="9"/>
        <v>NNC_ConcStorageTank1_close_U</v>
      </c>
      <c r="I144" t="str">
        <f t="shared" si="10"/>
        <v xml:space="preserve">=ConcStorageTank1_close_U </v>
      </c>
    </row>
    <row r="145" spans="1:9">
      <c r="A145" s="1" t="s">
        <v>140</v>
      </c>
      <c r="B145" s="1" t="s">
        <v>709</v>
      </c>
      <c r="C145">
        <f>ConcStorageTank1_close_F</f>
        <v>0</v>
      </c>
      <c r="D145" s="7" t="s">
        <v>878</v>
      </c>
      <c r="E145">
        <v>0</v>
      </c>
      <c r="H145" t="str">
        <f t="shared" si="9"/>
        <v>NNC_ConcStorageTank1_close_F</v>
      </c>
      <c r="I145" t="str">
        <f t="shared" si="10"/>
        <v xml:space="preserve">=ConcStorageTank1_close_F </v>
      </c>
    </row>
    <row r="146" spans="1:9">
      <c r="A146" s="1" t="s">
        <v>141</v>
      </c>
      <c r="B146" s="1" t="s">
        <v>710</v>
      </c>
      <c r="C146">
        <f>ConcStorageTank2_close_Cu</f>
        <v>0</v>
      </c>
      <c r="D146" s="7" t="s">
        <v>878</v>
      </c>
      <c r="E146">
        <v>0</v>
      </c>
      <c r="H146" t="str">
        <f t="shared" si="9"/>
        <v>NNC_ConcStorageTank2_close_Cu</v>
      </c>
      <c r="I146" t="str">
        <f t="shared" si="10"/>
        <v xml:space="preserve">=ConcStorageTank2_close_Cu </v>
      </c>
    </row>
    <row r="147" spans="1:9">
      <c r="A147" s="1" t="s">
        <v>142</v>
      </c>
      <c r="B147" s="1" t="s">
        <v>711</v>
      </c>
      <c r="C147">
        <f>ConcStorageTank2_close_Fe</f>
        <v>0</v>
      </c>
      <c r="D147" s="7" t="s">
        <v>878</v>
      </c>
      <c r="E147">
        <v>0</v>
      </c>
      <c r="H147" t="str">
        <f t="shared" si="9"/>
        <v>NNC_ConcStorageTank2_close_Fe</v>
      </c>
      <c r="I147" t="str">
        <f t="shared" si="10"/>
        <v xml:space="preserve">=ConcStorageTank2_close_Fe </v>
      </c>
    </row>
    <row r="148" spans="1:9">
      <c r="A148" s="1" t="s">
        <v>143</v>
      </c>
      <c r="B148" s="1" t="s">
        <v>712</v>
      </c>
      <c r="C148">
        <f>ConcStorageTank2_close_Au</f>
        <v>0</v>
      </c>
      <c r="D148" s="7" t="s">
        <v>878</v>
      </c>
      <c r="E148">
        <v>0</v>
      </c>
      <c r="H148" t="str">
        <f t="shared" si="9"/>
        <v>NNC_ConcStorageTank2_close_Au</v>
      </c>
      <c r="I148" t="str">
        <f t="shared" si="10"/>
        <v xml:space="preserve">=ConcStorageTank2_close_Au </v>
      </c>
    </row>
    <row r="149" spans="1:9">
      <c r="A149" s="1" t="s">
        <v>144</v>
      </c>
      <c r="B149" s="1" t="s">
        <v>713</v>
      </c>
      <c r="C149">
        <f>ConcStorageTank2_close_Ag</f>
        <v>0</v>
      </c>
      <c r="D149" s="7" t="s">
        <v>878</v>
      </c>
      <c r="E149">
        <v>0</v>
      </c>
      <c r="H149" t="str">
        <f t="shared" si="9"/>
        <v>NNC_ConcStorageTank2_close_Ag</v>
      </c>
      <c r="I149" t="str">
        <f t="shared" si="10"/>
        <v xml:space="preserve">=ConcStorageTank2_close_Ag </v>
      </c>
    </row>
    <row r="150" spans="1:9">
      <c r="A150" s="1" t="s">
        <v>145</v>
      </c>
      <c r="B150" s="1" t="s">
        <v>714</v>
      </c>
      <c r="C150">
        <f>ConcStorageTank2_close_S</f>
        <v>0</v>
      </c>
      <c r="D150" s="7" t="s">
        <v>878</v>
      </c>
      <c r="E150">
        <v>0</v>
      </c>
      <c r="H150" t="str">
        <f t="shared" si="9"/>
        <v>NNC_ConcStorageTank2_close_S</v>
      </c>
      <c r="I150" t="str">
        <f t="shared" si="10"/>
        <v xml:space="preserve">=ConcStorageTank2_close_S </v>
      </c>
    </row>
    <row r="151" spans="1:9">
      <c r="A151" s="1" t="s">
        <v>146</v>
      </c>
      <c r="B151" s="1" t="s">
        <v>715</v>
      </c>
      <c r="C151">
        <f>ConcStorageTank2_close_U</f>
        <v>0</v>
      </c>
      <c r="D151" s="7" t="s">
        <v>878</v>
      </c>
      <c r="E151">
        <v>0</v>
      </c>
      <c r="H151" t="str">
        <f t="shared" si="9"/>
        <v>NNC_ConcStorageTank2_close_U</v>
      </c>
      <c r="I151" t="str">
        <f t="shared" si="10"/>
        <v xml:space="preserve">=ConcStorageTank2_close_U </v>
      </c>
    </row>
    <row r="152" spans="1:9">
      <c r="A152" s="1" t="s">
        <v>147</v>
      </c>
      <c r="B152" s="1" t="s">
        <v>716</v>
      </c>
      <c r="C152">
        <f>ConcStorageTank2_close_F</f>
        <v>0</v>
      </c>
      <c r="D152" s="7" t="s">
        <v>878</v>
      </c>
      <c r="E152">
        <v>0</v>
      </c>
      <c r="H152" t="str">
        <f t="shared" si="9"/>
        <v>NNC_ConcStorageTank2_close_F</v>
      </c>
      <c r="I152" t="str">
        <f t="shared" si="10"/>
        <v xml:space="preserve">=ConcStorageTank2_close_F </v>
      </c>
    </row>
    <row r="153" spans="1:9">
      <c r="A153" s="1" t="s">
        <v>148</v>
      </c>
      <c r="B153" s="1" t="s">
        <v>717</v>
      </c>
      <c r="C153">
        <f>ConcThickener_close_Cu</f>
        <v>0</v>
      </c>
      <c r="D153" s="7" t="s">
        <v>878</v>
      </c>
      <c r="E153">
        <v>0</v>
      </c>
      <c r="H153" t="str">
        <f t="shared" si="9"/>
        <v>NNC_ConcThickener_close_Cu</v>
      </c>
      <c r="I153" t="str">
        <f t="shared" si="10"/>
        <v xml:space="preserve">=ConcThickener_close_Cu </v>
      </c>
    </row>
    <row r="154" spans="1:9">
      <c r="A154" s="1" t="s">
        <v>149</v>
      </c>
      <c r="B154" s="1" t="s">
        <v>718</v>
      </c>
      <c r="C154">
        <f>ConcThickener_close_Fe</f>
        <v>0</v>
      </c>
      <c r="D154" s="7" t="s">
        <v>878</v>
      </c>
      <c r="E154">
        <v>0</v>
      </c>
      <c r="H154" t="str">
        <f t="shared" si="9"/>
        <v>NNC_ConcThickener_close_Fe</v>
      </c>
      <c r="I154" t="str">
        <f t="shared" si="10"/>
        <v xml:space="preserve">=ConcThickener_close_Fe </v>
      </c>
    </row>
    <row r="155" spans="1:9">
      <c r="A155" s="1" t="s">
        <v>150</v>
      </c>
      <c r="B155" s="1" t="s">
        <v>719</v>
      </c>
      <c r="C155">
        <f>ConcThickener_close_Au</f>
        <v>0</v>
      </c>
      <c r="D155" s="7" t="s">
        <v>878</v>
      </c>
      <c r="E155">
        <v>0</v>
      </c>
      <c r="H155" t="str">
        <f t="shared" si="9"/>
        <v>NNC_ConcThickener_close_Au</v>
      </c>
      <c r="I155" t="str">
        <f t="shared" si="10"/>
        <v xml:space="preserve">=ConcThickener_close_Au </v>
      </c>
    </row>
    <row r="156" spans="1:9">
      <c r="A156" s="1" t="s">
        <v>151</v>
      </c>
      <c r="B156" s="1" t="s">
        <v>720</v>
      </c>
      <c r="C156">
        <f>ConcThickener_close_Ag</f>
        <v>0</v>
      </c>
      <c r="D156" s="7" t="s">
        <v>878</v>
      </c>
      <c r="E156">
        <v>0</v>
      </c>
      <c r="H156" t="str">
        <f t="shared" si="9"/>
        <v>NNC_ConcThickener_close_Ag</v>
      </c>
      <c r="I156" t="str">
        <f t="shared" si="10"/>
        <v xml:space="preserve">=ConcThickener_close_Ag </v>
      </c>
    </row>
    <row r="157" spans="1:9">
      <c r="A157" s="1" t="s">
        <v>152</v>
      </c>
      <c r="B157" s="1" t="s">
        <v>721</v>
      </c>
      <c r="C157">
        <f>ConcThickener_close_S</f>
        <v>0</v>
      </c>
      <c r="D157" s="7" t="s">
        <v>878</v>
      </c>
      <c r="E157">
        <v>0</v>
      </c>
      <c r="H157" t="str">
        <f t="shared" si="9"/>
        <v>NNC_ConcThickener_close_S</v>
      </c>
      <c r="I157" t="str">
        <f t="shared" si="10"/>
        <v xml:space="preserve">=ConcThickener_close_S </v>
      </c>
    </row>
    <row r="158" spans="1:9">
      <c r="A158" s="1" t="s">
        <v>153</v>
      </c>
      <c r="B158" s="1" t="s">
        <v>722</v>
      </c>
      <c r="C158">
        <f>ConcThickener_close_U</f>
        <v>0</v>
      </c>
      <c r="D158" s="7" t="s">
        <v>878</v>
      </c>
      <c r="E158">
        <v>0</v>
      </c>
      <c r="H158" t="str">
        <f t="shared" si="9"/>
        <v>NNC_ConcThickener_close_U</v>
      </c>
      <c r="I158" t="str">
        <f t="shared" si="10"/>
        <v xml:space="preserve">=ConcThickener_close_U </v>
      </c>
    </row>
    <row r="159" spans="1:9">
      <c r="A159" s="1" t="s">
        <v>154</v>
      </c>
      <c r="B159" s="1" t="s">
        <v>723</v>
      </c>
      <c r="C159">
        <f>ConcThickener_close_F</f>
        <v>0</v>
      </c>
      <c r="D159" s="7" t="s">
        <v>878</v>
      </c>
      <c r="E159">
        <v>0</v>
      </c>
      <c r="H159" t="str">
        <f t="shared" si="9"/>
        <v>NNC_ConcThickener_close_F</v>
      </c>
      <c r="I159" t="str">
        <f t="shared" si="10"/>
        <v xml:space="preserve">=ConcThickener_close_F </v>
      </c>
    </row>
    <row r="160" spans="1:9">
      <c r="A160" s="1" t="s">
        <v>155</v>
      </c>
      <c r="B160" s="1" t="s">
        <v>724</v>
      </c>
      <c r="C160">
        <f>TailsThickening_close_Cu</f>
        <v>0</v>
      </c>
      <c r="D160" s="7" t="s">
        <v>878</v>
      </c>
      <c r="E160">
        <v>0</v>
      </c>
      <c r="H160" t="str">
        <f t="shared" si="9"/>
        <v>NNC_TailsThickening_close_Cu</v>
      </c>
      <c r="I160" t="str">
        <f t="shared" si="10"/>
        <v xml:space="preserve">=TailsThickening_close_Cu </v>
      </c>
    </row>
    <row r="161" spans="1:9">
      <c r="A161" s="1" t="s">
        <v>156</v>
      </c>
      <c r="B161" s="1" t="s">
        <v>725</v>
      </c>
      <c r="C161">
        <f>TailsThickening_close_Fe</f>
        <v>0</v>
      </c>
      <c r="D161" s="7" t="s">
        <v>878</v>
      </c>
      <c r="E161">
        <v>0</v>
      </c>
      <c r="H161" t="str">
        <f t="shared" si="9"/>
        <v>NNC_TailsThickening_close_Fe</v>
      </c>
      <c r="I161" t="str">
        <f t="shared" si="10"/>
        <v xml:space="preserve">=TailsThickening_close_Fe </v>
      </c>
    </row>
    <row r="162" spans="1:9">
      <c r="A162" s="1" t="s">
        <v>157</v>
      </c>
      <c r="B162" s="1" t="s">
        <v>726</v>
      </c>
      <c r="C162">
        <f>TailsThickening_close_Au</f>
        <v>0</v>
      </c>
      <c r="D162" s="7" t="s">
        <v>878</v>
      </c>
      <c r="E162">
        <v>0</v>
      </c>
      <c r="H162" t="str">
        <f t="shared" si="9"/>
        <v>NNC_TailsThickening_close_Au</v>
      </c>
      <c r="I162" t="str">
        <f t="shared" si="10"/>
        <v xml:space="preserve">=TailsThickening_close_Au </v>
      </c>
    </row>
    <row r="163" spans="1:9">
      <c r="A163" s="1" t="s">
        <v>158</v>
      </c>
      <c r="B163" s="1" t="s">
        <v>727</v>
      </c>
      <c r="C163">
        <f>TailsThickening_close_Ag</f>
        <v>0</v>
      </c>
      <c r="D163" s="7" t="s">
        <v>878</v>
      </c>
      <c r="E163">
        <v>0</v>
      </c>
      <c r="H163" t="str">
        <f t="shared" si="9"/>
        <v>NNC_TailsThickening_close_Ag</v>
      </c>
      <c r="I163" t="str">
        <f t="shared" si="10"/>
        <v xml:space="preserve">=TailsThickening_close_Ag </v>
      </c>
    </row>
    <row r="164" spans="1:9">
      <c r="A164" s="1" t="s">
        <v>159</v>
      </c>
      <c r="B164" s="1" t="s">
        <v>728</v>
      </c>
      <c r="C164">
        <f>TailsThickening_close_S</f>
        <v>0</v>
      </c>
      <c r="D164" s="7" t="s">
        <v>878</v>
      </c>
      <c r="E164">
        <v>0</v>
      </c>
      <c r="H164" t="str">
        <f t="shared" si="9"/>
        <v>NNC_TailsThickening_close_S</v>
      </c>
      <c r="I164" t="str">
        <f t="shared" si="10"/>
        <v xml:space="preserve">=TailsThickening_close_S </v>
      </c>
    </row>
    <row r="165" spans="1:9">
      <c r="A165" s="1" t="s">
        <v>160</v>
      </c>
      <c r="B165" s="1" t="s">
        <v>729</v>
      </c>
      <c r="C165">
        <f>TailsThickening_close_U</f>
        <v>0</v>
      </c>
      <c r="D165" s="7" t="s">
        <v>878</v>
      </c>
      <c r="E165">
        <v>0</v>
      </c>
      <c r="H165" t="str">
        <f t="shared" si="9"/>
        <v>NNC_TailsThickening_close_U</v>
      </c>
      <c r="I165" t="str">
        <f t="shared" si="10"/>
        <v xml:space="preserve">=TailsThickening_close_U </v>
      </c>
    </row>
    <row r="166" spans="1:9">
      <c r="A166" s="1" t="s">
        <v>161</v>
      </c>
      <c r="B166" s="1" t="s">
        <v>730</v>
      </c>
      <c r="C166">
        <f>TailsThickening_close_F</f>
        <v>0</v>
      </c>
      <c r="D166" s="7" t="s">
        <v>878</v>
      </c>
      <c r="E166">
        <v>0</v>
      </c>
      <c r="H166" t="str">
        <f t="shared" si="9"/>
        <v>NNC_TailsThickening_close_F</v>
      </c>
      <c r="I166" t="str">
        <f t="shared" si="10"/>
        <v xml:space="preserve">=TailsThickening_close_F </v>
      </c>
    </row>
    <row r="167" spans="1:9">
      <c r="A167" s="1" t="s">
        <v>162</v>
      </c>
      <c r="B167" s="1" t="s">
        <v>731</v>
      </c>
      <c r="C167">
        <f>ConcStorageTank1_open_Cu</f>
        <v>0</v>
      </c>
      <c r="D167" s="7" t="s">
        <v>878</v>
      </c>
      <c r="E167">
        <v>0</v>
      </c>
      <c r="H167" t="str">
        <f t="shared" si="9"/>
        <v>NNC_ConcStorageTank1_open_Cu</v>
      </c>
      <c r="I167" t="str">
        <f t="shared" si="10"/>
        <v xml:space="preserve">=ConcStorageTank1_open_Cu </v>
      </c>
    </row>
    <row r="168" spans="1:9">
      <c r="A168" s="1" t="s">
        <v>163</v>
      </c>
      <c r="B168" s="1" t="s">
        <v>732</v>
      </c>
      <c r="C168">
        <f>ConcStorageTank1_open_Fe</f>
        <v>0</v>
      </c>
      <c r="D168" s="7" t="s">
        <v>878</v>
      </c>
      <c r="E168">
        <v>0</v>
      </c>
      <c r="H168" t="str">
        <f t="shared" si="9"/>
        <v>NNC_ConcStorageTank1_open_Fe</v>
      </c>
      <c r="I168" t="str">
        <f t="shared" si="10"/>
        <v xml:space="preserve">=ConcStorageTank1_open_Fe </v>
      </c>
    </row>
    <row r="169" spans="1:9">
      <c r="A169" s="1" t="s">
        <v>164</v>
      </c>
      <c r="B169" s="1" t="s">
        <v>733</v>
      </c>
      <c r="C169">
        <f>ConcStorageTank1_open_Au</f>
        <v>0</v>
      </c>
      <c r="D169" s="7" t="s">
        <v>878</v>
      </c>
      <c r="E169">
        <v>0</v>
      </c>
      <c r="H169" t="str">
        <f t="shared" si="9"/>
        <v>NNC_ConcStorageTank1_open_Au</v>
      </c>
      <c r="I169" t="str">
        <f t="shared" si="10"/>
        <v xml:space="preserve">=ConcStorageTank1_open_Au </v>
      </c>
    </row>
    <row r="170" spans="1:9">
      <c r="A170" s="1" t="s">
        <v>165</v>
      </c>
      <c r="B170" s="1" t="s">
        <v>734</v>
      </c>
      <c r="C170">
        <f>ConcStorageTank1_open_Ag</f>
        <v>0</v>
      </c>
      <c r="D170" s="7" t="s">
        <v>878</v>
      </c>
      <c r="E170">
        <v>0</v>
      </c>
      <c r="H170" t="str">
        <f t="shared" si="9"/>
        <v>NNC_ConcStorageTank1_open_Ag</v>
      </c>
      <c r="I170" t="str">
        <f t="shared" si="10"/>
        <v xml:space="preserve">=ConcStorageTank1_open_Ag </v>
      </c>
    </row>
    <row r="171" spans="1:9">
      <c r="A171" s="1" t="s">
        <v>166</v>
      </c>
      <c r="B171" s="1" t="s">
        <v>735</v>
      </c>
      <c r="C171">
        <f>ConcStorageTank1_open_S</f>
        <v>0</v>
      </c>
      <c r="D171" s="7" t="s">
        <v>878</v>
      </c>
      <c r="E171">
        <v>0</v>
      </c>
      <c r="H171" t="str">
        <f t="shared" si="9"/>
        <v>NNC_ConcStorageTank1_open_S</v>
      </c>
      <c r="I171" t="str">
        <f t="shared" si="10"/>
        <v xml:space="preserve">=ConcStorageTank1_open_S </v>
      </c>
    </row>
    <row r="172" spans="1:9">
      <c r="A172" s="1" t="s">
        <v>167</v>
      </c>
      <c r="B172" s="1" t="s">
        <v>736</v>
      </c>
      <c r="C172">
        <f>ConcStorageTank1_open_U</f>
        <v>0</v>
      </c>
      <c r="D172" s="7" t="s">
        <v>878</v>
      </c>
      <c r="E172">
        <v>0</v>
      </c>
      <c r="H172" t="str">
        <f t="shared" si="9"/>
        <v>NNC_ConcStorageTank1_open_U</v>
      </c>
      <c r="I172" t="str">
        <f t="shared" si="10"/>
        <v xml:space="preserve">=ConcStorageTank1_open_U </v>
      </c>
    </row>
    <row r="173" spans="1:9">
      <c r="A173" s="1" t="s">
        <v>168</v>
      </c>
      <c r="B173" s="1" t="s">
        <v>737</v>
      </c>
      <c r="C173">
        <f>ConcStorageTank1_open_F</f>
        <v>0</v>
      </c>
      <c r="D173" s="7" t="s">
        <v>878</v>
      </c>
      <c r="E173">
        <v>0</v>
      </c>
      <c r="H173" t="str">
        <f t="shared" si="9"/>
        <v>NNC_ConcStorageTank1_open_F</v>
      </c>
      <c r="I173" t="str">
        <f t="shared" si="10"/>
        <v xml:space="preserve">=ConcStorageTank1_open_F </v>
      </c>
    </row>
    <row r="174" spans="1:9">
      <c r="A174" s="1" t="s">
        <v>169</v>
      </c>
      <c r="B174" s="1" t="s">
        <v>738</v>
      </c>
      <c r="C174">
        <f>ConcStorageTank2_open_Cu</f>
        <v>0</v>
      </c>
      <c r="D174" s="7" t="s">
        <v>878</v>
      </c>
      <c r="E174">
        <v>0</v>
      </c>
      <c r="H174" t="str">
        <f t="shared" si="9"/>
        <v>NNC_ConcStorageTank2_open_Cu</v>
      </c>
      <c r="I174" t="str">
        <f t="shared" si="10"/>
        <v xml:space="preserve">=ConcStorageTank2_open_Cu </v>
      </c>
    </row>
    <row r="175" spans="1:9">
      <c r="A175" s="1" t="s">
        <v>170</v>
      </c>
      <c r="B175" s="1" t="s">
        <v>739</v>
      </c>
      <c r="C175">
        <f>ConcStorageTank2_open_Fe</f>
        <v>0</v>
      </c>
      <c r="D175" s="7" t="s">
        <v>878</v>
      </c>
      <c r="E175">
        <v>0</v>
      </c>
      <c r="H175" t="str">
        <f t="shared" si="9"/>
        <v>NNC_ConcStorageTank2_open_Fe</v>
      </c>
      <c r="I175" t="str">
        <f t="shared" si="10"/>
        <v xml:space="preserve">=ConcStorageTank2_open_Fe </v>
      </c>
    </row>
    <row r="176" spans="1:9">
      <c r="A176" s="1" t="s">
        <v>171</v>
      </c>
      <c r="B176" s="1" t="s">
        <v>740</v>
      </c>
      <c r="C176">
        <f>ConcStorageTank2_open_Au</f>
        <v>0</v>
      </c>
      <c r="D176" s="7" t="s">
        <v>878</v>
      </c>
      <c r="E176">
        <v>0</v>
      </c>
      <c r="H176" t="str">
        <f t="shared" si="9"/>
        <v>NNC_ConcStorageTank2_open_Au</v>
      </c>
      <c r="I176" t="str">
        <f t="shared" si="10"/>
        <v xml:space="preserve">=ConcStorageTank2_open_Au </v>
      </c>
    </row>
    <row r="177" spans="1:9">
      <c r="A177" s="1" t="s">
        <v>172</v>
      </c>
      <c r="B177" s="1" t="s">
        <v>741</v>
      </c>
      <c r="C177">
        <f>ConcStorageTank2_open_Ag</f>
        <v>0</v>
      </c>
      <c r="D177" s="7" t="s">
        <v>878</v>
      </c>
      <c r="E177">
        <v>0</v>
      </c>
      <c r="H177" t="str">
        <f t="shared" si="9"/>
        <v>NNC_ConcStorageTank2_open_Ag</v>
      </c>
      <c r="I177" t="str">
        <f t="shared" si="10"/>
        <v xml:space="preserve">=ConcStorageTank2_open_Ag </v>
      </c>
    </row>
    <row r="178" spans="1:9">
      <c r="A178" s="1" t="s">
        <v>173</v>
      </c>
      <c r="B178" s="1" t="s">
        <v>742</v>
      </c>
      <c r="C178">
        <f>ConcStorageTank2_open_S</f>
        <v>0</v>
      </c>
      <c r="D178" s="7" t="s">
        <v>878</v>
      </c>
      <c r="E178">
        <v>0</v>
      </c>
      <c r="H178" t="str">
        <f t="shared" si="9"/>
        <v>NNC_ConcStorageTank2_open_S</v>
      </c>
      <c r="I178" t="str">
        <f t="shared" si="10"/>
        <v xml:space="preserve">=ConcStorageTank2_open_S </v>
      </c>
    </row>
    <row r="179" spans="1:9">
      <c r="A179" s="1" t="s">
        <v>174</v>
      </c>
      <c r="B179" s="1" t="s">
        <v>743</v>
      </c>
      <c r="C179">
        <f>ConcStorageTank2_open_U</f>
        <v>0</v>
      </c>
      <c r="D179" s="7" t="s">
        <v>878</v>
      </c>
      <c r="E179">
        <v>0</v>
      </c>
      <c r="H179" t="str">
        <f t="shared" si="9"/>
        <v>NNC_ConcStorageTank2_open_U</v>
      </c>
      <c r="I179" t="str">
        <f t="shared" si="10"/>
        <v xml:space="preserve">=ConcStorageTank2_open_U </v>
      </c>
    </row>
    <row r="180" spans="1:9">
      <c r="A180" s="1" t="s">
        <v>175</v>
      </c>
      <c r="B180" s="1" t="s">
        <v>744</v>
      </c>
      <c r="C180">
        <f>ConcStorageTank2_open_F</f>
        <v>0</v>
      </c>
      <c r="D180" s="7" t="s">
        <v>878</v>
      </c>
      <c r="E180">
        <v>0</v>
      </c>
      <c r="H180" t="str">
        <f t="shared" si="9"/>
        <v>NNC_ConcStorageTank2_open_F</v>
      </c>
      <c r="I180" t="str">
        <f t="shared" si="10"/>
        <v xml:space="preserve">=ConcStorageTank2_open_F </v>
      </c>
    </row>
    <row r="181" spans="1:9">
      <c r="A181" s="1" t="s">
        <v>176</v>
      </c>
      <c r="B181" s="1" t="s">
        <v>745</v>
      </c>
      <c r="C181">
        <f>ConcThickener_open_Cu</f>
        <v>0</v>
      </c>
      <c r="D181" s="7" t="s">
        <v>878</v>
      </c>
      <c r="E181">
        <v>0</v>
      </c>
      <c r="H181" t="str">
        <f t="shared" si="9"/>
        <v>NNC_ConcThickener_open_Cu</v>
      </c>
      <c r="I181" t="str">
        <f t="shared" si="10"/>
        <v xml:space="preserve">=ConcThickener_open_Cu </v>
      </c>
    </row>
    <row r="182" spans="1:9">
      <c r="A182" s="1" t="s">
        <v>177</v>
      </c>
      <c r="B182" s="1" t="s">
        <v>746</v>
      </c>
      <c r="C182">
        <f>ConcThickener_open_Fe</f>
        <v>0</v>
      </c>
      <c r="D182" s="7" t="s">
        <v>878</v>
      </c>
      <c r="E182">
        <v>0</v>
      </c>
      <c r="H182" t="str">
        <f t="shared" si="9"/>
        <v>NNC_ConcThickener_open_Fe</v>
      </c>
      <c r="I182" t="str">
        <f t="shared" si="10"/>
        <v xml:space="preserve">=ConcThickener_open_Fe </v>
      </c>
    </row>
    <row r="183" spans="1:9">
      <c r="A183" s="1" t="s">
        <v>178</v>
      </c>
      <c r="B183" s="1" t="s">
        <v>747</v>
      </c>
      <c r="C183">
        <f>ConcThickener_open_Au</f>
        <v>0</v>
      </c>
      <c r="D183" s="7" t="s">
        <v>878</v>
      </c>
      <c r="E183">
        <v>0</v>
      </c>
      <c r="H183" t="str">
        <f t="shared" si="9"/>
        <v>NNC_ConcThickener_open_Au</v>
      </c>
      <c r="I183" t="str">
        <f t="shared" si="10"/>
        <v xml:space="preserve">=ConcThickener_open_Au </v>
      </c>
    </row>
    <row r="184" spans="1:9">
      <c r="A184" s="1" t="s">
        <v>179</v>
      </c>
      <c r="B184" s="1" t="s">
        <v>748</v>
      </c>
      <c r="C184">
        <f>ConcThickener_open_Ag</f>
        <v>0</v>
      </c>
      <c r="D184" s="7" t="s">
        <v>878</v>
      </c>
      <c r="E184">
        <v>0</v>
      </c>
      <c r="H184" t="str">
        <f t="shared" si="9"/>
        <v>NNC_ConcThickener_open_Ag</v>
      </c>
      <c r="I184" t="str">
        <f t="shared" si="10"/>
        <v xml:space="preserve">=ConcThickener_open_Ag </v>
      </c>
    </row>
    <row r="185" spans="1:9">
      <c r="A185" s="1" t="s">
        <v>180</v>
      </c>
      <c r="B185" s="1" t="s">
        <v>749</v>
      </c>
      <c r="C185">
        <f>ConcThickener_open_S</f>
        <v>0</v>
      </c>
      <c r="D185" s="7" t="s">
        <v>878</v>
      </c>
      <c r="E185">
        <v>0</v>
      </c>
      <c r="H185" t="str">
        <f t="shared" si="9"/>
        <v>NNC_ConcThickener_open_S</v>
      </c>
      <c r="I185" t="str">
        <f t="shared" si="10"/>
        <v xml:space="preserve">=ConcThickener_open_S </v>
      </c>
    </row>
    <row r="186" spans="1:9">
      <c r="A186" s="1" t="s">
        <v>181</v>
      </c>
      <c r="B186" s="1" t="s">
        <v>750</v>
      </c>
      <c r="C186">
        <f>ConcThickener_open_U</f>
        <v>0</v>
      </c>
      <c r="D186" s="7" t="s">
        <v>878</v>
      </c>
      <c r="E186">
        <v>0</v>
      </c>
      <c r="H186" t="str">
        <f t="shared" si="9"/>
        <v>NNC_ConcThickener_open_U</v>
      </c>
      <c r="I186" t="str">
        <f t="shared" si="10"/>
        <v xml:space="preserve">=ConcThickener_open_U </v>
      </c>
    </row>
    <row r="187" spans="1:9">
      <c r="A187" s="1" t="s">
        <v>182</v>
      </c>
      <c r="B187" s="1" t="s">
        <v>751</v>
      </c>
      <c r="C187">
        <f>ConcThickener_open_F</f>
        <v>0</v>
      </c>
      <c r="D187" s="7" t="s">
        <v>878</v>
      </c>
      <c r="E187">
        <v>0</v>
      </c>
      <c r="H187" t="str">
        <f t="shared" si="9"/>
        <v>NNC_ConcThickener_open_F</v>
      </c>
      <c r="I187" t="str">
        <f t="shared" si="10"/>
        <v xml:space="preserve">=ConcThickener_open_F </v>
      </c>
    </row>
    <row r="188" spans="1:9">
      <c r="A188" s="1" t="s">
        <v>183</v>
      </c>
      <c r="B188" s="1" t="s">
        <v>752</v>
      </c>
      <c r="C188">
        <f>TailsThickening_open_Cu</f>
        <v>0</v>
      </c>
      <c r="D188" s="7" t="s">
        <v>878</v>
      </c>
      <c r="E188">
        <v>0</v>
      </c>
      <c r="H188" t="str">
        <f t="shared" si="9"/>
        <v>NNC_TailsThickening_open_Cu</v>
      </c>
      <c r="I188" t="str">
        <f t="shared" si="10"/>
        <v xml:space="preserve">=TailsThickening_open_Cu </v>
      </c>
    </row>
    <row r="189" spans="1:9">
      <c r="A189" s="1" t="s">
        <v>184</v>
      </c>
      <c r="B189" s="1" t="s">
        <v>753</v>
      </c>
      <c r="C189">
        <f>TailsThickening_open_Fe</f>
        <v>0</v>
      </c>
      <c r="D189" s="7" t="s">
        <v>878</v>
      </c>
      <c r="E189">
        <v>0</v>
      </c>
      <c r="H189" t="str">
        <f t="shared" si="9"/>
        <v>NNC_TailsThickening_open_Fe</v>
      </c>
      <c r="I189" t="str">
        <f t="shared" si="10"/>
        <v xml:space="preserve">=TailsThickening_open_Fe </v>
      </c>
    </row>
    <row r="190" spans="1:9">
      <c r="A190" s="1" t="s">
        <v>185</v>
      </c>
      <c r="B190" s="1" t="s">
        <v>754</v>
      </c>
      <c r="C190">
        <f>TailsThickening_open_Au</f>
        <v>0</v>
      </c>
      <c r="D190" s="7" t="s">
        <v>878</v>
      </c>
      <c r="E190">
        <v>0</v>
      </c>
      <c r="H190" t="str">
        <f t="shared" si="9"/>
        <v>NNC_TailsThickening_open_Au</v>
      </c>
      <c r="I190" t="str">
        <f t="shared" si="10"/>
        <v xml:space="preserve">=TailsThickening_open_Au </v>
      </c>
    </row>
    <row r="191" spans="1:9">
      <c r="A191" s="1" t="s">
        <v>186</v>
      </c>
      <c r="B191" s="1" t="s">
        <v>755</v>
      </c>
      <c r="C191">
        <f>TailsThickening_open_Ag</f>
        <v>0</v>
      </c>
      <c r="D191" s="7" t="s">
        <v>878</v>
      </c>
      <c r="E191">
        <v>0</v>
      </c>
      <c r="H191" t="str">
        <f t="shared" si="9"/>
        <v>NNC_TailsThickening_open_Ag</v>
      </c>
      <c r="I191" t="str">
        <f t="shared" si="10"/>
        <v xml:space="preserve">=TailsThickening_open_Ag </v>
      </c>
    </row>
    <row r="192" spans="1:9">
      <c r="A192" s="1" t="s">
        <v>187</v>
      </c>
      <c r="B192" s="1" t="s">
        <v>756</v>
      </c>
      <c r="C192">
        <f>TailsThickening_open_S</f>
        <v>0</v>
      </c>
      <c r="D192" s="7" t="s">
        <v>878</v>
      </c>
      <c r="E192">
        <v>0</v>
      </c>
      <c r="H192" t="str">
        <f t="shared" si="9"/>
        <v>NNC_TailsThickening_open_S</v>
      </c>
      <c r="I192" t="str">
        <f t="shared" si="10"/>
        <v xml:space="preserve">=TailsThickening_open_S </v>
      </c>
    </row>
    <row r="193" spans="1:9">
      <c r="A193" s="1" t="s">
        <v>188</v>
      </c>
      <c r="B193" s="1" t="s">
        <v>757</v>
      </c>
      <c r="C193">
        <f>TailsThickening_open_U</f>
        <v>0</v>
      </c>
      <c r="D193" s="7" t="s">
        <v>878</v>
      </c>
      <c r="E193">
        <v>0</v>
      </c>
      <c r="H193" t="str">
        <f t="shared" si="9"/>
        <v>NNC_TailsThickening_open_U</v>
      </c>
      <c r="I193" t="str">
        <f t="shared" si="10"/>
        <v xml:space="preserve">=TailsThickening_open_U </v>
      </c>
    </row>
    <row r="194" spans="1:9">
      <c r="A194" s="1" t="s">
        <v>189</v>
      </c>
      <c r="B194" s="1" t="s">
        <v>758</v>
      </c>
      <c r="C194">
        <f>TailsThickening_open_F</f>
        <v>0</v>
      </c>
      <c r="D194" s="7" t="s">
        <v>878</v>
      </c>
      <c r="E194">
        <v>0</v>
      </c>
      <c r="H194" t="str">
        <f t="shared" si="9"/>
        <v>NNC_TailsThickening_open_F</v>
      </c>
      <c r="I194" t="str">
        <f t="shared" si="10"/>
        <v xml:space="preserve">=TailsThickening_open_F </v>
      </c>
    </row>
    <row r="195" spans="1:9">
      <c r="A195" s="1" t="s">
        <v>190</v>
      </c>
      <c r="B195" s="1" t="s">
        <v>759</v>
      </c>
      <c r="C195">
        <f>CrushedOreStream_Cu</f>
        <v>0</v>
      </c>
      <c r="D195" s="7" t="s">
        <v>878</v>
      </c>
      <c r="E195">
        <v>0</v>
      </c>
      <c r="H195" t="str">
        <f t="shared" si="9"/>
        <v>NNC_CrushedOreStream_Cu</v>
      </c>
      <c r="I195" t="str">
        <f t="shared" si="10"/>
        <v xml:space="preserve">=CrushedOreStream_Cu </v>
      </c>
    </row>
    <row r="196" spans="1:9">
      <c r="A196" s="1" t="s">
        <v>191</v>
      </c>
      <c r="B196" s="1" t="s">
        <v>760</v>
      </c>
      <c r="C196">
        <f>CrushedOreStream_Fe</f>
        <v>0</v>
      </c>
      <c r="D196" s="7" t="s">
        <v>878</v>
      </c>
      <c r="E196">
        <v>0</v>
      </c>
      <c r="H196" t="str">
        <f t="shared" si="9"/>
        <v>NNC_CrushedOreStream_Fe</v>
      </c>
      <c r="I196" t="str">
        <f t="shared" si="10"/>
        <v xml:space="preserve">=CrushedOreStream_Fe </v>
      </c>
    </row>
    <row r="197" spans="1:9">
      <c r="A197" s="1" t="s">
        <v>192</v>
      </c>
      <c r="B197" s="1" t="s">
        <v>761</v>
      </c>
      <c r="C197">
        <f>CrushedOreStream_Au</f>
        <v>0</v>
      </c>
      <c r="D197" s="7" t="s">
        <v>878</v>
      </c>
      <c r="E197">
        <v>0</v>
      </c>
      <c r="H197" t="str">
        <f t="shared" si="9"/>
        <v>NNC_CrushedOreStream_Au</v>
      </c>
      <c r="I197" t="str">
        <f t="shared" si="10"/>
        <v xml:space="preserve">=CrushedOreStream_Au </v>
      </c>
    </row>
    <row r="198" spans="1:9">
      <c r="A198" s="1" t="s">
        <v>193</v>
      </c>
      <c r="B198" s="1" t="s">
        <v>762</v>
      </c>
      <c r="C198">
        <f>CrushedOreStream_Ag</f>
        <v>0</v>
      </c>
      <c r="D198" s="7" t="s">
        <v>878</v>
      </c>
      <c r="E198">
        <v>0</v>
      </c>
      <c r="H198" t="str">
        <f t="shared" si="9"/>
        <v>NNC_CrushedOreStream_Ag</v>
      </c>
      <c r="I198" t="str">
        <f t="shared" si="10"/>
        <v xml:space="preserve">=CrushedOreStream_Ag </v>
      </c>
    </row>
    <row r="199" spans="1:9">
      <c r="A199" s="1" t="s">
        <v>194</v>
      </c>
      <c r="B199" s="1" t="s">
        <v>763</v>
      </c>
      <c r="C199">
        <f>CrushedOreStream_S</f>
        <v>0</v>
      </c>
      <c r="D199" s="7" t="s">
        <v>878</v>
      </c>
      <c r="E199">
        <v>0</v>
      </c>
      <c r="H199" t="str">
        <f t="shared" si="9"/>
        <v>NNC_CrushedOreStream_S</v>
      </c>
      <c r="I199" t="str">
        <f t="shared" si="10"/>
        <v xml:space="preserve">=CrushedOreStream_S </v>
      </c>
    </row>
    <row r="200" spans="1:9">
      <c r="A200" s="1" t="s">
        <v>195</v>
      </c>
      <c r="B200" s="1" t="s">
        <v>764</v>
      </c>
      <c r="C200">
        <f>CrushedOreStream_U</f>
        <v>0</v>
      </c>
      <c r="D200" s="7" t="s">
        <v>878</v>
      </c>
      <c r="E200">
        <v>0</v>
      </c>
      <c r="H200" t="str">
        <f t="shared" si="9"/>
        <v>NNC_CrushedOreStream_U</v>
      </c>
      <c r="I200" t="str">
        <f t="shared" si="10"/>
        <v xml:space="preserve">=CrushedOreStream_U </v>
      </c>
    </row>
    <row r="201" spans="1:9">
      <c r="A201" s="1" t="s">
        <v>196</v>
      </c>
      <c r="B201" s="1" t="s">
        <v>765</v>
      </c>
      <c r="C201">
        <f>CrushedOreStream_F</f>
        <v>0</v>
      </c>
      <c r="D201" s="7" t="s">
        <v>878</v>
      </c>
      <c r="E201">
        <v>0</v>
      </c>
      <c r="H201" t="str">
        <f t="shared" si="9"/>
        <v>NNC_CrushedOreStream_F</v>
      </c>
      <c r="I201" t="str">
        <f t="shared" si="10"/>
        <v xml:space="preserve">=CrushedOreStream_F </v>
      </c>
    </row>
    <row r="202" spans="1:9" ht="22.5">
      <c r="A202" s="1" t="s">
        <v>197</v>
      </c>
      <c r="B202" s="1" t="s">
        <v>766</v>
      </c>
      <c r="C202">
        <f>CCLASStreamConcThickenerFeedStream_Cu</f>
        <v>0</v>
      </c>
      <c r="D202" s="7" t="s">
        <v>878</v>
      </c>
      <c r="E202">
        <v>0</v>
      </c>
      <c r="H202" t="str">
        <f t="shared" si="9"/>
        <v>NNC_CCLASStreamConcThickenerFeedStream_Cu</v>
      </c>
      <c r="I202" t="str">
        <f t="shared" si="10"/>
        <v xml:space="preserve">=CCLASStreamConcThickenerFeedStream_Cu </v>
      </c>
    </row>
    <row r="203" spans="1:9" ht="22.5">
      <c r="A203" s="1" t="s">
        <v>198</v>
      </c>
      <c r="B203" s="1" t="s">
        <v>767</v>
      </c>
      <c r="C203">
        <f>CCLASStreamConcThickenerFeedStream_Fe</f>
        <v>0</v>
      </c>
      <c r="D203" s="7" t="s">
        <v>878</v>
      </c>
      <c r="E203">
        <v>0</v>
      </c>
      <c r="H203" t="str">
        <f t="shared" si="9"/>
        <v>NNC_CCLASStreamConcThickenerFeedStream_Fe</v>
      </c>
      <c r="I203" t="str">
        <f t="shared" si="10"/>
        <v xml:space="preserve">=CCLASStreamConcThickenerFeedStream_Fe </v>
      </c>
    </row>
    <row r="204" spans="1:9" ht="22.5">
      <c r="A204" s="1" t="s">
        <v>199</v>
      </c>
      <c r="B204" s="1" t="s">
        <v>768</v>
      </c>
      <c r="C204">
        <f>CCLASStreamConcThickenerFeedStream_Au</f>
        <v>0</v>
      </c>
      <c r="D204" s="7" t="s">
        <v>878</v>
      </c>
      <c r="E204">
        <v>0</v>
      </c>
      <c r="H204" t="str">
        <f t="shared" ref="H204:H267" si="11">MID(A204,1,FIND(":",A204)-1)</f>
        <v>NNC_CCLASStreamConcThickenerFeedStream_Au</v>
      </c>
      <c r="I204" t="str">
        <f t="shared" ref="I204:I267" si="12">"="&amp;MID(A204,FIND(":(",A204)+2,FIND("&gt;=",A204)-FIND(":(",A204)-2)</f>
        <v xml:space="preserve">=CCLASStreamConcThickenerFeedStream_Au </v>
      </c>
    </row>
    <row r="205" spans="1:9" ht="22.5">
      <c r="A205" s="1" t="s">
        <v>200</v>
      </c>
      <c r="B205" s="1" t="s">
        <v>769</v>
      </c>
      <c r="C205">
        <f>CCLASStreamConcThickenerFeedStream_Ag</f>
        <v>0</v>
      </c>
      <c r="D205" s="7" t="s">
        <v>878</v>
      </c>
      <c r="E205">
        <v>0</v>
      </c>
      <c r="H205" t="str">
        <f t="shared" si="11"/>
        <v>NNC_CCLASStreamConcThickenerFeedStream_Ag</v>
      </c>
      <c r="I205" t="str">
        <f t="shared" si="12"/>
        <v xml:space="preserve">=CCLASStreamConcThickenerFeedStream_Ag </v>
      </c>
    </row>
    <row r="206" spans="1:9" ht="22.5">
      <c r="A206" s="1" t="s">
        <v>201</v>
      </c>
      <c r="B206" s="1" t="s">
        <v>770</v>
      </c>
      <c r="C206">
        <f>CCLASStreamConcThickenerFeedStream_S</f>
        <v>0</v>
      </c>
      <c r="D206" s="7" t="s">
        <v>878</v>
      </c>
      <c r="E206">
        <v>0</v>
      </c>
      <c r="H206" t="str">
        <f t="shared" si="11"/>
        <v>NNC_CCLASStreamConcThickenerFeedStream_S</v>
      </c>
      <c r="I206" t="str">
        <f t="shared" si="12"/>
        <v xml:space="preserve">=CCLASStreamConcThickenerFeedStream_S </v>
      </c>
    </row>
    <row r="207" spans="1:9" ht="22.5">
      <c r="A207" s="1" t="s">
        <v>202</v>
      </c>
      <c r="B207" s="1" t="s">
        <v>771</v>
      </c>
      <c r="C207">
        <f>CCLASStreamConcThickenerFeedStream_U</f>
        <v>0</v>
      </c>
      <c r="D207" s="7" t="s">
        <v>878</v>
      </c>
      <c r="E207">
        <v>0</v>
      </c>
      <c r="H207" t="str">
        <f t="shared" si="11"/>
        <v>NNC_CCLASStreamConcThickenerFeedStream_U</v>
      </c>
      <c r="I207" t="str">
        <f t="shared" si="12"/>
        <v xml:space="preserve">=CCLASStreamConcThickenerFeedStream_U </v>
      </c>
    </row>
    <row r="208" spans="1:9" ht="22.5">
      <c r="A208" s="1" t="s">
        <v>203</v>
      </c>
      <c r="B208" s="1" t="s">
        <v>772</v>
      </c>
      <c r="C208">
        <f>CCLASStreamConcThickenerFeedStream_F</f>
        <v>0</v>
      </c>
      <c r="D208" s="7" t="s">
        <v>878</v>
      </c>
      <c r="E208">
        <v>0</v>
      </c>
      <c r="H208" t="str">
        <f t="shared" si="11"/>
        <v>NNC_CCLASStreamConcThickenerFeedStream_F</v>
      </c>
      <c r="I208" t="str">
        <f t="shared" si="12"/>
        <v xml:space="preserve">=CCLASStreamConcThickenerFeedStream_F </v>
      </c>
    </row>
    <row r="209" spans="1:9" ht="22.5">
      <c r="A209" s="1" t="s">
        <v>204</v>
      </c>
      <c r="B209" s="1" t="s">
        <v>773</v>
      </c>
      <c r="C209">
        <f>CCLASStreamFlotationTailsStream_Cu</f>
        <v>0</v>
      </c>
      <c r="D209" s="7" t="s">
        <v>878</v>
      </c>
      <c r="E209">
        <v>0</v>
      </c>
      <c r="H209" t="str">
        <f t="shared" si="11"/>
        <v>NNC_CCLASStreamFlotationTailsStream_Cu</v>
      </c>
      <c r="I209" t="str">
        <f t="shared" si="12"/>
        <v xml:space="preserve">=CCLASStreamFlotationTailsStream_Cu </v>
      </c>
    </row>
    <row r="210" spans="1:9" ht="22.5">
      <c r="A210" s="1" t="s">
        <v>205</v>
      </c>
      <c r="B210" s="1" t="s">
        <v>774</v>
      </c>
      <c r="C210">
        <f>CCLASStreamFlotationTailsStream_Fe</f>
        <v>0</v>
      </c>
      <c r="D210" s="7" t="s">
        <v>878</v>
      </c>
      <c r="E210">
        <v>0</v>
      </c>
      <c r="H210" t="str">
        <f t="shared" si="11"/>
        <v>NNC_CCLASStreamFlotationTailsStream_Fe</v>
      </c>
      <c r="I210" t="str">
        <f t="shared" si="12"/>
        <v xml:space="preserve">=CCLASStreamFlotationTailsStream_Fe </v>
      </c>
    </row>
    <row r="211" spans="1:9" ht="22.5">
      <c r="A211" s="1" t="s">
        <v>206</v>
      </c>
      <c r="B211" s="1" t="s">
        <v>775</v>
      </c>
      <c r="C211">
        <f>CCLASStreamFlotationTailsStream_Au</f>
        <v>0</v>
      </c>
      <c r="D211" s="7" t="s">
        <v>878</v>
      </c>
      <c r="E211">
        <v>0</v>
      </c>
      <c r="H211" t="str">
        <f t="shared" si="11"/>
        <v>NNC_CCLASStreamFlotationTailsStream_Au</v>
      </c>
      <c r="I211" t="str">
        <f t="shared" si="12"/>
        <v xml:space="preserve">=CCLASStreamFlotationTailsStream_Au </v>
      </c>
    </row>
    <row r="212" spans="1:9" ht="22.5">
      <c r="A212" s="1" t="s">
        <v>207</v>
      </c>
      <c r="B212" s="1" t="s">
        <v>776</v>
      </c>
      <c r="C212">
        <f>CCLASStreamFlotationTailsStream_Ag</f>
        <v>0</v>
      </c>
      <c r="D212" s="7" t="s">
        <v>878</v>
      </c>
      <c r="E212">
        <v>0</v>
      </c>
      <c r="H212" t="str">
        <f t="shared" si="11"/>
        <v>NNC_CCLASStreamFlotationTailsStream_Ag</v>
      </c>
      <c r="I212" t="str">
        <f t="shared" si="12"/>
        <v xml:space="preserve">=CCLASStreamFlotationTailsStream_Ag </v>
      </c>
    </row>
    <row r="213" spans="1:9" ht="22.5">
      <c r="A213" s="1" t="s">
        <v>208</v>
      </c>
      <c r="B213" s="1" t="s">
        <v>777</v>
      </c>
      <c r="C213">
        <f>CCLASStreamFlotationTailsStream_S</f>
        <v>0</v>
      </c>
      <c r="D213" s="7" t="s">
        <v>878</v>
      </c>
      <c r="E213">
        <v>0</v>
      </c>
      <c r="H213" t="str">
        <f t="shared" si="11"/>
        <v>NNC_CCLASStreamFlotationTailsStream_S</v>
      </c>
      <c r="I213" t="str">
        <f t="shared" si="12"/>
        <v xml:space="preserve">=CCLASStreamFlotationTailsStream_S </v>
      </c>
    </row>
    <row r="214" spans="1:9" ht="22.5">
      <c r="A214" s="1" t="s">
        <v>209</v>
      </c>
      <c r="B214" s="1" t="s">
        <v>778</v>
      </c>
      <c r="C214">
        <f>CCLASStreamFlotationTailsStream_U</f>
        <v>0</v>
      </c>
      <c r="D214" s="7" t="s">
        <v>878</v>
      </c>
      <c r="E214">
        <v>0</v>
      </c>
      <c r="H214" t="str">
        <f t="shared" si="11"/>
        <v>NNC_CCLASStreamFlotationTailsStream_U</v>
      </c>
      <c r="I214" t="str">
        <f t="shared" si="12"/>
        <v xml:space="preserve">=CCLASStreamFlotationTailsStream_U </v>
      </c>
    </row>
    <row r="215" spans="1:9" ht="22.5">
      <c r="A215" s="1" t="s">
        <v>210</v>
      </c>
      <c r="B215" s="1" t="s">
        <v>779</v>
      </c>
      <c r="C215">
        <f>CCLASStreamFlotationTailsStream_F</f>
        <v>0</v>
      </c>
      <c r="D215" s="7" t="s">
        <v>878</v>
      </c>
      <c r="E215">
        <v>0</v>
      </c>
      <c r="H215" t="str">
        <f t="shared" si="11"/>
        <v>NNC_CCLASStreamFlotationTailsStream_F</v>
      </c>
      <c r="I215" t="str">
        <f t="shared" si="12"/>
        <v xml:space="preserve">=CCLASStreamFlotationTailsStream_F </v>
      </c>
    </row>
    <row r="216" spans="1:9" ht="22.5">
      <c r="A216" s="1" t="s">
        <v>211</v>
      </c>
      <c r="B216" s="1" t="s">
        <v>780</v>
      </c>
      <c r="C216">
        <f>CCLASStreamRougherFeedStream_Cu</f>
        <v>0</v>
      </c>
      <c r="D216" s="7" t="s">
        <v>878</v>
      </c>
      <c r="E216">
        <v>0</v>
      </c>
      <c r="H216" t="str">
        <f t="shared" si="11"/>
        <v>NNC_CCLASStreamRougherFeedStream_Cu</v>
      </c>
      <c r="I216" t="str">
        <f t="shared" si="12"/>
        <v xml:space="preserve">=CCLASStreamRougherFeedStream_Cu </v>
      </c>
    </row>
    <row r="217" spans="1:9" ht="22.5">
      <c r="A217" s="1" t="s">
        <v>212</v>
      </c>
      <c r="B217" s="1" t="s">
        <v>781</v>
      </c>
      <c r="C217">
        <f>CCLASStreamRougherFeedStream_Fe</f>
        <v>0</v>
      </c>
      <c r="D217" s="7" t="s">
        <v>878</v>
      </c>
      <c r="E217">
        <v>0</v>
      </c>
      <c r="H217" t="str">
        <f t="shared" si="11"/>
        <v>NNC_CCLASStreamRougherFeedStream_Fe</v>
      </c>
      <c r="I217" t="str">
        <f t="shared" si="12"/>
        <v xml:space="preserve">=CCLASStreamRougherFeedStream_Fe </v>
      </c>
    </row>
    <row r="218" spans="1:9" ht="22.5">
      <c r="A218" s="1" t="s">
        <v>213</v>
      </c>
      <c r="B218" s="1" t="s">
        <v>782</v>
      </c>
      <c r="C218">
        <f>CCLASStreamRougherFeedStream_Au</f>
        <v>0</v>
      </c>
      <c r="D218" s="7" t="s">
        <v>878</v>
      </c>
      <c r="E218">
        <v>0</v>
      </c>
      <c r="H218" t="str">
        <f t="shared" si="11"/>
        <v>NNC_CCLASStreamRougherFeedStream_Au</v>
      </c>
      <c r="I218" t="str">
        <f t="shared" si="12"/>
        <v xml:space="preserve">=CCLASStreamRougherFeedStream_Au </v>
      </c>
    </row>
    <row r="219" spans="1:9" ht="22.5">
      <c r="A219" s="1" t="s">
        <v>214</v>
      </c>
      <c r="B219" s="1" t="s">
        <v>783</v>
      </c>
      <c r="C219">
        <f>CCLASStreamRougherFeedStream_Ag</f>
        <v>0</v>
      </c>
      <c r="D219" s="7" t="s">
        <v>878</v>
      </c>
      <c r="E219">
        <v>0</v>
      </c>
      <c r="H219" t="str">
        <f t="shared" si="11"/>
        <v>NNC_CCLASStreamRougherFeedStream_Ag</v>
      </c>
      <c r="I219" t="str">
        <f t="shared" si="12"/>
        <v xml:space="preserve">=CCLASStreamRougherFeedStream_Ag </v>
      </c>
    </row>
    <row r="220" spans="1:9" ht="22.5">
      <c r="A220" s="1" t="s">
        <v>215</v>
      </c>
      <c r="B220" s="1" t="s">
        <v>784</v>
      </c>
      <c r="C220">
        <f>CCLASStreamRougherFeedStream_S</f>
        <v>0</v>
      </c>
      <c r="D220" s="7" t="s">
        <v>878</v>
      </c>
      <c r="E220">
        <v>0</v>
      </c>
      <c r="H220" t="str">
        <f t="shared" si="11"/>
        <v>NNC_CCLASStreamRougherFeedStream_S</v>
      </c>
      <c r="I220" t="str">
        <f t="shared" si="12"/>
        <v xml:space="preserve">=CCLASStreamRougherFeedStream_S </v>
      </c>
    </row>
    <row r="221" spans="1:9" ht="22.5">
      <c r="A221" s="1" t="s">
        <v>216</v>
      </c>
      <c r="B221" s="1" t="s">
        <v>785</v>
      </c>
      <c r="C221">
        <f>CCLASStreamRougherFeedStream_U</f>
        <v>0</v>
      </c>
      <c r="D221" s="7" t="s">
        <v>878</v>
      </c>
      <c r="E221">
        <v>0</v>
      </c>
      <c r="H221" t="str">
        <f t="shared" si="11"/>
        <v>NNC_CCLASStreamRougherFeedStream_U</v>
      </c>
      <c r="I221" t="str">
        <f t="shared" si="12"/>
        <v xml:space="preserve">=CCLASStreamRougherFeedStream_U </v>
      </c>
    </row>
    <row r="222" spans="1:9" ht="22.5">
      <c r="A222" s="1" t="s">
        <v>217</v>
      </c>
      <c r="B222" s="1" t="s">
        <v>786</v>
      </c>
      <c r="C222">
        <f>CCLASStreamRougherFeedStream_F</f>
        <v>0</v>
      </c>
      <c r="D222" s="7" t="s">
        <v>878</v>
      </c>
      <c r="E222">
        <v>0</v>
      </c>
      <c r="H222" t="str">
        <f t="shared" si="11"/>
        <v>NNC_CCLASStreamRougherFeedStream_F</v>
      </c>
      <c r="I222" t="str">
        <f t="shared" si="12"/>
        <v xml:space="preserve">=CCLASStreamRougherFeedStream_F </v>
      </c>
    </row>
    <row r="223" spans="1:9">
      <c r="A223" s="1" t="s">
        <v>218</v>
      </c>
      <c r="B223" s="1" t="s">
        <v>787</v>
      </c>
      <c r="C223">
        <f>ConcStorageTank1FeedStream_Cu</f>
        <v>0</v>
      </c>
      <c r="D223" s="7" t="s">
        <v>878</v>
      </c>
      <c r="E223">
        <v>0</v>
      </c>
      <c r="H223" t="str">
        <f t="shared" si="11"/>
        <v>NNC_ConcStorageTank1FeedStream_Cu</v>
      </c>
      <c r="I223" t="str">
        <f t="shared" si="12"/>
        <v xml:space="preserve">=ConcStorageTank1FeedStream_Cu </v>
      </c>
    </row>
    <row r="224" spans="1:9">
      <c r="A224" s="1" t="s">
        <v>219</v>
      </c>
      <c r="B224" s="1" t="s">
        <v>788</v>
      </c>
      <c r="C224">
        <f>ConcStorageTank1FeedStream_Fe</f>
        <v>0</v>
      </c>
      <c r="D224" s="7" t="s">
        <v>878</v>
      </c>
      <c r="E224">
        <v>0</v>
      </c>
      <c r="H224" t="str">
        <f t="shared" si="11"/>
        <v>NNC_ConcStorageTank1FeedStream_Fe</v>
      </c>
      <c r="I224" t="str">
        <f t="shared" si="12"/>
        <v xml:space="preserve">=ConcStorageTank1FeedStream_Fe </v>
      </c>
    </row>
    <row r="225" spans="1:9">
      <c r="A225" s="1" t="s">
        <v>220</v>
      </c>
      <c r="B225" s="1" t="s">
        <v>789</v>
      </c>
      <c r="C225">
        <f>ConcStorageTank1FeedStream_Au</f>
        <v>0</v>
      </c>
      <c r="D225" s="7" t="s">
        <v>878</v>
      </c>
      <c r="E225">
        <v>0</v>
      </c>
      <c r="H225" t="str">
        <f t="shared" si="11"/>
        <v>NNC_ConcStorageTank1FeedStream_Au</v>
      </c>
      <c r="I225" t="str">
        <f t="shared" si="12"/>
        <v xml:space="preserve">=ConcStorageTank1FeedStream_Au </v>
      </c>
    </row>
    <row r="226" spans="1:9">
      <c r="A226" s="1" t="s">
        <v>221</v>
      </c>
      <c r="B226" s="1" t="s">
        <v>790</v>
      </c>
      <c r="C226">
        <f>ConcStorageTank1FeedStream_Ag</f>
        <v>0</v>
      </c>
      <c r="D226" s="7" t="s">
        <v>878</v>
      </c>
      <c r="E226">
        <v>0</v>
      </c>
      <c r="H226" t="str">
        <f t="shared" si="11"/>
        <v>NNC_ConcStorageTank1FeedStream_Ag</v>
      </c>
      <c r="I226" t="str">
        <f t="shared" si="12"/>
        <v xml:space="preserve">=ConcStorageTank1FeedStream_Ag </v>
      </c>
    </row>
    <row r="227" spans="1:9">
      <c r="A227" s="1" t="s">
        <v>222</v>
      </c>
      <c r="B227" s="1" t="s">
        <v>791</v>
      </c>
      <c r="C227">
        <f>ConcStorageTank1FeedStream_S</f>
        <v>0</v>
      </c>
      <c r="D227" s="7" t="s">
        <v>878</v>
      </c>
      <c r="E227">
        <v>0</v>
      </c>
      <c r="H227" t="str">
        <f t="shared" si="11"/>
        <v>NNC_ConcStorageTank1FeedStream_S</v>
      </c>
      <c r="I227" t="str">
        <f t="shared" si="12"/>
        <v xml:space="preserve">=ConcStorageTank1FeedStream_S </v>
      </c>
    </row>
    <row r="228" spans="1:9">
      <c r="A228" s="1" t="s">
        <v>223</v>
      </c>
      <c r="B228" s="1" t="s">
        <v>792</v>
      </c>
      <c r="C228">
        <f>ConcStorageTank1FeedStream_U</f>
        <v>0</v>
      </c>
      <c r="D228" s="7" t="s">
        <v>878</v>
      </c>
      <c r="E228">
        <v>0</v>
      </c>
      <c r="H228" t="str">
        <f t="shared" si="11"/>
        <v>NNC_ConcStorageTank1FeedStream_U</v>
      </c>
      <c r="I228" t="str">
        <f t="shared" si="12"/>
        <v xml:space="preserve">=ConcStorageTank1FeedStream_U </v>
      </c>
    </row>
    <row r="229" spans="1:9">
      <c r="A229" s="1" t="s">
        <v>224</v>
      </c>
      <c r="B229" s="1" t="s">
        <v>793</v>
      </c>
      <c r="C229">
        <f>ConcStorageTank1FeedStream_F</f>
        <v>0</v>
      </c>
      <c r="D229" s="7" t="s">
        <v>878</v>
      </c>
      <c r="E229">
        <v>0</v>
      </c>
      <c r="H229" t="str">
        <f t="shared" si="11"/>
        <v>NNC_ConcStorageTank1FeedStream_F</v>
      </c>
      <c r="I229" t="str">
        <f t="shared" si="12"/>
        <v xml:space="preserve">=ConcStorageTank1FeedStream_F </v>
      </c>
    </row>
    <row r="230" spans="1:9" ht="22.5">
      <c r="A230" s="1" t="s">
        <v>225</v>
      </c>
      <c r="B230" s="1" t="s">
        <v>794</v>
      </c>
      <c r="C230">
        <f>ConcStorageTank1UnderflowStream_Cu</f>
        <v>0</v>
      </c>
      <c r="D230" s="7" t="s">
        <v>878</v>
      </c>
      <c r="E230">
        <v>0</v>
      </c>
      <c r="H230" t="str">
        <f t="shared" si="11"/>
        <v>NNC_ConcStorageTank1UnderflowStream_Cu</v>
      </c>
      <c r="I230" t="str">
        <f t="shared" si="12"/>
        <v xml:space="preserve">=ConcStorageTank1UnderflowStream_Cu </v>
      </c>
    </row>
    <row r="231" spans="1:9" ht="22.5">
      <c r="A231" s="1" t="s">
        <v>226</v>
      </c>
      <c r="B231" s="1" t="s">
        <v>795</v>
      </c>
      <c r="C231">
        <f>ConcStorageTank1UnderflowStream_Fe</f>
        <v>0</v>
      </c>
      <c r="D231" s="7" t="s">
        <v>878</v>
      </c>
      <c r="E231">
        <v>0</v>
      </c>
      <c r="H231" t="str">
        <f t="shared" si="11"/>
        <v>NNC_ConcStorageTank1UnderflowStream_Fe</v>
      </c>
      <c r="I231" t="str">
        <f t="shared" si="12"/>
        <v xml:space="preserve">=ConcStorageTank1UnderflowStream_Fe </v>
      </c>
    </row>
    <row r="232" spans="1:9" ht="22.5">
      <c r="A232" s="1" t="s">
        <v>227</v>
      </c>
      <c r="B232" s="1" t="s">
        <v>796</v>
      </c>
      <c r="C232">
        <f>ConcStorageTank1UnderflowStream_Au</f>
        <v>0</v>
      </c>
      <c r="D232" s="7" t="s">
        <v>878</v>
      </c>
      <c r="E232">
        <v>0</v>
      </c>
      <c r="H232" t="str">
        <f t="shared" si="11"/>
        <v>NNC_ConcStorageTank1UnderflowStream_Au</v>
      </c>
      <c r="I232" t="str">
        <f t="shared" si="12"/>
        <v xml:space="preserve">=ConcStorageTank1UnderflowStream_Au </v>
      </c>
    </row>
    <row r="233" spans="1:9" ht="22.5">
      <c r="A233" s="1" t="s">
        <v>228</v>
      </c>
      <c r="B233" s="1" t="s">
        <v>797</v>
      </c>
      <c r="C233">
        <f>ConcStorageTank1UnderflowStream_Ag</f>
        <v>0</v>
      </c>
      <c r="D233" s="7" t="s">
        <v>878</v>
      </c>
      <c r="E233">
        <v>0</v>
      </c>
      <c r="H233" t="str">
        <f t="shared" si="11"/>
        <v>NNC_ConcStorageTank1UnderflowStream_Ag</v>
      </c>
      <c r="I233" t="str">
        <f t="shared" si="12"/>
        <v xml:space="preserve">=ConcStorageTank1UnderflowStream_Ag </v>
      </c>
    </row>
    <row r="234" spans="1:9" ht="22.5">
      <c r="A234" s="1" t="s">
        <v>229</v>
      </c>
      <c r="B234" s="1" t="s">
        <v>798</v>
      </c>
      <c r="C234">
        <f>ConcStorageTank1UnderflowStream_S</f>
        <v>0</v>
      </c>
      <c r="D234" s="7" t="s">
        <v>878</v>
      </c>
      <c r="E234">
        <v>0</v>
      </c>
      <c r="H234" t="str">
        <f t="shared" si="11"/>
        <v>NNC_ConcStorageTank1UnderflowStream_S</v>
      </c>
      <c r="I234" t="str">
        <f t="shared" si="12"/>
        <v xml:space="preserve">=ConcStorageTank1UnderflowStream_S </v>
      </c>
    </row>
    <row r="235" spans="1:9" ht="22.5">
      <c r="A235" s="1" t="s">
        <v>230</v>
      </c>
      <c r="B235" s="1" t="s">
        <v>799</v>
      </c>
      <c r="C235">
        <f>ConcStorageTank1UnderflowStream_U</f>
        <v>0</v>
      </c>
      <c r="D235" s="7" t="s">
        <v>878</v>
      </c>
      <c r="E235">
        <v>0</v>
      </c>
      <c r="H235" t="str">
        <f t="shared" si="11"/>
        <v>NNC_ConcStorageTank1UnderflowStream_U</v>
      </c>
      <c r="I235" t="str">
        <f t="shared" si="12"/>
        <v xml:space="preserve">=ConcStorageTank1UnderflowStream_U </v>
      </c>
    </row>
    <row r="236" spans="1:9" ht="22.5">
      <c r="A236" s="1" t="s">
        <v>231</v>
      </c>
      <c r="B236" s="1" t="s">
        <v>800</v>
      </c>
      <c r="C236">
        <f>ConcStorageTank1UnderflowStream_F</f>
        <v>0</v>
      </c>
      <c r="D236" s="7" t="s">
        <v>878</v>
      </c>
      <c r="E236">
        <v>0</v>
      </c>
      <c r="H236" t="str">
        <f t="shared" si="11"/>
        <v>NNC_ConcStorageTank1UnderflowStream_F</v>
      </c>
      <c r="I236" t="str">
        <f t="shared" si="12"/>
        <v xml:space="preserve">=ConcStorageTank1UnderflowStream_F </v>
      </c>
    </row>
    <row r="237" spans="1:9">
      <c r="A237" s="1" t="s">
        <v>232</v>
      </c>
      <c r="B237" s="1" t="s">
        <v>801</v>
      </c>
      <c r="C237">
        <f>ConcStorageTank2FeedStream_Cu</f>
        <v>0</v>
      </c>
      <c r="D237" s="7" t="s">
        <v>878</v>
      </c>
      <c r="E237">
        <v>0</v>
      </c>
      <c r="H237" t="str">
        <f t="shared" si="11"/>
        <v>NNC_ConcStorageTank2FeedStream_Cu</v>
      </c>
      <c r="I237" t="str">
        <f t="shared" si="12"/>
        <v xml:space="preserve">=ConcStorageTank2FeedStream_Cu </v>
      </c>
    </row>
    <row r="238" spans="1:9">
      <c r="A238" s="1" t="s">
        <v>233</v>
      </c>
      <c r="B238" s="1" t="s">
        <v>802</v>
      </c>
      <c r="C238">
        <f>ConcStorageTank2FeedStream_Fe</f>
        <v>0</v>
      </c>
      <c r="D238" s="7" t="s">
        <v>878</v>
      </c>
      <c r="E238">
        <v>0</v>
      </c>
      <c r="H238" t="str">
        <f t="shared" si="11"/>
        <v>NNC_ConcStorageTank2FeedStream_Fe</v>
      </c>
      <c r="I238" t="str">
        <f t="shared" si="12"/>
        <v xml:space="preserve">=ConcStorageTank2FeedStream_Fe </v>
      </c>
    </row>
    <row r="239" spans="1:9">
      <c r="A239" s="1" t="s">
        <v>234</v>
      </c>
      <c r="B239" s="1" t="s">
        <v>803</v>
      </c>
      <c r="C239">
        <f>ConcStorageTank2FeedStream_Au</f>
        <v>0</v>
      </c>
      <c r="D239" s="7" t="s">
        <v>878</v>
      </c>
      <c r="E239">
        <v>0</v>
      </c>
      <c r="H239" t="str">
        <f t="shared" si="11"/>
        <v>NNC_ConcStorageTank2FeedStream_Au</v>
      </c>
      <c r="I239" t="str">
        <f t="shared" si="12"/>
        <v xml:space="preserve">=ConcStorageTank2FeedStream_Au </v>
      </c>
    </row>
    <row r="240" spans="1:9">
      <c r="A240" s="1" t="s">
        <v>235</v>
      </c>
      <c r="B240" s="1" t="s">
        <v>804</v>
      </c>
      <c r="C240">
        <f>ConcStorageTank2FeedStream_Ag</f>
        <v>0</v>
      </c>
      <c r="D240" s="7" t="s">
        <v>878</v>
      </c>
      <c r="E240">
        <v>0</v>
      </c>
      <c r="H240" t="str">
        <f t="shared" si="11"/>
        <v>NNC_ConcStorageTank2FeedStream_Ag</v>
      </c>
      <c r="I240" t="str">
        <f t="shared" si="12"/>
        <v xml:space="preserve">=ConcStorageTank2FeedStream_Ag </v>
      </c>
    </row>
    <row r="241" spans="1:9">
      <c r="A241" s="1" t="s">
        <v>236</v>
      </c>
      <c r="B241" s="1" t="s">
        <v>805</v>
      </c>
      <c r="C241">
        <f>ConcStorageTank2FeedStream_S</f>
        <v>0</v>
      </c>
      <c r="D241" s="7" t="s">
        <v>878</v>
      </c>
      <c r="E241">
        <v>0</v>
      </c>
      <c r="H241" t="str">
        <f t="shared" si="11"/>
        <v>NNC_ConcStorageTank2FeedStream_S</v>
      </c>
      <c r="I241" t="str">
        <f t="shared" si="12"/>
        <v xml:space="preserve">=ConcStorageTank2FeedStream_S </v>
      </c>
    </row>
    <row r="242" spans="1:9">
      <c r="A242" s="1" t="s">
        <v>237</v>
      </c>
      <c r="B242" s="1" t="s">
        <v>806</v>
      </c>
      <c r="C242">
        <f>ConcStorageTank2FeedStream_U</f>
        <v>0</v>
      </c>
      <c r="D242" s="7" t="s">
        <v>878</v>
      </c>
      <c r="E242">
        <v>0</v>
      </c>
      <c r="H242" t="str">
        <f t="shared" si="11"/>
        <v>NNC_ConcStorageTank2FeedStream_U</v>
      </c>
      <c r="I242" t="str">
        <f t="shared" si="12"/>
        <v xml:space="preserve">=ConcStorageTank2FeedStream_U </v>
      </c>
    </row>
    <row r="243" spans="1:9">
      <c r="A243" s="1" t="s">
        <v>238</v>
      </c>
      <c r="B243" s="1" t="s">
        <v>807</v>
      </c>
      <c r="C243">
        <f>ConcStorageTank2FeedStream_F</f>
        <v>0</v>
      </c>
      <c r="D243" s="7" t="s">
        <v>878</v>
      </c>
      <c r="E243">
        <v>0</v>
      </c>
      <c r="H243" t="str">
        <f t="shared" si="11"/>
        <v>NNC_ConcStorageTank2FeedStream_F</v>
      </c>
      <c r="I243" t="str">
        <f t="shared" si="12"/>
        <v xml:space="preserve">=ConcStorageTank2FeedStream_F </v>
      </c>
    </row>
    <row r="244" spans="1:9" ht="22.5">
      <c r="A244" s="1" t="s">
        <v>239</v>
      </c>
      <c r="B244" s="1" t="s">
        <v>808</v>
      </c>
      <c r="C244">
        <f>ConcStorageTank2UnderflowStream_Cu</f>
        <v>0</v>
      </c>
      <c r="D244" s="7" t="s">
        <v>878</v>
      </c>
      <c r="E244">
        <v>0</v>
      </c>
      <c r="H244" t="str">
        <f t="shared" si="11"/>
        <v>NNC_ConcStorageTank2UnderflowStream_Cu</v>
      </c>
      <c r="I244" t="str">
        <f t="shared" si="12"/>
        <v xml:space="preserve">=ConcStorageTank2UnderflowStream_Cu </v>
      </c>
    </row>
    <row r="245" spans="1:9" ht="22.5">
      <c r="A245" s="1" t="s">
        <v>240</v>
      </c>
      <c r="B245" s="1" t="s">
        <v>809</v>
      </c>
      <c r="C245">
        <f>ConcStorageTank2UnderflowStream_Fe</f>
        <v>0</v>
      </c>
      <c r="D245" s="7" t="s">
        <v>878</v>
      </c>
      <c r="E245">
        <v>0</v>
      </c>
      <c r="H245" t="str">
        <f t="shared" si="11"/>
        <v>NNC_ConcStorageTank2UnderflowStream_Fe</v>
      </c>
      <c r="I245" t="str">
        <f t="shared" si="12"/>
        <v xml:space="preserve">=ConcStorageTank2UnderflowStream_Fe </v>
      </c>
    </row>
    <row r="246" spans="1:9" ht="22.5">
      <c r="A246" s="1" t="s">
        <v>241</v>
      </c>
      <c r="B246" s="1" t="s">
        <v>810</v>
      </c>
      <c r="C246">
        <f>ConcStorageTank2UnderflowStream_Au</f>
        <v>0</v>
      </c>
      <c r="D246" s="7" t="s">
        <v>878</v>
      </c>
      <c r="E246">
        <v>0</v>
      </c>
      <c r="H246" t="str">
        <f t="shared" si="11"/>
        <v>NNC_ConcStorageTank2UnderflowStream_Au</v>
      </c>
      <c r="I246" t="str">
        <f t="shared" si="12"/>
        <v xml:space="preserve">=ConcStorageTank2UnderflowStream_Au </v>
      </c>
    </row>
    <row r="247" spans="1:9" ht="22.5">
      <c r="A247" s="1" t="s">
        <v>242</v>
      </c>
      <c r="B247" s="1" t="s">
        <v>811</v>
      </c>
      <c r="C247">
        <f>ConcStorageTank2UnderflowStream_Ag</f>
        <v>0</v>
      </c>
      <c r="D247" s="7" t="s">
        <v>878</v>
      </c>
      <c r="E247">
        <v>0</v>
      </c>
      <c r="H247" t="str">
        <f t="shared" si="11"/>
        <v>NNC_ConcStorageTank2UnderflowStream_Ag</v>
      </c>
      <c r="I247" t="str">
        <f t="shared" si="12"/>
        <v xml:space="preserve">=ConcStorageTank2UnderflowStream_Ag </v>
      </c>
    </row>
    <row r="248" spans="1:9" ht="22.5">
      <c r="A248" s="1" t="s">
        <v>243</v>
      </c>
      <c r="B248" s="1" t="s">
        <v>812</v>
      </c>
      <c r="C248">
        <f>ConcStorageTank2UnderflowStream_S</f>
        <v>0</v>
      </c>
      <c r="D248" s="7" t="s">
        <v>878</v>
      </c>
      <c r="E248">
        <v>0</v>
      </c>
      <c r="H248" t="str">
        <f t="shared" si="11"/>
        <v>NNC_ConcStorageTank2UnderflowStream_S</v>
      </c>
      <c r="I248" t="str">
        <f t="shared" si="12"/>
        <v xml:space="preserve">=ConcStorageTank2UnderflowStream_S </v>
      </c>
    </row>
    <row r="249" spans="1:9" ht="22.5">
      <c r="A249" s="1" t="s">
        <v>244</v>
      </c>
      <c r="B249" s="1" t="s">
        <v>813</v>
      </c>
      <c r="C249">
        <f>ConcStorageTank2UnderflowStream_U</f>
        <v>0</v>
      </c>
      <c r="D249" s="7" t="s">
        <v>878</v>
      </c>
      <c r="E249">
        <v>0</v>
      </c>
      <c r="H249" t="str">
        <f t="shared" si="11"/>
        <v>NNC_ConcStorageTank2UnderflowStream_U</v>
      </c>
      <c r="I249" t="str">
        <f t="shared" si="12"/>
        <v xml:space="preserve">=ConcStorageTank2UnderflowStream_U </v>
      </c>
    </row>
    <row r="250" spans="1:9" ht="22.5">
      <c r="A250" s="1" t="s">
        <v>245</v>
      </c>
      <c r="B250" s="1" t="s">
        <v>814</v>
      </c>
      <c r="C250">
        <f>ConcStorageTank2UnderflowStream_F</f>
        <v>0</v>
      </c>
      <c r="D250" s="7" t="s">
        <v>878</v>
      </c>
      <c r="E250">
        <v>0</v>
      </c>
      <c r="H250" t="str">
        <f t="shared" si="11"/>
        <v>NNC_ConcStorageTank2UnderflowStream_F</v>
      </c>
      <c r="I250" t="str">
        <f t="shared" si="12"/>
        <v xml:space="preserve">=ConcStorageTank2UnderflowStream_F </v>
      </c>
    </row>
    <row r="251" spans="1:9" ht="22.5">
      <c r="A251" s="1" t="s">
        <v>246</v>
      </c>
      <c r="B251" s="1" t="s">
        <v>815</v>
      </c>
      <c r="C251">
        <f>ConcThickenerUnderflowStream_Cu</f>
        <v>0</v>
      </c>
      <c r="D251" s="7" t="s">
        <v>878</v>
      </c>
      <c r="E251">
        <v>0</v>
      </c>
      <c r="H251" t="str">
        <f t="shared" si="11"/>
        <v>NNC_ConcThickenerUnderflowStream_Cu</v>
      </c>
      <c r="I251" t="str">
        <f t="shared" si="12"/>
        <v xml:space="preserve">=ConcThickenerUnderflowStream_Cu </v>
      </c>
    </row>
    <row r="252" spans="1:9" ht="22.5">
      <c r="A252" s="1" t="s">
        <v>247</v>
      </c>
      <c r="B252" s="1" t="s">
        <v>816</v>
      </c>
      <c r="C252">
        <f>ConcThickenerUnderflowStream_Fe</f>
        <v>0</v>
      </c>
      <c r="D252" s="7" t="s">
        <v>878</v>
      </c>
      <c r="E252">
        <v>0</v>
      </c>
      <c r="H252" t="str">
        <f t="shared" si="11"/>
        <v>NNC_ConcThickenerUnderflowStream_Fe</v>
      </c>
      <c r="I252" t="str">
        <f t="shared" si="12"/>
        <v xml:space="preserve">=ConcThickenerUnderflowStream_Fe </v>
      </c>
    </row>
    <row r="253" spans="1:9" ht="22.5">
      <c r="A253" s="1" t="s">
        <v>248</v>
      </c>
      <c r="B253" s="1" t="s">
        <v>817</v>
      </c>
      <c r="C253">
        <f>ConcThickenerUnderflowStream_Au</f>
        <v>0</v>
      </c>
      <c r="D253" s="7" t="s">
        <v>878</v>
      </c>
      <c r="E253">
        <v>0</v>
      </c>
      <c r="H253" t="str">
        <f t="shared" si="11"/>
        <v>NNC_ConcThickenerUnderflowStream_Au</v>
      </c>
      <c r="I253" t="str">
        <f t="shared" si="12"/>
        <v xml:space="preserve">=ConcThickenerUnderflowStream_Au </v>
      </c>
    </row>
    <row r="254" spans="1:9" ht="22.5">
      <c r="A254" s="1" t="s">
        <v>249</v>
      </c>
      <c r="B254" s="1" t="s">
        <v>818</v>
      </c>
      <c r="C254">
        <f>ConcThickenerUnderflowStream_Ag</f>
        <v>0</v>
      </c>
      <c r="D254" s="7" t="s">
        <v>878</v>
      </c>
      <c r="E254">
        <v>0</v>
      </c>
      <c r="H254" t="str">
        <f t="shared" si="11"/>
        <v>NNC_ConcThickenerUnderflowStream_Ag</v>
      </c>
      <c r="I254" t="str">
        <f t="shared" si="12"/>
        <v xml:space="preserve">=ConcThickenerUnderflowStream_Ag </v>
      </c>
    </row>
    <row r="255" spans="1:9">
      <c r="A255" s="1" t="s">
        <v>250</v>
      </c>
      <c r="B255" s="1" t="s">
        <v>819</v>
      </c>
      <c r="C255">
        <f>ConcThickenerUnderflowStream_S</f>
        <v>0</v>
      </c>
      <c r="D255" s="7" t="s">
        <v>878</v>
      </c>
      <c r="E255">
        <v>0</v>
      </c>
      <c r="H255" t="str">
        <f t="shared" si="11"/>
        <v>NNC_ConcThickenerUnderflowStream_S</v>
      </c>
      <c r="I255" t="str">
        <f t="shared" si="12"/>
        <v xml:space="preserve">=ConcThickenerUnderflowStream_S </v>
      </c>
    </row>
    <row r="256" spans="1:9">
      <c r="A256" s="1" t="s">
        <v>251</v>
      </c>
      <c r="B256" s="1" t="s">
        <v>820</v>
      </c>
      <c r="C256">
        <f>ConcThickenerUnderflowStream_U</f>
        <v>0</v>
      </c>
      <c r="D256" s="7" t="s">
        <v>878</v>
      </c>
      <c r="E256">
        <v>0</v>
      </c>
      <c r="H256" t="str">
        <f t="shared" si="11"/>
        <v>NNC_ConcThickenerUnderflowStream_U</v>
      </c>
      <c r="I256" t="str">
        <f t="shared" si="12"/>
        <v xml:space="preserve">=ConcThickenerUnderflowStream_U </v>
      </c>
    </row>
    <row r="257" spans="1:9">
      <c r="A257" s="1" t="s">
        <v>252</v>
      </c>
      <c r="B257" s="1" t="s">
        <v>821</v>
      </c>
      <c r="C257">
        <f>ConcThickenerUnderflowStream_F</f>
        <v>0</v>
      </c>
      <c r="D257" s="7" t="s">
        <v>878</v>
      </c>
      <c r="E257">
        <v>0</v>
      </c>
      <c r="H257" t="str">
        <f t="shared" si="11"/>
        <v>NNC_ConcThickenerUnderflowStream_F</v>
      </c>
      <c r="I257" t="str">
        <f t="shared" si="12"/>
        <v xml:space="preserve">=ConcThickenerUnderflowStream_F </v>
      </c>
    </row>
    <row r="258" spans="1:9" ht="22.5">
      <c r="A258" s="1" t="s">
        <v>253</v>
      </c>
      <c r="B258" s="1" t="s">
        <v>822</v>
      </c>
      <c r="C258">
        <f>OSAStreamConcThickenerFeedStream_Cu</f>
        <v>0</v>
      </c>
      <c r="D258" s="7" t="s">
        <v>878</v>
      </c>
      <c r="E258">
        <v>0</v>
      </c>
      <c r="H258" t="str">
        <f t="shared" si="11"/>
        <v>NNC_OSAStreamConcThickenerFeedStream_Cu</v>
      </c>
      <c r="I258" t="str">
        <f t="shared" si="12"/>
        <v xml:space="preserve">=OSAStreamConcThickenerFeedStream_Cu </v>
      </c>
    </row>
    <row r="259" spans="1:9" ht="22.5">
      <c r="A259" s="1" t="s">
        <v>254</v>
      </c>
      <c r="B259" s="1" t="s">
        <v>823</v>
      </c>
      <c r="C259">
        <f>OSAStreamConcThickenerFeedStream_Fe</f>
        <v>0</v>
      </c>
      <c r="D259" s="7" t="s">
        <v>878</v>
      </c>
      <c r="E259">
        <v>0</v>
      </c>
      <c r="H259" t="str">
        <f t="shared" si="11"/>
        <v>NNC_OSAStreamConcThickenerFeedStream_Fe</v>
      </c>
      <c r="I259" t="str">
        <f t="shared" si="12"/>
        <v xml:space="preserve">=OSAStreamConcThickenerFeedStream_Fe </v>
      </c>
    </row>
    <row r="260" spans="1:9" ht="22.5">
      <c r="A260" s="1" t="s">
        <v>255</v>
      </c>
      <c r="B260" s="1" t="s">
        <v>824</v>
      </c>
      <c r="C260">
        <f>OSAStreamConcThickenerFeedStream_Au</f>
        <v>0</v>
      </c>
      <c r="D260" s="7" t="s">
        <v>878</v>
      </c>
      <c r="E260">
        <v>0</v>
      </c>
      <c r="H260" t="str">
        <f t="shared" si="11"/>
        <v>NNC_OSAStreamConcThickenerFeedStream_Au</v>
      </c>
      <c r="I260" t="str">
        <f t="shared" si="12"/>
        <v xml:space="preserve">=OSAStreamConcThickenerFeedStream_Au </v>
      </c>
    </row>
    <row r="261" spans="1:9" ht="22.5">
      <c r="A261" s="1" t="s">
        <v>256</v>
      </c>
      <c r="B261" s="1" t="s">
        <v>825</v>
      </c>
      <c r="C261">
        <f>OSAStreamConcThickenerFeedStream_Ag</f>
        <v>0</v>
      </c>
      <c r="D261" s="7" t="s">
        <v>878</v>
      </c>
      <c r="E261">
        <v>0</v>
      </c>
      <c r="H261" t="str">
        <f t="shared" si="11"/>
        <v>NNC_OSAStreamConcThickenerFeedStream_Ag</v>
      </c>
      <c r="I261" t="str">
        <f t="shared" si="12"/>
        <v xml:space="preserve">=OSAStreamConcThickenerFeedStream_Ag </v>
      </c>
    </row>
    <row r="262" spans="1:9" ht="22.5">
      <c r="A262" s="1" t="s">
        <v>257</v>
      </c>
      <c r="B262" s="1" t="s">
        <v>826</v>
      </c>
      <c r="C262">
        <f>OSAStreamConcThickenerFeedStream_S</f>
        <v>0</v>
      </c>
      <c r="D262" s="7" t="s">
        <v>878</v>
      </c>
      <c r="E262">
        <v>0</v>
      </c>
      <c r="H262" t="str">
        <f t="shared" si="11"/>
        <v>NNC_OSAStreamConcThickenerFeedStream_S</v>
      </c>
      <c r="I262" t="str">
        <f t="shared" si="12"/>
        <v xml:space="preserve">=OSAStreamConcThickenerFeedStream_S </v>
      </c>
    </row>
    <row r="263" spans="1:9" ht="22.5">
      <c r="A263" s="1" t="s">
        <v>258</v>
      </c>
      <c r="B263" s="1" t="s">
        <v>827</v>
      </c>
      <c r="C263">
        <f>OSAStreamConcThickenerFeedStream_U</f>
        <v>0</v>
      </c>
      <c r="D263" s="7" t="s">
        <v>878</v>
      </c>
      <c r="E263">
        <v>0</v>
      </c>
      <c r="H263" t="str">
        <f t="shared" si="11"/>
        <v>NNC_OSAStreamConcThickenerFeedStream_U</v>
      </c>
      <c r="I263" t="str">
        <f t="shared" si="12"/>
        <v xml:space="preserve">=OSAStreamConcThickenerFeedStream_U </v>
      </c>
    </row>
    <row r="264" spans="1:9" ht="22.5">
      <c r="A264" s="1" t="s">
        <v>259</v>
      </c>
      <c r="B264" s="1" t="s">
        <v>828</v>
      </c>
      <c r="C264">
        <f>OSAStreamConcThickenerFeedStream_F</f>
        <v>0</v>
      </c>
      <c r="D264" s="7" t="s">
        <v>878</v>
      </c>
      <c r="E264">
        <v>0</v>
      </c>
      <c r="H264" t="str">
        <f t="shared" si="11"/>
        <v>NNC_OSAStreamConcThickenerFeedStream_F</v>
      </c>
      <c r="I264" t="str">
        <f t="shared" si="12"/>
        <v xml:space="preserve">=OSAStreamConcThickenerFeedStream_F </v>
      </c>
    </row>
    <row r="265" spans="1:9">
      <c r="A265" s="1" t="s">
        <v>260</v>
      </c>
      <c r="B265" s="1" t="s">
        <v>829</v>
      </c>
      <c r="C265">
        <f>OSAStreamFlotationTailsStream_Cu</f>
        <v>0</v>
      </c>
      <c r="D265" s="7" t="s">
        <v>878</v>
      </c>
      <c r="E265">
        <v>0</v>
      </c>
      <c r="H265" t="str">
        <f t="shared" si="11"/>
        <v>NNC_OSAStreamFlotationTailsStream_Cu</v>
      </c>
      <c r="I265" t="str">
        <f t="shared" si="12"/>
        <v xml:space="preserve">=OSAStreamFlotationTailsStream_Cu </v>
      </c>
    </row>
    <row r="266" spans="1:9">
      <c r="A266" s="1" t="s">
        <v>261</v>
      </c>
      <c r="B266" s="1" t="s">
        <v>830</v>
      </c>
      <c r="C266">
        <f>OSAStreamFlotationTailsStream_Fe</f>
        <v>0</v>
      </c>
      <c r="D266" s="7" t="s">
        <v>878</v>
      </c>
      <c r="E266">
        <v>0</v>
      </c>
      <c r="H266" t="str">
        <f t="shared" si="11"/>
        <v>NNC_OSAStreamFlotationTailsStream_Fe</v>
      </c>
      <c r="I266" t="str">
        <f t="shared" si="12"/>
        <v xml:space="preserve">=OSAStreamFlotationTailsStream_Fe </v>
      </c>
    </row>
    <row r="267" spans="1:9">
      <c r="A267" s="1" t="s">
        <v>262</v>
      </c>
      <c r="B267" s="1" t="s">
        <v>831</v>
      </c>
      <c r="C267">
        <f>OSAStreamFlotationTailsStream_Au</f>
        <v>0</v>
      </c>
      <c r="D267" s="7" t="s">
        <v>878</v>
      </c>
      <c r="E267">
        <v>0</v>
      </c>
      <c r="H267" t="str">
        <f t="shared" si="11"/>
        <v>NNC_OSAStreamFlotationTailsStream_Au</v>
      </c>
      <c r="I267" t="str">
        <f t="shared" si="12"/>
        <v xml:space="preserve">=OSAStreamFlotationTailsStream_Au </v>
      </c>
    </row>
    <row r="268" spans="1:9">
      <c r="A268" s="1" t="s">
        <v>263</v>
      </c>
      <c r="B268" s="1" t="s">
        <v>832</v>
      </c>
      <c r="C268">
        <f>OSAStreamFlotationTailsStream_Ag</f>
        <v>0</v>
      </c>
      <c r="D268" s="7" t="s">
        <v>878</v>
      </c>
      <c r="E268">
        <v>0</v>
      </c>
      <c r="H268" t="str">
        <f t="shared" ref="H268:H313" si="13">MID(A268,1,FIND(":",A268)-1)</f>
        <v>NNC_OSAStreamFlotationTailsStream_Ag</v>
      </c>
      <c r="I268" t="str">
        <f t="shared" ref="I268:I306" si="14">"="&amp;MID(A268,FIND(":(",A268)+2,FIND("&gt;=",A268)-FIND(":(",A268)-2)</f>
        <v xml:space="preserve">=OSAStreamFlotationTailsStream_Ag </v>
      </c>
    </row>
    <row r="269" spans="1:9">
      <c r="A269" s="1" t="s">
        <v>264</v>
      </c>
      <c r="B269" s="1" t="s">
        <v>833</v>
      </c>
      <c r="C269">
        <f>OSAStreamFlotationTailsStream_S</f>
        <v>0</v>
      </c>
      <c r="D269" s="7" t="s">
        <v>878</v>
      </c>
      <c r="E269">
        <v>0</v>
      </c>
      <c r="H269" t="str">
        <f t="shared" si="13"/>
        <v>NNC_OSAStreamFlotationTailsStream_S</v>
      </c>
      <c r="I269" t="str">
        <f t="shared" si="14"/>
        <v xml:space="preserve">=OSAStreamFlotationTailsStream_S </v>
      </c>
    </row>
    <row r="270" spans="1:9">
      <c r="A270" s="1" t="s">
        <v>265</v>
      </c>
      <c r="B270" s="1" t="s">
        <v>834</v>
      </c>
      <c r="C270">
        <f>OSAStreamFlotationTailsStream_U</f>
        <v>0</v>
      </c>
      <c r="D270" s="7" t="s">
        <v>878</v>
      </c>
      <c r="E270">
        <v>0</v>
      </c>
      <c r="H270" t="str">
        <f t="shared" si="13"/>
        <v>NNC_OSAStreamFlotationTailsStream_U</v>
      </c>
      <c r="I270" t="str">
        <f t="shared" si="14"/>
        <v xml:space="preserve">=OSAStreamFlotationTailsStream_U </v>
      </c>
    </row>
    <row r="271" spans="1:9">
      <c r="A271" s="1" t="s">
        <v>266</v>
      </c>
      <c r="B271" s="1" t="s">
        <v>835</v>
      </c>
      <c r="C271">
        <f>OSAStreamFlotationTailsStream_F</f>
        <v>0</v>
      </c>
      <c r="D271" s="7" t="s">
        <v>878</v>
      </c>
      <c r="E271">
        <v>0</v>
      </c>
      <c r="H271" t="str">
        <f t="shared" si="13"/>
        <v>NNC_OSAStreamFlotationTailsStream_F</v>
      </c>
      <c r="I271" t="str">
        <f t="shared" si="14"/>
        <v xml:space="preserve">=OSAStreamFlotationTailsStream_F </v>
      </c>
    </row>
    <row r="272" spans="1:9" ht="22.5">
      <c r="A272" s="1" t="s">
        <v>267</v>
      </c>
      <c r="B272" s="1" t="s">
        <v>836</v>
      </c>
      <c r="C272">
        <f>OSAStreamRougherFeedStream_Cu</f>
        <v>0</v>
      </c>
      <c r="D272" s="7" t="s">
        <v>878</v>
      </c>
      <c r="E272">
        <v>0</v>
      </c>
      <c r="H272" t="str">
        <f t="shared" si="13"/>
        <v>NNC_OSAStreamRougherFeedStream_Cu</v>
      </c>
      <c r="I272" t="str">
        <f t="shared" si="14"/>
        <v xml:space="preserve">=OSAStreamRougherFeedStream_Cu </v>
      </c>
    </row>
    <row r="273" spans="1:9" ht="22.5">
      <c r="A273" s="1" t="s">
        <v>268</v>
      </c>
      <c r="B273" s="1" t="s">
        <v>837</v>
      </c>
      <c r="C273">
        <f>OSAStreamRougherFeedStream_Fe</f>
        <v>0</v>
      </c>
      <c r="D273" s="7" t="s">
        <v>878</v>
      </c>
      <c r="E273">
        <v>0</v>
      </c>
      <c r="H273" t="str">
        <f t="shared" si="13"/>
        <v>NNC_OSAStreamRougherFeedStream_Fe</v>
      </c>
      <c r="I273" t="str">
        <f t="shared" si="14"/>
        <v xml:space="preserve">=OSAStreamRougherFeedStream_Fe </v>
      </c>
    </row>
    <row r="274" spans="1:9" ht="22.5">
      <c r="A274" s="1" t="s">
        <v>269</v>
      </c>
      <c r="B274" s="1" t="s">
        <v>838</v>
      </c>
      <c r="C274">
        <f>OSAStreamRougherFeedStream_Au</f>
        <v>0</v>
      </c>
      <c r="D274" s="7" t="s">
        <v>878</v>
      </c>
      <c r="E274">
        <v>0</v>
      </c>
      <c r="H274" t="str">
        <f t="shared" si="13"/>
        <v>NNC_OSAStreamRougherFeedStream_Au</v>
      </c>
      <c r="I274" t="str">
        <f t="shared" si="14"/>
        <v xml:space="preserve">=OSAStreamRougherFeedStream_Au </v>
      </c>
    </row>
    <row r="275" spans="1:9" ht="22.5">
      <c r="A275" s="1" t="s">
        <v>270</v>
      </c>
      <c r="B275" s="1" t="s">
        <v>839</v>
      </c>
      <c r="C275">
        <f>OSAStreamRougherFeedStream_Ag</f>
        <v>0</v>
      </c>
      <c r="D275" s="7" t="s">
        <v>878</v>
      </c>
      <c r="E275">
        <v>0</v>
      </c>
      <c r="H275" t="str">
        <f t="shared" si="13"/>
        <v>NNC_OSAStreamRougherFeedStream_Ag</v>
      </c>
      <c r="I275" t="str">
        <f t="shared" si="14"/>
        <v xml:space="preserve">=OSAStreamRougherFeedStream_Ag </v>
      </c>
    </row>
    <row r="276" spans="1:9">
      <c r="A276" s="1" t="s">
        <v>271</v>
      </c>
      <c r="B276" s="1" t="s">
        <v>840</v>
      </c>
      <c r="C276">
        <f>OSAStreamRougherFeedStream_S</f>
        <v>0</v>
      </c>
      <c r="D276" s="7" t="s">
        <v>878</v>
      </c>
      <c r="E276">
        <v>0</v>
      </c>
      <c r="H276" t="str">
        <f t="shared" si="13"/>
        <v>NNC_OSAStreamRougherFeedStream_S</v>
      </c>
      <c r="I276" t="str">
        <f t="shared" si="14"/>
        <v xml:space="preserve">=OSAStreamRougherFeedStream_S </v>
      </c>
    </row>
    <row r="277" spans="1:9">
      <c r="A277" s="1" t="s">
        <v>272</v>
      </c>
      <c r="B277" s="1" t="s">
        <v>841</v>
      </c>
      <c r="C277">
        <f>OSAStreamRougherFeedStream_U</f>
        <v>0</v>
      </c>
      <c r="D277" s="7" t="s">
        <v>878</v>
      </c>
      <c r="E277">
        <v>0</v>
      </c>
      <c r="H277" t="str">
        <f t="shared" si="13"/>
        <v>NNC_OSAStreamRougherFeedStream_U</v>
      </c>
      <c r="I277" t="str">
        <f t="shared" si="14"/>
        <v xml:space="preserve">=OSAStreamRougherFeedStream_U </v>
      </c>
    </row>
    <row r="278" spans="1:9">
      <c r="A278" s="1" t="s">
        <v>273</v>
      </c>
      <c r="B278" s="1" t="s">
        <v>842</v>
      </c>
      <c r="C278">
        <f>OSAStreamRougherFeedStream_F</f>
        <v>0</v>
      </c>
      <c r="D278" s="7" t="s">
        <v>878</v>
      </c>
      <c r="E278">
        <v>0</v>
      </c>
      <c r="H278" t="str">
        <f t="shared" si="13"/>
        <v>NNC_OSAStreamRougherFeedStream_F</v>
      </c>
      <c r="I278" t="str">
        <f t="shared" si="14"/>
        <v xml:space="preserve">=OSAStreamRougherFeedStream_F </v>
      </c>
    </row>
    <row r="279" spans="1:9">
      <c r="A279" s="1" t="s">
        <v>274</v>
      </c>
      <c r="B279" s="1" t="s">
        <v>843</v>
      </c>
      <c r="C279">
        <f>PressureFilterFeedStream_Cu</f>
        <v>0</v>
      </c>
      <c r="D279" s="7" t="s">
        <v>878</v>
      </c>
      <c r="E279">
        <v>0</v>
      </c>
      <c r="H279" t="str">
        <f t="shared" si="13"/>
        <v>NNC_PressureFilterFeedStream_Cu</v>
      </c>
      <c r="I279" t="str">
        <f t="shared" si="14"/>
        <v xml:space="preserve">=PressureFilterFeedStream_Cu </v>
      </c>
    </row>
    <row r="280" spans="1:9">
      <c r="A280" s="1" t="s">
        <v>275</v>
      </c>
      <c r="B280" s="1" t="s">
        <v>844</v>
      </c>
      <c r="C280">
        <f>PressureFilterFeedStream_Fe</f>
        <v>0</v>
      </c>
      <c r="D280" s="7" t="s">
        <v>878</v>
      </c>
      <c r="E280">
        <v>0</v>
      </c>
      <c r="H280" t="str">
        <f t="shared" si="13"/>
        <v>NNC_PressureFilterFeedStream_Fe</v>
      </c>
      <c r="I280" t="str">
        <f t="shared" si="14"/>
        <v xml:space="preserve">=PressureFilterFeedStream_Fe </v>
      </c>
    </row>
    <row r="281" spans="1:9">
      <c r="A281" s="1" t="s">
        <v>276</v>
      </c>
      <c r="B281" s="1" t="s">
        <v>845</v>
      </c>
      <c r="C281">
        <f>PressureFilterFeedStream_Au</f>
        <v>0</v>
      </c>
      <c r="D281" s="7" t="s">
        <v>878</v>
      </c>
      <c r="E281">
        <v>0</v>
      </c>
      <c r="H281" t="str">
        <f t="shared" si="13"/>
        <v>NNC_PressureFilterFeedStream_Au</v>
      </c>
      <c r="I281" t="str">
        <f t="shared" si="14"/>
        <v xml:space="preserve">=PressureFilterFeedStream_Au </v>
      </c>
    </row>
    <row r="282" spans="1:9">
      <c r="A282" s="1" t="s">
        <v>277</v>
      </c>
      <c r="B282" s="1" t="s">
        <v>846</v>
      </c>
      <c r="C282">
        <f>PressureFilterFeedStream_Ag</f>
        <v>0</v>
      </c>
      <c r="D282" s="7" t="s">
        <v>878</v>
      </c>
      <c r="E282">
        <v>0</v>
      </c>
      <c r="H282" t="str">
        <f t="shared" si="13"/>
        <v>NNC_PressureFilterFeedStream_Ag</v>
      </c>
      <c r="I282" t="str">
        <f t="shared" si="14"/>
        <v xml:space="preserve">=PressureFilterFeedStream_Ag </v>
      </c>
    </row>
    <row r="283" spans="1:9">
      <c r="A283" s="1" t="s">
        <v>278</v>
      </c>
      <c r="B283" s="1" t="s">
        <v>847</v>
      </c>
      <c r="C283">
        <f>PressureFilterFeedStream_S</f>
        <v>0</v>
      </c>
      <c r="D283" s="7" t="s">
        <v>878</v>
      </c>
      <c r="E283">
        <v>0</v>
      </c>
      <c r="H283" t="str">
        <f t="shared" si="13"/>
        <v>NNC_PressureFilterFeedStream_S</v>
      </c>
      <c r="I283" t="str">
        <f t="shared" si="14"/>
        <v xml:space="preserve">=PressureFilterFeedStream_S </v>
      </c>
    </row>
    <row r="284" spans="1:9">
      <c r="A284" s="1" t="s">
        <v>279</v>
      </c>
      <c r="B284" s="1" t="s">
        <v>848</v>
      </c>
      <c r="C284">
        <f>PressureFilterFeedStream_U</f>
        <v>0</v>
      </c>
      <c r="D284" s="7" t="s">
        <v>878</v>
      </c>
      <c r="E284">
        <v>0</v>
      </c>
      <c r="H284" t="str">
        <f t="shared" si="13"/>
        <v>NNC_PressureFilterFeedStream_U</v>
      </c>
      <c r="I284" t="str">
        <f t="shared" si="14"/>
        <v xml:space="preserve">=PressureFilterFeedStream_U </v>
      </c>
    </row>
    <row r="285" spans="1:9">
      <c r="A285" s="1" t="s">
        <v>280</v>
      </c>
      <c r="B285" s="1" t="s">
        <v>849</v>
      </c>
      <c r="C285">
        <f>PressureFilterFeedStream_F</f>
        <v>0</v>
      </c>
      <c r="D285" s="7" t="s">
        <v>878</v>
      </c>
      <c r="E285">
        <v>0</v>
      </c>
      <c r="H285" t="str">
        <f t="shared" si="13"/>
        <v>NNC_PressureFilterFeedStream_F</v>
      </c>
      <c r="I285" t="str">
        <f t="shared" si="14"/>
        <v xml:space="preserve">=PressureFilterFeedStream_F </v>
      </c>
    </row>
    <row r="286" spans="1:9">
      <c r="A286" s="1" t="s">
        <v>281</v>
      </c>
      <c r="B286" s="1" t="s">
        <v>850</v>
      </c>
      <c r="C286">
        <f>PressureFilterUnderflowStream_Cu</f>
        <v>0</v>
      </c>
      <c r="D286" s="7" t="s">
        <v>878</v>
      </c>
      <c r="E286">
        <v>0</v>
      </c>
      <c r="H286" t="str">
        <f t="shared" si="13"/>
        <v>NNC_PressureFilterUnderflowStream_Cu</v>
      </c>
      <c r="I286" t="str">
        <f t="shared" si="14"/>
        <v xml:space="preserve">=PressureFilterUnderflowStream_Cu </v>
      </c>
    </row>
    <row r="287" spans="1:9">
      <c r="A287" s="1" t="s">
        <v>282</v>
      </c>
      <c r="B287" s="1" t="s">
        <v>851</v>
      </c>
      <c r="C287">
        <f>PressureFilterUnderflowStream_Fe</f>
        <v>0</v>
      </c>
      <c r="D287" s="7" t="s">
        <v>878</v>
      </c>
      <c r="E287">
        <v>0</v>
      </c>
      <c r="H287" t="str">
        <f t="shared" si="13"/>
        <v>NNC_PressureFilterUnderflowStream_Fe</v>
      </c>
      <c r="I287" t="str">
        <f t="shared" si="14"/>
        <v xml:space="preserve">=PressureFilterUnderflowStream_Fe </v>
      </c>
    </row>
    <row r="288" spans="1:9">
      <c r="A288" s="1" t="s">
        <v>283</v>
      </c>
      <c r="B288" s="1" t="s">
        <v>852</v>
      </c>
      <c r="C288">
        <f>PressureFilterUnderflowStream_Au</f>
        <v>0</v>
      </c>
      <c r="D288" s="7" t="s">
        <v>878</v>
      </c>
      <c r="E288">
        <v>0</v>
      </c>
      <c r="H288" t="str">
        <f t="shared" si="13"/>
        <v>NNC_PressureFilterUnderflowStream_Au</v>
      </c>
      <c r="I288" t="str">
        <f t="shared" si="14"/>
        <v xml:space="preserve">=PressureFilterUnderflowStream_Au </v>
      </c>
    </row>
    <row r="289" spans="1:9">
      <c r="A289" s="1" t="s">
        <v>284</v>
      </c>
      <c r="B289" s="1" t="s">
        <v>853</v>
      </c>
      <c r="C289">
        <f>PressureFilterUnderflowStream_Ag</f>
        <v>0</v>
      </c>
      <c r="D289" s="7" t="s">
        <v>878</v>
      </c>
      <c r="E289">
        <v>0</v>
      </c>
      <c r="H289" t="str">
        <f t="shared" si="13"/>
        <v>NNC_PressureFilterUnderflowStream_Ag</v>
      </c>
      <c r="I289" t="str">
        <f t="shared" si="14"/>
        <v xml:space="preserve">=PressureFilterUnderflowStream_Ag </v>
      </c>
    </row>
    <row r="290" spans="1:9">
      <c r="A290" s="1" t="s">
        <v>285</v>
      </c>
      <c r="B290" s="1" t="s">
        <v>854</v>
      </c>
      <c r="C290">
        <f>PressureFilterUnderflowStream_S</f>
        <v>0</v>
      </c>
      <c r="D290" s="7" t="s">
        <v>878</v>
      </c>
      <c r="E290">
        <v>0</v>
      </c>
      <c r="H290" t="str">
        <f t="shared" si="13"/>
        <v>NNC_PressureFilterUnderflowStream_S</v>
      </c>
      <c r="I290" t="str">
        <f t="shared" si="14"/>
        <v xml:space="preserve">=PressureFilterUnderflowStream_S </v>
      </c>
    </row>
    <row r="291" spans="1:9">
      <c r="A291" s="1" t="s">
        <v>286</v>
      </c>
      <c r="B291" s="1" t="s">
        <v>855</v>
      </c>
      <c r="C291">
        <f>PressureFilterUnderflowStream_U</f>
        <v>0</v>
      </c>
      <c r="D291" s="7" t="s">
        <v>878</v>
      </c>
      <c r="E291">
        <v>0</v>
      </c>
      <c r="H291" t="str">
        <f t="shared" si="13"/>
        <v>NNC_PressureFilterUnderflowStream_U</v>
      </c>
      <c r="I291" t="str">
        <f t="shared" si="14"/>
        <v xml:space="preserve">=PressureFilterUnderflowStream_U </v>
      </c>
    </row>
    <row r="292" spans="1:9">
      <c r="A292" s="1" t="s">
        <v>287</v>
      </c>
      <c r="B292" s="1" t="s">
        <v>856</v>
      </c>
      <c r="C292">
        <f>PressureFilterUnderflowStream_F</f>
        <v>0</v>
      </c>
      <c r="D292" s="7" t="s">
        <v>878</v>
      </c>
      <c r="E292">
        <v>0</v>
      </c>
      <c r="H292" t="str">
        <f t="shared" si="13"/>
        <v>NNC_PressureFilterUnderflowStream_F</v>
      </c>
      <c r="I292" t="str">
        <f t="shared" si="14"/>
        <v xml:space="preserve">=PressureFilterUnderflowStream_F </v>
      </c>
    </row>
    <row r="293" spans="1:9">
      <c r="A293" s="1" t="s">
        <v>288</v>
      </c>
      <c r="B293" s="1" t="s">
        <v>857</v>
      </c>
      <c r="C293">
        <f>SAGMillFeedStream_Cu</f>
        <v>0</v>
      </c>
      <c r="D293" s="7" t="s">
        <v>878</v>
      </c>
      <c r="E293">
        <v>0</v>
      </c>
      <c r="H293" t="str">
        <f t="shared" si="13"/>
        <v>NNC_SAGMillFeedStream_Cu</v>
      </c>
      <c r="I293" t="str">
        <f t="shared" si="14"/>
        <v xml:space="preserve">=SAGMillFeedStream_Cu </v>
      </c>
    </row>
    <row r="294" spans="1:9">
      <c r="A294" s="1" t="s">
        <v>289</v>
      </c>
      <c r="B294" s="1" t="s">
        <v>858</v>
      </c>
      <c r="C294">
        <f>SAGMillFeedStream_Fe</f>
        <v>0</v>
      </c>
      <c r="D294" s="7" t="s">
        <v>878</v>
      </c>
      <c r="E294">
        <v>0</v>
      </c>
      <c r="H294" t="str">
        <f t="shared" si="13"/>
        <v>NNC_SAGMillFeedStream_Fe</v>
      </c>
      <c r="I294" t="str">
        <f t="shared" si="14"/>
        <v xml:space="preserve">=SAGMillFeedStream_Fe </v>
      </c>
    </row>
    <row r="295" spans="1:9">
      <c r="A295" s="1" t="s">
        <v>290</v>
      </c>
      <c r="B295" s="1" t="s">
        <v>859</v>
      </c>
      <c r="C295">
        <f>SAGMillFeedStream_Au</f>
        <v>0</v>
      </c>
      <c r="D295" s="7" t="s">
        <v>878</v>
      </c>
      <c r="E295">
        <v>0</v>
      </c>
      <c r="H295" t="str">
        <f t="shared" si="13"/>
        <v>NNC_SAGMillFeedStream_Au</v>
      </c>
      <c r="I295" t="str">
        <f t="shared" si="14"/>
        <v xml:space="preserve">=SAGMillFeedStream_Au </v>
      </c>
    </row>
    <row r="296" spans="1:9">
      <c r="A296" s="1" t="s">
        <v>291</v>
      </c>
      <c r="B296" s="1" t="s">
        <v>860</v>
      </c>
      <c r="C296">
        <f>SAGMillFeedStream_Ag</f>
        <v>0</v>
      </c>
      <c r="D296" s="7" t="s">
        <v>878</v>
      </c>
      <c r="E296">
        <v>0</v>
      </c>
      <c r="H296" t="str">
        <f t="shared" si="13"/>
        <v>NNC_SAGMillFeedStream_Ag</v>
      </c>
      <c r="I296" t="str">
        <f t="shared" si="14"/>
        <v xml:space="preserve">=SAGMillFeedStream_Ag </v>
      </c>
    </row>
    <row r="297" spans="1:9">
      <c r="A297" s="1" t="s">
        <v>292</v>
      </c>
      <c r="B297" s="1" t="s">
        <v>861</v>
      </c>
      <c r="C297">
        <f>SAGMillFeedStream_S</f>
        <v>0</v>
      </c>
      <c r="D297" s="7" t="s">
        <v>878</v>
      </c>
      <c r="E297">
        <v>0</v>
      </c>
      <c r="H297" t="str">
        <f t="shared" si="13"/>
        <v>NNC_SAGMillFeedStream_S</v>
      </c>
      <c r="I297" t="str">
        <f t="shared" si="14"/>
        <v xml:space="preserve">=SAGMillFeedStream_S </v>
      </c>
    </row>
    <row r="298" spans="1:9">
      <c r="A298" s="1" t="s">
        <v>293</v>
      </c>
      <c r="B298" s="1" t="s">
        <v>862</v>
      </c>
      <c r="C298">
        <f>SAGMillFeedStream_U</f>
        <v>0</v>
      </c>
      <c r="D298" s="7" t="s">
        <v>878</v>
      </c>
      <c r="E298">
        <v>0</v>
      </c>
      <c r="H298" t="str">
        <f t="shared" si="13"/>
        <v>NNC_SAGMillFeedStream_U</v>
      </c>
      <c r="I298" t="str">
        <f t="shared" si="14"/>
        <v xml:space="preserve">=SAGMillFeedStream_U </v>
      </c>
    </row>
    <row r="299" spans="1:9">
      <c r="A299" s="1" t="s">
        <v>294</v>
      </c>
      <c r="B299" s="1" t="s">
        <v>863</v>
      </c>
      <c r="C299">
        <f>SAGMillFeedStream_F</f>
        <v>0</v>
      </c>
      <c r="D299" s="7" t="s">
        <v>878</v>
      </c>
      <c r="E299">
        <v>0</v>
      </c>
      <c r="H299" t="str">
        <f t="shared" si="13"/>
        <v>NNC_SAGMillFeedStream_F</v>
      </c>
      <c r="I299" t="str">
        <f t="shared" si="14"/>
        <v xml:space="preserve">=SAGMillFeedStream_F </v>
      </c>
    </row>
    <row r="300" spans="1:9">
      <c r="A300" s="1" t="s">
        <v>295</v>
      </c>
      <c r="B300" s="1" t="s">
        <v>864</v>
      </c>
      <c r="C300">
        <f>SpillageReturnStream_Cu</f>
        <v>0</v>
      </c>
      <c r="D300" s="7" t="s">
        <v>878</v>
      </c>
      <c r="E300">
        <v>0</v>
      </c>
      <c r="H300" t="str">
        <f t="shared" si="13"/>
        <v>NNC_SpillageReturnStream_Cu</v>
      </c>
      <c r="I300" t="str">
        <f t="shared" si="14"/>
        <v xml:space="preserve">=SpillageReturnStream_Cu </v>
      </c>
    </row>
    <row r="301" spans="1:9">
      <c r="A301" s="1" t="s">
        <v>296</v>
      </c>
      <c r="B301" s="1" t="s">
        <v>865</v>
      </c>
      <c r="C301">
        <f>SpillageReturnStream_Fe</f>
        <v>0</v>
      </c>
      <c r="D301" s="7" t="s">
        <v>878</v>
      </c>
      <c r="E301">
        <v>0</v>
      </c>
      <c r="H301" t="str">
        <f t="shared" si="13"/>
        <v>NNC_SpillageReturnStream_Fe</v>
      </c>
      <c r="I301" t="str">
        <f t="shared" si="14"/>
        <v xml:space="preserve">=SpillageReturnStream_Fe </v>
      </c>
    </row>
    <row r="302" spans="1:9">
      <c r="A302" s="1" t="s">
        <v>297</v>
      </c>
      <c r="B302" s="1" t="s">
        <v>866</v>
      </c>
      <c r="C302">
        <f>SpillageReturnStream_Au</f>
        <v>0</v>
      </c>
      <c r="D302" s="7" t="s">
        <v>878</v>
      </c>
      <c r="E302">
        <v>0</v>
      </c>
      <c r="H302" t="str">
        <f t="shared" si="13"/>
        <v>NNC_SpillageReturnStream_Au</v>
      </c>
      <c r="I302" t="str">
        <f t="shared" si="14"/>
        <v xml:space="preserve">=SpillageReturnStream_Au </v>
      </c>
    </row>
    <row r="303" spans="1:9">
      <c r="A303" s="1" t="s">
        <v>298</v>
      </c>
      <c r="B303" s="1" t="s">
        <v>867</v>
      </c>
      <c r="C303">
        <f>SpillageReturnStream_Ag</f>
        <v>0</v>
      </c>
      <c r="D303" s="7" t="s">
        <v>878</v>
      </c>
      <c r="E303">
        <v>0</v>
      </c>
      <c r="H303" t="str">
        <f t="shared" si="13"/>
        <v>NNC_SpillageReturnStream_Ag</v>
      </c>
      <c r="I303" t="str">
        <f t="shared" si="14"/>
        <v xml:space="preserve">=SpillageReturnStream_Ag </v>
      </c>
    </row>
    <row r="304" spans="1:9">
      <c r="A304" s="1" t="s">
        <v>299</v>
      </c>
      <c r="B304" s="1" t="s">
        <v>868</v>
      </c>
      <c r="C304">
        <f>SpillageReturnStream_S</f>
        <v>0</v>
      </c>
      <c r="D304" s="7" t="s">
        <v>878</v>
      </c>
      <c r="E304">
        <v>0</v>
      </c>
      <c r="H304" t="str">
        <f t="shared" si="13"/>
        <v>NNC_SpillageReturnStream_S</v>
      </c>
      <c r="I304" t="str">
        <f t="shared" si="14"/>
        <v xml:space="preserve">=SpillageReturnStream_S </v>
      </c>
    </row>
    <row r="305" spans="1:10">
      <c r="A305" s="1" t="s">
        <v>300</v>
      </c>
      <c r="B305" s="1" t="s">
        <v>869</v>
      </c>
      <c r="C305">
        <f>SpillageReturnStream_U</f>
        <v>0</v>
      </c>
      <c r="D305" s="7" t="s">
        <v>878</v>
      </c>
      <c r="E305">
        <v>0</v>
      </c>
      <c r="H305" t="str">
        <f t="shared" si="13"/>
        <v>NNC_SpillageReturnStream_U</v>
      </c>
      <c r="I305" t="str">
        <f t="shared" si="14"/>
        <v xml:space="preserve">=SpillageReturnStream_U </v>
      </c>
    </row>
    <row r="306" spans="1:10">
      <c r="A306" s="1" t="s">
        <v>301</v>
      </c>
      <c r="B306" s="1" t="s">
        <v>870</v>
      </c>
      <c r="C306">
        <f>SpillageReturnStream_F</f>
        <v>0</v>
      </c>
      <c r="D306" s="7" t="s">
        <v>878</v>
      </c>
      <c r="E306">
        <v>0</v>
      </c>
      <c r="H306" t="str">
        <f t="shared" si="13"/>
        <v>NNC_SpillageReturnStream_F</v>
      </c>
      <c r="I306" t="str">
        <f t="shared" si="14"/>
        <v xml:space="preserve">=SpillageReturnStream_F </v>
      </c>
    </row>
    <row r="307" spans="1:10">
      <c r="A307" s="1" t="s">
        <v>302</v>
      </c>
      <c r="B307" s="1" t="s">
        <v>871</v>
      </c>
      <c r="C307">
        <f>TailsThickenerUnderflowStream_Cu</f>
        <v>0</v>
      </c>
      <c r="D307" s="7" t="s">
        <v>878</v>
      </c>
      <c r="E307">
        <v>0</v>
      </c>
      <c r="H307" t="str">
        <f t="shared" si="13"/>
        <v>NNC_TailsThickenerUnderflowStream_Cu</v>
      </c>
      <c r="I307" t="str">
        <f t="shared" ref="I307:I313" si="15">"="&amp;MID(A307,FIND(":(",A307)+2,FIND("&gt;=",A307)-FIND(":(",A307)-2)</f>
        <v xml:space="preserve">=TailsThickenerUnderflowStream_Cu </v>
      </c>
    </row>
    <row r="308" spans="1:10">
      <c r="A308" s="1" t="s">
        <v>303</v>
      </c>
      <c r="B308" s="1" t="s">
        <v>872</v>
      </c>
      <c r="C308">
        <f>TailsThickenerUnderflowStream_Fe</f>
        <v>0</v>
      </c>
      <c r="D308" s="7" t="s">
        <v>878</v>
      </c>
      <c r="E308">
        <v>0</v>
      </c>
      <c r="H308" t="str">
        <f t="shared" si="13"/>
        <v>NNC_TailsThickenerUnderflowStream_Fe</v>
      </c>
      <c r="I308" t="str">
        <f t="shared" si="15"/>
        <v xml:space="preserve">=TailsThickenerUnderflowStream_Fe </v>
      </c>
    </row>
    <row r="309" spans="1:10" ht="22.5">
      <c r="A309" s="1" t="s">
        <v>304</v>
      </c>
      <c r="B309" s="1" t="s">
        <v>873</v>
      </c>
      <c r="C309">
        <f>TailsThickenerUnderflowStream_Au</f>
        <v>0</v>
      </c>
      <c r="D309" s="7" t="s">
        <v>878</v>
      </c>
      <c r="E309">
        <v>0</v>
      </c>
      <c r="H309" t="str">
        <f t="shared" si="13"/>
        <v>NNC_TailsThickenerUnderflowStream_Au</v>
      </c>
      <c r="I309" t="str">
        <f t="shared" si="15"/>
        <v xml:space="preserve">=TailsThickenerUnderflowStream_Au </v>
      </c>
    </row>
    <row r="310" spans="1:10" ht="22.5">
      <c r="A310" s="1" t="s">
        <v>305</v>
      </c>
      <c r="B310" s="1" t="s">
        <v>874</v>
      </c>
      <c r="C310">
        <f>TailsThickenerUnderflowStream_Ag</f>
        <v>0</v>
      </c>
      <c r="D310" s="7" t="s">
        <v>878</v>
      </c>
      <c r="E310">
        <v>0</v>
      </c>
      <c r="H310" t="str">
        <f t="shared" si="13"/>
        <v>NNC_TailsThickenerUnderflowStream_Ag</v>
      </c>
      <c r="I310" t="str">
        <f t="shared" si="15"/>
        <v xml:space="preserve">=TailsThickenerUnderflowStream_Ag </v>
      </c>
    </row>
    <row r="311" spans="1:10">
      <c r="A311" s="1" t="s">
        <v>306</v>
      </c>
      <c r="B311" s="1" t="s">
        <v>875</v>
      </c>
      <c r="C311">
        <f>TailsThickenerUnderflowStream_S</f>
        <v>0</v>
      </c>
      <c r="D311" s="7" t="s">
        <v>878</v>
      </c>
      <c r="E311">
        <v>0</v>
      </c>
      <c r="H311" t="str">
        <f t="shared" si="13"/>
        <v>NNC_TailsThickenerUnderflowStream_S</v>
      </c>
      <c r="I311" t="str">
        <f t="shared" si="15"/>
        <v xml:space="preserve">=TailsThickenerUnderflowStream_S </v>
      </c>
    </row>
    <row r="312" spans="1:10">
      <c r="A312" s="1" t="s">
        <v>307</v>
      </c>
      <c r="B312" s="1" t="s">
        <v>876</v>
      </c>
      <c r="C312">
        <f>TailsThickenerUnderflowStream_U</f>
        <v>0</v>
      </c>
      <c r="D312" s="7" t="s">
        <v>878</v>
      </c>
      <c r="E312">
        <v>0</v>
      </c>
      <c r="H312" t="str">
        <f t="shared" si="13"/>
        <v>NNC_TailsThickenerUnderflowStream_U</v>
      </c>
      <c r="I312" t="str">
        <f t="shared" si="15"/>
        <v xml:space="preserve">=TailsThickenerUnderflowStream_U </v>
      </c>
    </row>
    <row r="313" spans="1:10">
      <c r="A313" s="1" t="s">
        <v>308</v>
      </c>
      <c r="B313" s="1" t="s">
        <v>877</v>
      </c>
      <c r="C313">
        <f>TailsThickenerUnderflowStream_F</f>
        <v>0</v>
      </c>
      <c r="D313" s="7" t="s">
        <v>878</v>
      </c>
      <c r="E313">
        <v>0</v>
      </c>
      <c r="H313" t="str">
        <f t="shared" si="13"/>
        <v>NNC_TailsThickenerUnderflowStream_F</v>
      </c>
      <c r="I313" t="str">
        <f t="shared" si="15"/>
        <v xml:space="preserve">=TailsThickenerUnderflowStream_F </v>
      </c>
    </row>
    <row r="314" spans="1:10">
      <c r="A314" s="1"/>
      <c r="B314" s="1"/>
    </row>
    <row r="315" spans="1:10" s="4" customFormat="1">
      <c r="A315" s="3" t="s">
        <v>309</v>
      </c>
      <c r="B315" s="3" t="s">
        <v>699</v>
      </c>
      <c r="C315" s="4" t="s">
        <v>503</v>
      </c>
      <c r="D315" s="4" t="s">
        <v>504</v>
      </c>
      <c r="E315" s="4" t="s">
        <v>505</v>
      </c>
      <c r="F315" s="4" t="s">
        <v>506</v>
      </c>
    </row>
    <row r="316" spans="1:10">
      <c r="A316" s="1" t="s">
        <v>310</v>
      </c>
      <c r="B316" s="1" t="s">
        <v>507</v>
      </c>
      <c r="C316">
        <f t="array" ref="C316">D316:F316</f>
        <v>0</v>
      </c>
      <c r="E316" s="5">
        <v>1200000000</v>
      </c>
      <c r="F316" s="6">
        <v>0</v>
      </c>
      <c r="G316" s="6"/>
      <c r="H316" t="str">
        <f>MID(A316,FIND("(",A316)+1,50)</f>
        <v>0, 1200000000);</v>
      </c>
      <c r="I316" t="str">
        <f>MID(H316,1,FIND(",",H316)-1)</f>
        <v>0</v>
      </c>
      <c r="J316" t="str">
        <f>MID(H316,FIND(",",H316)+1,LEN(H316)-FIND(",",H316)-2)</f>
        <v xml:space="preserve"> 1200000000</v>
      </c>
    </row>
    <row r="317" spans="1:10">
      <c r="A317" s="1" t="s">
        <v>311</v>
      </c>
      <c r="B317" s="1" t="s">
        <v>508</v>
      </c>
      <c r="C317">
        <f t="array" ref="C317">D317:F317</f>
        <v>0</v>
      </c>
      <c r="E317" s="5">
        <v>100000000</v>
      </c>
      <c r="F317" s="6">
        <v>0</v>
      </c>
      <c r="G317" s="6"/>
      <c r="H317" t="str">
        <f t="shared" ref="H317:H380" si="16">MID(A317,FIND("(",A317)+1,50)</f>
        <v>0, 100000000);</v>
      </c>
      <c r="I317" t="str">
        <f t="shared" ref="I317:I380" si="17">MID(H317,1,FIND(",",H317)-1)</f>
        <v>0</v>
      </c>
      <c r="J317" t="str">
        <f t="shared" ref="J317:J380" si="18">MID(H317,FIND(",",H317)+1,LEN(H317)-FIND(",",H317)-2)</f>
        <v xml:space="preserve"> 100000000</v>
      </c>
    </row>
    <row r="318" spans="1:10">
      <c r="A318" s="1" t="s">
        <v>312</v>
      </c>
      <c r="B318" s="1" t="s">
        <v>509</v>
      </c>
      <c r="C318">
        <f t="array" ref="C318">D318:F318</f>
        <v>0</v>
      </c>
      <c r="E318" s="5">
        <v>100000000</v>
      </c>
      <c r="F318" s="5">
        <v>0</v>
      </c>
      <c r="G318" s="5"/>
      <c r="H318" t="str">
        <f t="shared" si="16"/>
        <v>0, 100000000);</v>
      </c>
      <c r="I318" t="str">
        <f t="shared" si="17"/>
        <v>0</v>
      </c>
      <c r="J318" t="str">
        <f t="shared" si="18"/>
        <v xml:space="preserve"> 100000000</v>
      </c>
    </row>
    <row r="319" spans="1:10">
      <c r="A319" s="1" t="s">
        <v>313</v>
      </c>
      <c r="B319" s="1" t="s">
        <v>510</v>
      </c>
      <c r="C319">
        <f t="array" ref="C319">D319:F319</f>
        <v>0</v>
      </c>
      <c r="E319" s="5">
        <v>10000</v>
      </c>
      <c r="F319" s="5">
        <v>0</v>
      </c>
      <c r="G319" s="5"/>
      <c r="H319" t="str">
        <f t="shared" si="16"/>
        <v>0, 10000);</v>
      </c>
      <c r="I319" t="str">
        <f t="shared" si="17"/>
        <v>0</v>
      </c>
      <c r="J319" t="str">
        <f t="shared" si="18"/>
        <v xml:space="preserve"> 10000</v>
      </c>
    </row>
    <row r="320" spans="1:10">
      <c r="A320" s="1" t="s">
        <v>314</v>
      </c>
      <c r="B320" s="1" t="s">
        <v>511</v>
      </c>
      <c r="C320">
        <f t="array" ref="C320">D320:F320</f>
        <v>0</v>
      </c>
      <c r="E320" s="5">
        <v>10000</v>
      </c>
      <c r="F320" s="5">
        <v>0</v>
      </c>
      <c r="G320" s="5"/>
      <c r="H320" t="str">
        <f t="shared" si="16"/>
        <v>0, 10000);</v>
      </c>
      <c r="I320" t="str">
        <f t="shared" si="17"/>
        <v>0</v>
      </c>
      <c r="J320" t="str">
        <f t="shared" si="18"/>
        <v xml:space="preserve"> 10000</v>
      </c>
    </row>
    <row r="321" spans="1:10">
      <c r="A321" s="1" t="s">
        <v>315</v>
      </c>
      <c r="B321" s="1" t="s">
        <v>512</v>
      </c>
      <c r="C321">
        <f t="array" ref="C321">D321:F321</f>
        <v>0</v>
      </c>
      <c r="E321" s="5">
        <v>100000000</v>
      </c>
      <c r="F321" s="5">
        <v>0</v>
      </c>
      <c r="G321" s="5"/>
      <c r="H321" t="str">
        <f t="shared" si="16"/>
        <v>0, 100000000);</v>
      </c>
      <c r="I321" t="str">
        <f t="shared" si="17"/>
        <v>0</v>
      </c>
      <c r="J321" t="str">
        <f t="shared" si="18"/>
        <v xml:space="preserve"> 100000000</v>
      </c>
    </row>
    <row r="322" spans="1:10">
      <c r="A322" s="1" t="s">
        <v>316</v>
      </c>
      <c r="B322" s="1" t="s">
        <v>513</v>
      </c>
      <c r="C322">
        <f t="array" ref="C322">D322:F322</f>
        <v>0</v>
      </c>
      <c r="E322" s="5">
        <v>10000</v>
      </c>
      <c r="F322" s="5">
        <v>0</v>
      </c>
      <c r="G322" s="5"/>
      <c r="H322" t="str">
        <f t="shared" si="16"/>
        <v>0, 10000);</v>
      </c>
      <c r="I322" t="str">
        <f t="shared" si="17"/>
        <v>0</v>
      </c>
      <c r="J322" t="str">
        <f t="shared" si="18"/>
        <v xml:space="preserve"> 10000</v>
      </c>
    </row>
    <row r="323" spans="1:10">
      <c r="A323" s="1" t="s">
        <v>317</v>
      </c>
      <c r="B323" s="1" t="s">
        <v>514</v>
      </c>
      <c r="C323">
        <f t="array" ref="C323">D323:F323</f>
        <v>0</v>
      </c>
      <c r="E323" s="5">
        <v>10000</v>
      </c>
      <c r="F323" s="5">
        <v>0</v>
      </c>
      <c r="G323" s="5"/>
      <c r="H323" t="str">
        <f t="shared" si="16"/>
        <v>0, 10000);</v>
      </c>
      <c r="I323" t="str">
        <f t="shared" si="17"/>
        <v>0</v>
      </c>
      <c r="J323" t="str">
        <f t="shared" si="18"/>
        <v xml:space="preserve"> 10000</v>
      </c>
    </row>
    <row r="324" spans="1:10">
      <c r="A324" s="1" t="s">
        <v>318</v>
      </c>
      <c r="B324" s="1" t="s">
        <v>515</v>
      </c>
      <c r="C324">
        <f t="array" ref="C324">D324:F324</f>
        <v>0</v>
      </c>
      <c r="E324" s="5">
        <v>1200000000</v>
      </c>
      <c r="F324" s="5">
        <v>0</v>
      </c>
      <c r="G324" s="5"/>
      <c r="H324" t="str">
        <f t="shared" si="16"/>
        <v>0, 1200000000);</v>
      </c>
      <c r="I324" t="str">
        <f t="shared" si="17"/>
        <v>0</v>
      </c>
      <c r="J324" t="str">
        <f t="shared" si="18"/>
        <v xml:space="preserve"> 1200000000</v>
      </c>
    </row>
    <row r="325" spans="1:10">
      <c r="A325" s="1" t="s">
        <v>319</v>
      </c>
      <c r="B325" s="1" t="s">
        <v>516</v>
      </c>
      <c r="C325">
        <f t="array" ref="C325">D325:F325</f>
        <v>0</v>
      </c>
      <c r="E325" s="5">
        <v>1.8662000000000002E-2</v>
      </c>
      <c r="F325" s="5">
        <v>0.18662000000000001</v>
      </c>
      <c r="G325" s="5"/>
      <c r="H325" t="str">
        <f t="shared" si="16"/>
        <v>.18662, .018662);</v>
      </c>
      <c r="I325" t="str">
        <f t="shared" si="17"/>
        <v>.18662</v>
      </c>
      <c r="J325" t="str">
        <f t="shared" si="18"/>
        <v xml:space="preserve"> .018662</v>
      </c>
    </row>
    <row r="326" spans="1:10">
      <c r="A326" s="1" t="s">
        <v>320</v>
      </c>
      <c r="B326" s="1" t="s">
        <v>517</v>
      </c>
      <c r="C326">
        <f t="array" ref="C326">D326:F326</f>
        <v>0</v>
      </c>
      <c r="E326" s="5">
        <v>0.62823899999999999</v>
      </c>
      <c r="F326" s="5">
        <v>6.2823900000000004</v>
      </c>
      <c r="G326" s="5"/>
      <c r="H326" t="str">
        <f t="shared" si="16"/>
        <v>6.28239, .628239);</v>
      </c>
      <c r="I326" t="str">
        <f t="shared" si="17"/>
        <v>6.28239</v>
      </c>
      <c r="J326" t="str">
        <f t="shared" si="18"/>
        <v xml:space="preserve"> .628239</v>
      </c>
    </row>
    <row r="327" spans="1:10">
      <c r="A327" s="1" t="s">
        <v>321</v>
      </c>
      <c r="B327" s="1" t="s">
        <v>518</v>
      </c>
      <c r="C327">
        <f t="array" ref="C327">D327:F327</f>
        <v>0</v>
      </c>
      <c r="E327" s="5">
        <v>1.0442000000000001E-6</v>
      </c>
      <c r="F327" s="5">
        <v>1.0441999999999999E-5</v>
      </c>
      <c r="G327" s="5"/>
      <c r="H327" t="str">
        <f t="shared" si="16"/>
        <v>.000010442, .0000010442);</v>
      </c>
      <c r="I327" t="str">
        <f t="shared" si="17"/>
        <v>.000010442</v>
      </c>
      <c r="J327" t="str">
        <f t="shared" si="18"/>
        <v xml:space="preserve"> .0000010442</v>
      </c>
    </row>
    <row r="328" spans="1:10">
      <c r="A328" s="1" t="s">
        <v>322</v>
      </c>
      <c r="B328" s="1" t="s">
        <v>519</v>
      </c>
      <c r="C328">
        <f t="array" ref="C328">D328:F328</f>
        <v>0</v>
      </c>
      <c r="E328" s="5">
        <v>2.1928300000000001E-5</v>
      </c>
      <c r="F328" s="5">
        <v>2.1928299999999999E-4</v>
      </c>
      <c r="G328" s="5"/>
      <c r="H328" t="str">
        <f t="shared" si="16"/>
        <v>.000219283, .0000219283);</v>
      </c>
      <c r="I328" t="str">
        <f t="shared" si="17"/>
        <v>.000219283</v>
      </c>
      <c r="J328" t="str">
        <f t="shared" si="18"/>
        <v xml:space="preserve"> .0000219283</v>
      </c>
    </row>
    <row r="329" spans="1:10">
      <c r="A329" s="1" t="s">
        <v>323</v>
      </c>
      <c r="B329" s="1" t="s">
        <v>520</v>
      </c>
      <c r="C329">
        <f t="array" ref="C329">D329:F329</f>
        <v>0</v>
      </c>
      <c r="E329" s="5">
        <v>0.59978200000000004</v>
      </c>
      <c r="F329" s="5">
        <v>5.9978199999999999</v>
      </c>
      <c r="G329" s="5"/>
      <c r="H329" t="str">
        <f t="shared" si="16"/>
        <v>5.99782, .599782);</v>
      </c>
      <c r="I329" t="str">
        <f t="shared" si="17"/>
        <v>5.99782</v>
      </c>
      <c r="J329" t="str">
        <f t="shared" si="18"/>
        <v xml:space="preserve"> .599782</v>
      </c>
    </row>
    <row r="330" spans="1:10">
      <c r="A330" s="1" t="s">
        <v>324</v>
      </c>
      <c r="B330" s="1" t="s">
        <v>521</v>
      </c>
      <c r="C330">
        <f t="array" ref="C330">D330:F330</f>
        <v>0</v>
      </c>
      <c r="E330" s="5">
        <v>5.9454099999999997E-4</v>
      </c>
      <c r="F330" s="5">
        <v>5.9454099999999999E-3</v>
      </c>
      <c r="G330" s="5"/>
      <c r="H330" t="str">
        <f t="shared" si="16"/>
        <v>.00594541, .000594541);</v>
      </c>
      <c r="I330" t="str">
        <f t="shared" si="17"/>
        <v>.00594541</v>
      </c>
      <c r="J330" t="str">
        <f t="shared" si="18"/>
        <v xml:space="preserve"> .000594541</v>
      </c>
    </row>
    <row r="331" spans="1:10">
      <c r="A331" s="1" t="s">
        <v>325</v>
      </c>
      <c r="B331" s="1" t="s">
        <v>522</v>
      </c>
      <c r="C331">
        <f t="array" ref="C331">D331:F331</f>
        <v>0</v>
      </c>
      <c r="E331" s="5">
        <v>4.5309369999999996E-3</v>
      </c>
      <c r="F331" s="5">
        <v>4.5309370000000002E-2</v>
      </c>
      <c r="G331" s="5"/>
      <c r="H331" t="str">
        <f t="shared" si="16"/>
        <v>.04530937, .004530937);</v>
      </c>
      <c r="I331" t="str">
        <f t="shared" si="17"/>
        <v>.04530937</v>
      </c>
      <c r="J331" t="str">
        <f t="shared" si="18"/>
        <v xml:space="preserve"> .004530937</v>
      </c>
    </row>
    <row r="332" spans="1:10">
      <c r="A332" s="1" t="s">
        <v>326</v>
      </c>
      <c r="B332" s="1" t="s">
        <v>523</v>
      </c>
      <c r="C332">
        <f t="array" ref="C332">D332:F332</f>
        <v>0</v>
      </c>
      <c r="E332" s="5">
        <v>1200000000</v>
      </c>
      <c r="F332" s="5">
        <v>0</v>
      </c>
      <c r="G332" s="5"/>
      <c r="H332" t="str">
        <f t="shared" si="16"/>
        <v>0, 1200000000);</v>
      </c>
      <c r="I332" t="str">
        <f t="shared" si="17"/>
        <v>0</v>
      </c>
      <c r="J332" t="str">
        <f t="shared" si="18"/>
        <v xml:space="preserve"> 1200000000</v>
      </c>
    </row>
    <row r="333" spans="1:10">
      <c r="A333" s="1" t="s">
        <v>327</v>
      </c>
      <c r="B333" s="1" t="s">
        <v>524</v>
      </c>
      <c r="C333">
        <f t="array" ref="C333">D333:F333</f>
        <v>0</v>
      </c>
      <c r="E333" s="5">
        <v>0.13874500000000001</v>
      </c>
      <c r="F333" s="5">
        <v>1.3874500000000001</v>
      </c>
      <c r="G333" s="5"/>
      <c r="H333" t="str">
        <f t="shared" si="16"/>
        <v>1.38745, .138745);</v>
      </c>
      <c r="I333" t="str">
        <f t="shared" si="17"/>
        <v>1.38745</v>
      </c>
      <c r="J333" t="str">
        <f t="shared" si="18"/>
        <v xml:space="preserve"> .138745</v>
      </c>
    </row>
    <row r="334" spans="1:10">
      <c r="A334" s="1" t="s">
        <v>328</v>
      </c>
      <c r="B334" s="1" t="s">
        <v>525</v>
      </c>
      <c r="C334">
        <f t="array" ref="C334">D334:F334</f>
        <v>0</v>
      </c>
      <c r="E334" s="5">
        <v>0.64935500000000002</v>
      </c>
      <c r="F334" s="5">
        <v>6.4935499999999999</v>
      </c>
      <c r="G334" s="5"/>
      <c r="H334" t="str">
        <f t="shared" si="16"/>
        <v>6.49355, .649355);</v>
      </c>
      <c r="I334" t="str">
        <f t="shared" si="17"/>
        <v>6.49355</v>
      </c>
      <c r="J334" t="str">
        <f t="shared" si="18"/>
        <v xml:space="preserve"> .649355</v>
      </c>
    </row>
    <row r="335" spans="1:10">
      <c r="A335" s="1" t="s">
        <v>329</v>
      </c>
      <c r="B335" s="1" t="s">
        <v>526</v>
      </c>
      <c r="C335">
        <f t="array" ref="C335">D335:F335</f>
        <v>0</v>
      </c>
      <c r="E335" s="5">
        <v>4.3623999999999999E-6</v>
      </c>
      <c r="F335" s="5">
        <v>4.3624000000000001E-5</v>
      </c>
      <c r="G335" s="5"/>
      <c r="H335" t="str">
        <f t="shared" si="16"/>
        <v>.000043624, .0000043624);</v>
      </c>
      <c r="I335" t="str">
        <f t="shared" si="17"/>
        <v>.000043624</v>
      </c>
      <c r="J335" t="str">
        <f t="shared" si="18"/>
        <v xml:space="preserve"> .0000043624</v>
      </c>
    </row>
    <row r="336" spans="1:10">
      <c r="A336" s="1" t="s">
        <v>330</v>
      </c>
      <c r="B336" s="1" t="s">
        <v>527</v>
      </c>
      <c r="C336">
        <f t="array" ref="C336">D336:F336</f>
        <v>0</v>
      </c>
      <c r="E336" s="5">
        <v>5.7935200000000001E-5</v>
      </c>
      <c r="F336" s="5">
        <v>5.7935199999999999E-4</v>
      </c>
      <c r="G336" s="5"/>
      <c r="H336" t="str">
        <f t="shared" si="16"/>
        <v>.000579352, .0000579352);</v>
      </c>
      <c r="I336" t="str">
        <f t="shared" si="17"/>
        <v>.000579352</v>
      </c>
      <c r="J336" t="str">
        <f t="shared" si="18"/>
        <v xml:space="preserve"> .0000579352</v>
      </c>
    </row>
    <row r="337" spans="1:10">
      <c r="A337" s="1" t="s">
        <v>331</v>
      </c>
      <c r="B337" s="1" t="s">
        <v>528</v>
      </c>
      <c r="C337">
        <f t="array" ref="C337">D337:F337</f>
        <v>0</v>
      </c>
      <c r="E337" s="5">
        <v>0.62993399999999999</v>
      </c>
      <c r="F337" s="5">
        <v>6.2993399999999999</v>
      </c>
      <c r="G337" s="5"/>
      <c r="H337" t="str">
        <f t="shared" si="16"/>
        <v>6.29934, .629934);</v>
      </c>
      <c r="I337" t="str">
        <f t="shared" si="17"/>
        <v>6.29934</v>
      </c>
      <c r="J337" t="str">
        <f t="shared" si="18"/>
        <v xml:space="preserve"> .629934</v>
      </c>
    </row>
    <row r="338" spans="1:10">
      <c r="A338" s="1" t="s">
        <v>332</v>
      </c>
      <c r="B338" s="1" t="s">
        <v>529</v>
      </c>
      <c r="C338">
        <f t="array" ref="C338">D338:F338</f>
        <v>0</v>
      </c>
      <c r="E338" s="5">
        <v>5.9382089999999998E-4</v>
      </c>
      <c r="F338" s="5">
        <v>5.9382089999999998E-3</v>
      </c>
      <c r="G338" s="5"/>
      <c r="H338" t="str">
        <f t="shared" si="16"/>
        <v>.005938209, .0005938209);</v>
      </c>
      <c r="I338" t="str">
        <f t="shared" si="17"/>
        <v>.005938209</v>
      </c>
      <c r="J338" t="str">
        <f t="shared" si="18"/>
        <v xml:space="preserve"> .0005938209</v>
      </c>
    </row>
    <row r="339" spans="1:10">
      <c r="A339" s="1" t="s">
        <v>333</v>
      </c>
      <c r="B339" s="1" t="s">
        <v>530</v>
      </c>
      <c r="C339">
        <f t="array" ref="C339">D339:F339</f>
        <v>0</v>
      </c>
      <c r="E339" s="5">
        <v>4.5901387000000004E-3</v>
      </c>
      <c r="F339" s="5">
        <v>4.5901387000000002E-2</v>
      </c>
      <c r="G339" s="5"/>
      <c r="H339" t="str">
        <f t="shared" si="16"/>
        <v>.045901387, .0045901387);</v>
      </c>
      <c r="I339" t="str">
        <f t="shared" si="17"/>
        <v>.045901387</v>
      </c>
      <c r="J339" t="str">
        <f t="shared" si="18"/>
        <v xml:space="preserve"> .0045901387</v>
      </c>
    </row>
    <row r="340" spans="1:10">
      <c r="A340" s="1" t="s">
        <v>334</v>
      </c>
      <c r="B340" s="1" t="s">
        <v>531</v>
      </c>
      <c r="C340">
        <f t="array" ref="C340">D340:F340</f>
        <v>0</v>
      </c>
      <c r="E340" s="5">
        <v>49.180712999999997</v>
      </c>
      <c r="F340" s="5">
        <v>491.80712999999997</v>
      </c>
      <c r="G340" s="5"/>
      <c r="H340" t="str">
        <f t="shared" si="16"/>
        <v>491.80713, 49.180713);</v>
      </c>
      <c r="I340" t="str">
        <f t="shared" si="17"/>
        <v>491.80713</v>
      </c>
      <c r="J340" t="str">
        <f t="shared" si="18"/>
        <v xml:space="preserve"> 49.180713</v>
      </c>
    </row>
    <row r="341" spans="1:10">
      <c r="A341" s="1" t="s">
        <v>335</v>
      </c>
      <c r="B341" s="1" t="s">
        <v>532</v>
      </c>
      <c r="C341">
        <f t="array" ref="C341">D341:F341</f>
        <v>0</v>
      </c>
      <c r="E341" s="5">
        <v>0</v>
      </c>
      <c r="F341" s="5">
        <v>931.07897800000001</v>
      </c>
      <c r="G341" s="5"/>
      <c r="H341" t="str">
        <f t="shared" si="16"/>
        <v>931.078978, 0);</v>
      </c>
      <c r="I341" t="str">
        <f t="shared" si="17"/>
        <v>931.078978</v>
      </c>
      <c r="J341" t="str">
        <f t="shared" si="18"/>
        <v xml:space="preserve"> 0</v>
      </c>
    </row>
    <row r="342" spans="1:10">
      <c r="A342" s="1" t="s">
        <v>336</v>
      </c>
      <c r="B342" s="1" t="s">
        <v>533</v>
      </c>
      <c r="C342">
        <f t="array" ref="C342">D342:F342</f>
        <v>0</v>
      </c>
      <c r="E342" s="5">
        <v>4.8614610000000003</v>
      </c>
      <c r="F342" s="5">
        <v>48.614609999999999</v>
      </c>
      <c r="G342" s="5"/>
      <c r="H342" t="str">
        <f t="shared" si="16"/>
        <v>48.61461, 4.861461);</v>
      </c>
      <c r="I342" t="str">
        <f t="shared" si="17"/>
        <v>48.61461</v>
      </c>
      <c r="J342" t="str">
        <f t="shared" si="18"/>
        <v xml:space="preserve"> 4.861461</v>
      </c>
    </row>
    <row r="343" spans="1:10">
      <c r="A343" s="1" t="s">
        <v>337</v>
      </c>
      <c r="B343" s="1" t="s">
        <v>534</v>
      </c>
      <c r="C343">
        <f t="array" ref="C343">D343:F343</f>
        <v>0</v>
      </c>
      <c r="E343" s="5">
        <v>0</v>
      </c>
      <c r="F343" s="5">
        <v>46.803007999999998</v>
      </c>
      <c r="G343" s="5"/>
      <c r="H343" t="str">
        <f t="shared" si="16"/>
        <v>46.803008, 0);</v>
      </c>
      <c r="I343" t="str">
        <f t="shared" si="17"/>
        <v>46.803008</v>
      </c>
      <c r="J343" t="str">
        <f t="shared" si="18"/>
        <v xml:space="preserve"> 0</v>
      </c>
    </row>
    <row r="344" spans="1:10">
      <c r="A344" s="1" t="s">
        <v>338</v>
      </c>
      <c r="B344" s="1" t="s">
        <v>535</v>
      </c>
      <c r="C344">
        <f t="array" ref="C344">D344:F344</f>
        <v>0</v>
      </c>
      <c r="E344" s="5">
        <v>1.570195</v>
      </c>
      <c r="F344" s="5">
        <v>15.70195</v>
      </c>
      <c r="G344" s="5"/>
      <c r="H344" t="str">
        <f t="shared" si="16"/>
        <v>15.70195, 1.570195);</v>
      </c>
      <c r="I344" t="str">
        <f t="shared" si="17"/>
        <v>15.70195</v>
      </c>
      <c r="J344" t="str">
        <f t="shared" si="18"/>
        <v xml:space="preserve"> 1.570195</v>
      </c>
    </row>
    <row r="345" spans="1:10">
      <c r="A345" s="1" t="s">
        <v>339</v>
      </c>
      <c r="B345" s="1" t="s">
        <v>536</v>
      </c>
      <c r="C345">
        <f t="array" ref="C345">D345:F345</f>
        <v>0</v>
      </c>
      <c r="E345" s="5">
        <v>0</v>
      </c>
      <c r="F345" s="5">
        <v>15.514926000000001</v>
      </c>
      <c r="G345" s="5"/>
      <c r="H345" t="str">
        <f t="shared" si="16"/>
        <v>15.514926, 0);</v>
      </c>
      <c r="I345" t="str">
        <f t="shared" si="17"/>
        <v>15.514926</v>
      </c>
      <c r="J345" t="str">
        <f t="shared" si="18"/>
        <v xml:space="preserve"> 0</v>
      </c>
    </row>
    <row r="346" spans="1:10">
      <c r="A346" s="1" t="s">
        <v>340</v>
      </c>
      <c r="B346" s="1" t="s">
        <v>537</v>
      </c>
      <c r="C346">
        <f t="array" ref="C346">D346:F346</f>
        <v>0</v>
      </c>
      <c r="E346" s="5">
        <v>1.335109E-4</v>
      </c>
      <c r="F346" s="5">
        <v>1.3351089999999999E-3</v>
      </c>
      <c r="G346" s="5"/>
      <c r="H346" t="str">
        <f t="shared" si="16"/>
        <v>.001335109, .0001335109);</v>
      </c>
      <c r="I346" t="str">
        <f t="shared" si="17"/>
        <v>.001335109</v>
      </c>
      <c r="J346" t="str">
        <f t="shared" si="18"/>
        <v xml:space="preserve"> .0001335109</v>
      </c>
    </row>
    <row r="347" spans="1:10">
      <c r="A347" s="1" t="s">
        <v>341</v>
      </c>
      <c r="B347" s="1" t="s">
        <v>538</v>
      </c>
      <c r="C347">
        <f t="array" ref="C347">D347:F347</f>
        <v>0</v>
      </c>
      <c r="E347" s="5">
        <v>0</v>
      </c>
      <c r="F347" s="5">
        <v>1.3139072999999999E-3</v>
      </c>
      <c r="G347" s="5"/>
      <c r="H347" t="str">
        <f t="shared" si="16"/>
        <v>.0013139073, 0);</v>
      </c>
      <c r="I347" t="str">
        <f t="shared" si="17"/>
        <v>.0013139073</v>
      </c>
      <c r="J347" t="str">
        <f t="shared" si="18"/>
        <v xml:space="preserve"> 0</v>
      </c>
    </row>
    <row r="348" spans="1:10">
      <c r="A348" s="1" t="s">
        <v>342</v>
      </c>
      <c r="B348" s="1" t="s">
        <v>539</v>
      </c>
      <c r="C348">
        <f t="array" ref="C348">D348:F348</f>
        <v>0</v>
      </c>
      <c r="E348" s="5">
        <v>1.4855127000000001E-3</v>
      </c>
      <c r="F348" s="5">
        <v>1.4855126999999999E-2</v>
      </c>
      <c r="G348" s="5"/>
      <c r="H348" t="str">
        <f t="shared" si="16"/>
        <v>.014855127, .0014855127);</v>
      </c>
      <c r="I348" t="str">
        <f t="shared" si="17"/>
        <v>.014855127</v>
      </c>
      <c r="J348" t="str">
        <f t="shared" si="18"/>
        <v xml:space="preserve"> .0014855127</v>
      </c>
    </row>
    <row r="349" spans="1:10">
      <c r="A349" s="1" t="s">
        <v>343</v>
      </c>
      <c r="B349" s="1" t="s">
        <v>540</v>
      </c>
      <c r="C349">
        <f t="array" ref="C349">D349:F349</f>
        <v>0</v>
      </c>
      <c r="E349" s="5">
        <v>0</v>
      </c>
      <c r="F349" s="5">
        <v>1.4585254000000001E-2</v>
      </c>
      <c r="G349" s="5"/>
      <c r="H349" t="str">
        <f t="shared" si="16"/>
        <v>.014585254, 0);</v>
      </c>
      <c r="I349" t="str">
        <f t="shared" si="17"/>
        <v>.014585254</v>
      </c>
      <c r="J349" t="str">
        <f t="shared" si="18"/>
        <v xml:space="preserve"> 0</v>
      </c>
    </row>
    <row r="350" spans="1:10">
      <c r="A350" s="1" t="s">
        <v>344</v>
      </c>
      <c r="B350" s="1" t="s">
        <v>541</v>
      </c>
      <c r="C350">
        <f t="array" ref="C350">D350:F350</f>
        <v>0</v>
      </c>
      <c r="E350" s="5">
        <v>1.8148120000000001</v>
      </c>
      <c r="F350" s="5">
        <v>18.148119999999999</v>
      </c>
      <c r="G350" s="5"/>
      <c r="H350" t="str">
        <f t="shared" si="16"/>
        <v>18.14812, 1.814812);</v>
      </c>
      <c r="I350" t="str">
        <f t="shared" si="17"/>
        <v>18.14812</v>
      </c>
      <c r="J350" t="str">
        <f t="shared" si="18"/>
        <v xml:space="preserve"> 1.814812</v>
      </c>
    </row>
    <row r="351" spans="1:10">
      <c r="A351" s="1" t="s">
        <v>345</v>
      </c>
      <c r="B351" s="1" t="s">
        <v>542</v>
      </c>
      <c r="C351">
        <f t="array" ref="C351">D351:F351</f>
        <v>0</v>
      </c>
      <c r="E351" s="5">
        <v>0</v>
      </c>
      <c r="F351" s="5">
        <v>17.750843</v>
      </c>
      <c r="G351" s="5"/>
      <c r="H351" t="str">
        <f t="shared" si="16"/>
        <v>17.750843, 0);</v>
      </c>
      <c r="I351" t="str">
        <f t="shared" si="17"/>
        <v>17.750843</v>
      </c>
      <c r="J351" t="str">
        <f t="shared" si="18"/>
        <v xml:space="preserve"> 0</v>
      </c>
    </row>
    <row r="352" spans="1:10">
      <c r="A352" s="1" t="s">
        <v>346</v>
      </c>
      <c r="B352" s="1" t="s">
        <v>543</v>
      </c>
      <c r="C352">
        <f t="array" ref="C352">D352:F352</f>
        <v>0</v>
      </c>
      <c r="E352" s="5">
        <v>5.2169879999999997E-4</v>
      </c>
      <c r="F352" s="5">
        <v>5.2169879999999997E-3</v>
      </c>
      <c r="G352" s="5"/>
      <c r="H352" t="str">
        <f t="shared" si="16"/>
        <v>.005216988, .0005216988);</v>
      </c>
      <c r="I352" t="str">
        <f t="shared" si="17"/>
        <v>.005216988</v>
      </c>
      <c r="J352" t="str">
        <f t="shared" si="18"/>
        <v xml:space="preserve"> .0005216988</v>
      </c>
    </row>
    <row r="353" spans="1:10">
      <c r="A353" s="1" t="s">
        <v>347</v>
      </c>
      <c r="B353" s="1" t="s">
        <v>544</v>
      </c>
      <c r="C353">
        <f t="array" ref="C353">D353:F353</f>
        <v>0</v>
      </c>
      <c r="E353" s="5">
        <v>0</v>
      </c>
      <c r="F353" s="5">
        <v>5.1087674000000003E-3</v>
      </c>
      <c r="G353" s="5"/>
      <c r="H353" t="str">
        <f t="shared" si="16"/>
        <v>.0051087674, 0);</v>
      </c>
      <c r="I353" t="str">
        <f t="shared" si="17"/>
        <v>.0051087674</v>
      </c>
      <c r="J353" t="str">
        <f t="shared" si="18"/>
        <v xml:space="preserve"> 0</v>
      </c>
    </row>
    <row r="354" spans="1:10">
      <c r="A354" s="1" t="s">
        <v>348</v>
      </c>
      <c r="B354" s="1" t="s">
        <v>545</v>
      </c>
      <c r="C354">
        <f t="array" ref="C354">D354:F354</f>
        <v>0</v>
      </c>
      <c r="E354" s="5">
        <v>6.8473830999999999E-3</v>
      </c>
      <c r="F354" s="5">
        <v>6.8473830999999999E-2</v>
      </c>
      <c r="G354" s="5"/>
      <c r="H354" t="str">
        <f t="shared" si="16"/>
        <v>.068473831, .0068473831);</v>
      </c>
      <c r="I354" t="str">
        <f t="shared" si="17"/>
        <v>.068473831</v>
      </c>
      <c r="J354" t="str">
        <f t="shared" si="18"/>
        <v xml:space="preserve"> .0068473831</v>
      </c>
    </row>
    <row r="355" spans="1:10">
      <c r="A355" s="1" t="s">
        <v>349</v>
      </c>
      <c r="B355" s="1" t="s">
        <v>546</v>
      </c>
      <c r="C355">
        <f t="array" ref="C355">D355:F355</f>
        <v>0</v>
      </c>
      <c r="E355" s="5">
        <v>0</v>
      </c>
      <c r="F355" s="5">
        <v>6.7001773400000006E-2</v>
      </c>
      <c r="G355" s="5"/>
      <c r="H355" t="str">
        <f t="shared" si="16"/>
        <v>.0670017734, 0);</v>
      </c>
      <c r="I355" t="str">
        <f t="shared" si="17"/>
        <v>.0670017734</v>
      </c>
      <c r="J355" t="str">
        <f t="shared" si="18"/>
        <v xml:space="preserve"> 0</v>
      </c>
    </row>
    <row r="356" spans="1:10">
      <c r="A356" s="1" t="s">
        <v>350</v>
      </c>
      <c r="B356" s="1" t="s">
        <v>547</v>
      </c>
      <c r="C356">
        <f t="array" ref="C356">D356:F356</f>
        <v>0</v>
      </c>
      <c r="E356" s="5">
        <v>0</v>
      </c>
      <c r="F356" s="5">
        <v>0</v>
      </c>
      <c r="G356" s="5"/>
      <c r="H356" t="str">
        <f t="shared" si="16"/>
        <v>0, 0);</v>
      </c>
      <c r="I356" t="str">
        <f t="shared" si="17"/>
        <v>0</v>
      </c>
      <c r="J356" t="str">
        <f t="shared" si="18"/>
        <v xml:space="preserve"> 0</v>
      </c>
    </row>
    <row r="357" spans="1:10">
      <c r="A357" s="1" t="s">
        <v>351</v>
      </c>
      <c r="B357" s="1" t="s">
        <v>548</v>
      </c>
      <c r="C357">
        <f t="array" ref="C357">D357:F357</f>
        <v>0</v>
      </c>
      <c r="E357" s="5">
        <v>100000000</v>
      </c>
      <c r="F357" s="5">
        <v>0</v>
      </c>
      <c r="G357" s="5"/>
      <c r="H357" t="str">
        <f t="shared" si="16"/>
        <v>0, 100000000);</v>
      </c>
      <c r="I357" t="str">
        <f t="shared" si="17"/>
        <v>0</v>
      </c>
      <c r="J357" t="str">
        <f t="shared" si="18"/>
        <v xml:space="preserve"> 100000000</v>
      </c>
    </row>
    <row r="358" spans="1:10">
      <c r="A358" s="1" t="s">
        <v>352</v>
      </c>
      <c r="B358" s="1" t="s">
        <v>549</v>
      </c>
      <c r="C358">
        <f t="array" ref="C358">D358:F358</f>
        <v>0</v>
      </c>
      <c r="E358" s="5">
        <v>100000000</v>
      </c>
      <c r="F358" s="5">
        <v>0</v>
      </c>
      <c r="G358" s="5"/>
      <c r="H358" t="str">
        <f t="shared" si="16"/>
        <v>0, 100000000);</v>
      </c>
      <c r="I358" t="str">
        <f t="shared" si="17"/>
        <v>0</v>
      </c>
      <c r="J358" t="str">
        <f t="shared" si="18"/>
        <v xml:space="preserve"> 100000000</v>
      </c>
    </row>
    <row r="359" spans="1:10">
      <c r="A359" s="1" t="s">
        <v>353</v>
      </c>
      <c r="B359" s="1" t="s">
        <v>550</v>
      </c>
      <c r="C359">
        <f t="array" ref="C359">D359:F359</f>
        <v>0</v>
      </c>
      <c r="E359" s="5">
        <v>10000</v>
      </c>
      <c r="F359" s="5">
        <v>0</v>
      </c>
      <c r="G359" s="5"/>
      <c r="H359" t="str">
        <f t="shared" si="16"/>
        <v>0, 10000);</v>
      </c>
      <c r="I359" t="str">
        <f t="shared" si="17"/>
        <v>0</v>
      </c>
      <c r="J359" t="str">
        <f t="shared" si="18"/>
        <v xml:space="preserve"> 10000</v>
      </c>
    </row>
    <row r="360" spans="1:10">
      <c r="A360" s="1" t="s">
        <v>354</v>
      </c>
      <c r="B360" s="1" t="s">
        <v>551</v>
      </c>
      <c r="C360">
        <f t="array" ref="C360">D360:F360</f>
        <v>0</v>
      </c>
      <c r="E360" s="5">
        <v>10000</v>
      </c>
      <c r="F360" s="5">
        <v>0</v>
      </c>
      <c r="G360" s="5"/>
      <c r="H360" t="str">
        <f t="shared" si="16"/>
        <v>0, 10000);</v>
      </c>
      <c r="I360" t="str">
        <f t="shared" si="17"/>
        <v>0</v>
      </c>
      <c r="J360" t="str">
        <f t="shared" si="18"/>
        <v xml:space="preserve"> 10000</v>
      </c>
    </row>
    <row r="361" spans="1:10">
      <c r="A361" s="1" t="s">
        <v>355</v>
      </c>
      <c r="B361" s="1" t="s">
        <v>552</v>
      </c>
      <c r="C361">
        <f t="array" ref="C361">D361:F361</f>
        <v>0</v>
      </c>
      <c r="E361" s="5">
        <v>100000000</v>
      </c>
      <c r="F361" s="5">
        <v>0</v>
      </c>
      <c r="G361" s="5"/>
      <c r="H361" t="str">
        <f t="shared" si="16"/>
        <v>0, 100000000);</v>
      </c>
      <c r="I361" t="str">
        <f t="shared" si="17"/>
        <v>0</v>
      </c>
      <c r="J361" t="str">
        <f t="shared" si="18"/>
        <v xml:space="preserve"> 100000000</v>
      </c>
    </row>
    <row r="362" spans="1:10">
      <c r="A362" s="1" t="s">
        <v>356</v>
      </c>
      <c r="B362" s="1" t="s">
        <v>553</v>
      </c>
      <c r="C362">
        <f t="array" ref="C362">D362:F362</f>
        <v>0</v>
      </c>
      <c r="E362" s="5">
        <v>10000</v>
      </c>
      <c r="F362" s="5">
        <v>0</v>
      </c>
      <c r="G362" s="5"/>
      <c r="H362" t="str">
        <f t="shared" si="16"/>
        <v>0, 10000);</v>
      </c>
      <c r="I362" t="str">
        <f t="shared" si="17"/>
        <v>0</v>
      </c>
      <c r="J362" t="str">
        <f t="shared" si="18"/>
        <v xml:space="preserve"> 10000</v>
      </c>
    </row>
    <row r="363" spans="1:10">
      <c r="A363" s="1" t="s">
        <v>357</v>
      </c>
      <c r="B363" s="1" t="s">
        <v>554</v>
      </c>
      <c r="C363">
        <f t="array" ref="C363">D363:F363</f>
        <v>0</v>
      </c>
      <c r="E363" s="5">
        <v>10000</v>
      </c>
      <c r="F363" s="5">
        <v>0</v>
      </c>
      <c r="G363" s="5"/>
      <c r="H363" t="str">
        <f t="shared" si="16"/>
        <v>0, 10000);</v>
      </c>
      <c r="I363" t="str">
        <f t="shared" si="17"/>
        <v>0</v>
      </c>
      <c r="J363" t="str">
        <f t="shared" si="18"/>
        <v xml:space="preserve"> 10000</v>
      </c>
    </row>
    <row r="364" spans="1:10">
      <c r="A364" s="1" t="s">
        <v>358</v>
      </c>
      <c r="B364" s="1" t="s">
        <v>555</v>
      </c>
      <c r="C364">
        <f t="array" ref="C364">D364:F364</f>
        <v>0</v>
      </c>
      <c r="E364" s="5">
        <v>41.889960000000002</v>
      </c>
      <c r="F364" s="5">
        <v>418.89960000000002</v>
      </c>
      <c r="G364" s="5"/>
      <c r="H364" t="str">
        <f t="shared" si="16"/>
        <v>418.8996, 41.88996);</v>
      </c>
      <c r="I364" t="str">
        <f t="shared" si="17"/>
        <v>418.8996</v>
      </c>
      <c r="J364" t="str">
        <f t="shared" si="18"/>
        <v xml:space="preserve"> 41.88996</v>
      </c>
    </row>
    <row r="365" spans="1:10">
      <c r="A365" s="1" t="s">
        <v>359</v>
      </c>
      <c r="B365" s="1" t="s">
        <v>556</v>
      </c>
      <c r="C365">
        <f t="array" ref="C365">D365:F365</f>
        <v>0</v>
      </c>
      <c r="E365" s="5">
        <v>100000000</v>
      </c>
      <c r="F365" s="5">
        <v>0</v>
      </c>
      <c r="G365" s="5"/>
      <c r="H365" t="str">
        <f t="shared" si="16"/>
        <v>0, 100000000);</v>
      </c>
      <c r="I365" t="str">
        <f t="shared" si="17"/>
        <v>0</v>
      </c>
      <c r="J365" t="str">
        <f t="shared" si="18"/>
        <v xml:space="preserve"> 100000000</v>
      </c>
    </row>
    <row r="366" spans="1:10">
      <c r="A366" s="1" t="s">
        <v>360</v>
      </c>
      <c r="B366" s="1" t="s">
        <v>557</v>
      </c>
      <c r="C366">
        <f t="array" ref="C366">D366:F366</f>
        <v>0</v>
      </c>
      <c r="E366" s="5">
        <v>100000000</v>
      </c>
      <c r="F366" s="5">
        <v>0</v>
      </c>
      <c r="G366" s="5"/>
      <c r="H366" t="str">
        <f t="shared" si="16"/>
        <v>0, 100000000);</v>
      </c>
      <c r="I366" t="str">
        <f t="shared" si="17"/>
        <v>0</v>
      </c>
      <c r="J366" t="str">
        <f t="shared" si="18"/>
        <v xml:space="preserve"> 100000000</v>
      </c>
    </row>
    <row r="367" spans="1:10">
      <c r="A367" s="1" t="s">
        <v>361</v>
      </c>
      <c r="B367" s="1" t="s">
        <v>558</v>
      </c>
      <c r="C367">
        <f t="array" ref="C367">D367:F367</f>
        <v>0</v>
      </c>
      <c r="E367" s="5">
        <v>10000</v>
      </c>
      <c r="F367" s="5">
        <v>0</v>
      </c>
      <c r="G367" s="5"/>
      <c r="H367" t="str">
        <f t="shared" si="16"/>
        <v>0, 10000);</v>
      </c>
      <c r="I367" t="str">
        <f t="shared" si="17"/>
        <v>0</v>
      </c>
      <c r="J367" t="str">
        <f t="shared" si="18"/>
        <v xml:space="preserve"> 10000</v>
      </c>
    </row>
    <row r="368" spans="1:10">
      <c r="A368" s="1" t="s">
        <v>362</v>
      </c>
      <c r="B368" s="1" t="s">
        <v>559</v>
      </c>
      <c r="C368">
        <f t="array" ref="C368">D368:F368</f>
        <v>0</v>
      </c>
      <c r="E368" s="5">
        <v>10000</v>
      </c>
      <c r="F368" s="5">
        <v>0</v>
      </c>
      <c r="G368" s="5"/>
      <c r="H368" t="str">
        <f t="shared" si="16"/>
        <v>0, 10000);</v>
      </c>
      <c r="I368" t="str">
        <f t="shared" si="17"/>
        <v>0</v>
      </c>
      <c r="J368" t="str">
        <f t="shared" si="18"/>
        <v xml:space="preserve"> 10000</v>
      </c>
    </row>
    <row r="369" spans="1:10">
      <c r="A369" s="1" t="s">
        <v>363</v>
      </c>
      <c r="B369" s="1" t="s">
        <v>560</v>
      </c>
      <c r="C369">
        <f t="array" ref="C369">D369:F369</f>
        <v>0</v>
      </c>
      <c r="E369" s="5">
        <v>100000000</v>
      </c>
      <c r="F369" s="5">
        <v>0</v>
      </c>
      <c r="G369" s="5"/>
      <c r="H369" t="str">
        <f t="shared" si="16"/>
        <v>0, 100000000);</v>
      </c>
      <c r="I369" t="str">
        <f t="shared" si="17"/>
        <v>0</v>
      </c>
      <c r="J369" t="str">
        <f t="shared" si="18"/>
        <v xml:space="preserve"> 100000000</v>
      </c>
    </row>
    <row r="370" spans="1:10">
      <c r="A370" s="1" t="s">
        <v>364</v>
      </c>
      <c r="B370" s="1" t="s">
        <v>561</v>
      </c>
      <c r="C370">
        <f t="array" ref="C370">D370:F370</f>
        <v>0</v>
      </c>
      <c r="E370" s="5">
        <v>10000</v>
      </c>
      <c r="F370" s="5">
        <v>0</v>
      </c>
      <c r="G370" s="5"/>
      <c r="H370" t="str">
        <f t="shared" si="16"/>
        <v>0, 10000);</v>
      </c>
      <c r="I370" t="str">
        <f t="shared" si="17"/>
        <v>0</v>
      </c>
      <c r="J370" t="str">
        <f t="shared" si="18"/>
        <v xml:space="preserve"> 10000</v>
      </c>
    </row>
    <row r="371" spans="1:10">
      <c r="A371" s="1" t="s">
        <v>365</v>
      </c>
      <c r="B371" s="1" t="s">
        <v>562</v>
      </c>
      <c r="C371">
        <f t="array" ref="C371">D371:F371</f>
        <v>0</v>
      </c>
      <c r="E371" s="5">
        <v>10000</v>
      </c>
      <c r="F371" s="5">
        <v>0</v>
      </c>
      <c r="G371" s="5"/>
      <c r="H371" t="str">
        <f t="shared" si="16"/>
        <v>0, 10000);</v>
      </c>
      <c r="I371" t="str">
        <f t="shared" si="17"/>
        <v>0</v>
      </c>
      <c r="J371" t="str">
        <f t="shared" si="18"/>
        <v xml:space="preserve"> 10000</v>
      </c>
    </row>
    <row r="372" spans="1:10">
      <c r="A372" s="1" t="s">
        <v>366</v>
      </c>
      <c r="B372" s="1" t="s">
        <v>563</v>
      </c>
      <c r="C372">
        <f t="array" ref="C372">D372:F372</f>
        <v>0</v>
      </c>
      <c r="E372" s="5">
        <v>50.140380999999998</v>
      </c>
      <c r="F372" s="5">
        <v>501.40381000000002</v>
      </c>
      <c r="G372" s="5"/>
      <c r="H372" t="str">
        <f t="shared" si="16"/>
        <v>501.40381, 50.140381);</v>
      </c>
      <c r="I372" t="str">
        <f t="shared" si="17"/>
        <v>501.40381</v>
      </c>
      <c r="J372" t="str">
        <f t="shared" si="18"/>
        <v xml:space="preserve"> 50.140381</v>
      </c>
    </row>
    <row r="373" spans="1:10">
      <c r="A373" s="1" t="s">
        <v>367</v>
      </c>
      <c r="B373" s="1" t="s">
        <v>564</v>
      </c>
      <c r="C373">
        <f t="array" ref="C373">D373:F373</f>
        <v>0</v>
      </c>
      <c r="E373" s="5">
        <v>0</v>
      </c>
      <c r="F373" s="5">
        <v>200.86394200000001</v>
      </c>
      <c r="G373" s="5"/>
      <c r="H373" t="str">
        <f t="shared" si="16"/>
        <v>200.863942, 0);</v>
      </c>
      <c r="I373" t="str">
        <f t="shared" si="17"/>
        <v>200.863942</v>
      </c>
      <c r="J373" t="str">
        <f t="shared" si="18"/>
        <v xml:space="preserve"> 0</v>
      </c>
    </row>
    <row r="374" spans="1:10">
      <c r="A374" s="1" t="s">
        <v>368</v>
      </c>
      <c r="B374" s="1" t="s">
        <v>565</v>
      </c>
      <c r="C374">
        <f t="array" ref="C374">D374:F374</f>
        <v>0</v>
      </c>
      <c r="E374" s="5">
        <v>4.7920959999999999</v>
      </c>
      <c r="F374" s="5">
        <v>47.920960000000001</v>
      </c>
      <c r="G374" s="5"/>
      <c r="H374" t="str">
        <f t="shared" si="16"/>
        <v>47.92096, 4.792096);</v>
      </c>
      <c r="I374" t="str">
        <f t="shared" si="17"/>
        <v>47.92096</v>
      </c>
      <c r="J374" t="str">
        <f t="shared" si="18"/>
        <v xml:space="preserve"> 4.792096</v>
      </c>
    </row>
    <row r="375" spans="1:10">
      <c r="A375" s="1" t="s">
        <v>369</v>
      </c>
      <c r="B375" s="1" t="s">
        <v>566</v>
      </c>
      <c r="C375">
        <f t="array" ref="C375">D375:F375</f>
        <v>0</v>
      </c>
      <c r="E375" s="5">
        <v>0</v>
      </c>
      <c r="F375" s="5">
        <v>47.559142999999999</v>
      </c>
      <c r="G375" s="5"/>
      <c r="H375" t="str">
        <f t="shared" si="16"/>
        <v>47.559143, 0);</v>
      </c>
      <c r="I375" t="str">
        <f t="shared" si="17"/>
        <v>47.559143</v>
      </c>
      <c r="J375" t="str">
        <f t="shared" si="18"/>
        <v xml:space="preserve"> 0</v>
      </c>
    </row>
    <row r="376" spans="1:10">
      <c r="A376" s="1" t="s">
        <v>370</v>
      </c>
      <c r="B376" s="1" t="s">
        <v>567</v>
      </c>
      <c r="C376">
        <f t="array" ref="C376">D376:F376</f>
        <v>0</v>
      </c>
      <c r="E376" s="5">
        <v>1.4817830000000001</v>
      </c>
      <c r="F376" s="5">
        <v>14.817830000000001</v>
      </c>
      <c r="G376" s="5"/>
      <c r="H376" t="str">
        <f t="shared" si="16"/>
        <v>14.81783, 1.481783);</v>
      </c>
      <c r="I376" t="str">
        <f t="shared" si="17"/>
        <v>14.81783</v>
      </c>
      <c r="J376" t="str">
        <f t="shared" si="18"/>
        <v xml:space="preserve"> 1.481783</v>
      </c>
    </row>
    <row r="377" spans="1:10">
      <c r="A377" s="1" t="s">
        <v>371</v>
      </c>
      <c r="B377" s="1" t="s">
        <v>568</v>
      </c>
      <c r="C377">
        <f t="array" ref="C377">D377:F377</f>
        <v>0</v>
      </c>
      <c r="E377" s="5">
        <v>0</v>
      </c>
      <c r="F377" s="5">
        <v>14.991614999999999</v>
      </c>
      <c r="G377" s="5"/>
      <c r="H377" t="str">
        <f t="shared" si="16"/>
        <v>14.991615, 0);</v>
      </c>
      <c r="I377" t="str">
        <f t="shared" si="17"/>
        <v>14.991615</v>
      </c>
      <c r="J377" t="str">
        <f t="shared" si="18"/>
        <v xml:space="preserve"> 0</v>
      </c>
    </row>
    <row r="378" spans="1:10">
      <c r="A378" s="1" t="s">
        <v>372</v>
      </c>
      <c r="B378" s="1" t="s">
        <v>569</v>
      </c>
      <c r="C378">
        <f t="array" ref="C378">D378:F378</f>
        <v>0</v>
      </c>
      <c r="E378" s="5">
        <v>1.314217E-4</v>
      </c>
      <c r="F378" s="5">
        <v>1.3142169999999999E-3</v>
      </c>
      <c r="G378" s="5"/>
      <c r="H378" t="str">
        <f t="shared" si="16"/>
        <v>.001314217, .0001314217);</v>
      </c>
      <c r="I378" t="str">
        <f t="shared" si="17"/>
        <v>.001314217</v>
      </c>
      <c r="J378" t="str">
        <f t="shared" si="18"/>
        <v xml:space="preserve"> .0001314217</v>
      </c>
    </row>
    <row r="379" spans="1:10">
      <c r="A379" s="1" t="s">
        <v>373</v>
      </c>
      <c r="B379" s="1" t="s">
        <v>570</v>
      </c>
      <c r="C379">
        <f t="array" ref="C379">D379:F379</f>
        <v>0</v>
      </c>
      <c r="E379" s="5">
        <v>0</v>
      </c>
      <c r="F379" s="5">
        <v>1.2884337999999999E-3</v>
      </c>
      <c r="G379" s="5"/>
      <c r="H379" t="str">
        <f t="shared" si="16"/>
        <v>.0012884338, 0);</v>
      </c>
      <c r="I379" t="str">
        <f t="shared" si="17"/>
        <v>.0012884338</v>
      </c>
      <c r="J379" t="str">
        <f t="shared" si="18"/>
        <v xml:space="preserve"> 0</v>
      </c>
    </row>
    <row r="380" spans="1:10">
      <c r="A380" s="1" t="s">
        <v>374</v>
      </c>
      <c r="B380" s="1" t="s">
        <v>571</v>
      </c>
      <c r="C380">
        <f t="array" ref="C380">D380:F380</f>
        <v>0</v>
      </c>
      <c r="E380" s="5">
        <v>1.4544872E-3</v>
      </c>
      <c r="F380" s="5">
        <v>1.4544872E-2</v>
      </c>
      <c r="G380" s="5"/>
      <c r="H380" t="str">
        <f t="shared" si="16"/>
        <v>.014544872, .0014544872);</v>
      </c>
      <c r="I380" t="str">
        <f t="shared" si="17"/>
        <v>.014544872</v>
      </c>
      <c r="J380" t="str">
        <f t="shared" si="18"/>
        <v xml:space="preserve"> .0014544872</v>
      </c>
    </row>
    <row r="381" spans="1:10">
      <c r="A381" s="1" t="s">
        <v>375</v>
      </c>
      <c r="B381" s="1" t="s">
        <v>572</v>
      </c>
      <c r="C381">
        <f t="array" ref="C381">D381:F381</f>
        <v>0</v>
      </c>
      <c r="E381" s="5">
        <v>0</v>
      </c>
      <c r="F381" s="5">
        <v>1.45145034E-2</v>
      </c>
      <c r="G381" s="5"/>
      <c r="H381" t="str">
        <f t="shared" ref="H381:H444" si="19">MID(A381,FIND("(",A381)+1,50)</f>
        <v>.0145145034, 0);</v>
      </c>
      <c r="I381" t="str">
        <f t="shared" ref="I381:I444" si="20">MID(H381,1,FIND(",",H381)-1)</f>
        <v>.0145145034</v>
      </c>
      <c r="J381" t="str">
        <f t="shared" ref="J381:J444" si="21">MID(H381,FIND(",",H381)+1,LEN(H381)-FIND(",",H381)-2)</f>
        <v xml:space="preserve"> 0</v>
      </c>
    </row>
    <row r="382" spans="1:10">
      <c r="A382" s="1" t="s">
        <v>376</v>
      </c>
      <c r="B382" s="1" t="s">
        <v>573</v>
      </c>
      <c r="C382">
        <f t="array" ref="C382">D382:F382</f>
        <v>0</v>
      </c>
      <c r="E382" s="5">
        <v>1.7804249999999999</v>
      </c>
      <c r="F382" s="5">
        <v>17.80425</v>
      </c>
      <c r="G382" s="5"/>
      <c r="H382" t="str">
        <f t="shared" si="19"/>
        <v>17.80425, 1.780425);</v>
      </c>
      <c r="I382" t="str">
        <f t="shared" si="20"/>
        <v>17.80425</v>
      </c>
      <c r="J382" t="str">
        <f t="shared" si="21"/>
        <v xml:space="preserve"> 1.780425</v>
      </c>
    </row>
    <row r="383" spans="1:10">
      <c r="A383" s="1" t="s">
        <v>377</v>
      </c>
      <c r="B383" s="1" t="s">
        <v>574</v>
      </c>
      <c r="C383">
        <f t="array" ref="C383">D383:F383</f>
        <v>0</v>
      </c>
      <c r="E383" s="5">
        <v>0</v>
      </c>
      <c r="F383" s="5">
        <v>17.465229999999998</v>
      </c>
      <c r="G383" s="5"/>
      <c r="H383" t="str">
        <f t="shared" si="19"/>
        <v>17.46523, 0);</v>
      </c>
      <c r="I383" t="str">
        <f t="shared" si="20"/>
        <v>17.46523</v>
      </c>
      <c r="J383" t="str">
        <f t="shared" si="21"/>
        <v xml:space="preserve"> 0</v>
      </c>
    </row>
    <row r="384" spans="1:10">
      <c r="A384" s="1" t="s">
        <v>378</v>
      </c>
      <c r="B384" s="1" t="s">
        <v>575</v>
      </c>
      <c r="C384">
        <f t="array" ref="C384">D384:F384</f>
        <v>0</v>
      </c>
      <c r="E384" s="5">
        <v>5.5959070000000002E-4</v>
      </c>
      <c r="F384" s="5">
        <v>5.5959069999999998E-3</v>
      </c>
      <c r="G384" s="5"/>
      <c r="H384" t="str">
        <f t="shared" si="19"/>
        <v>.005595907, .0005595907);</v>
      </c>
      <c r="I384" t="str">
        <f t="shared" si="20"/>
        <v>.005595907</v>
      </c>
      <c r="J384" t="str">
        <f t="shared" si="21"/>
        <v xml:space="preserve"> .0005595907</v>
      </c>
    </row>
    <row r="385" spans="1:10">
      <c r="A385" s="1" t="s">
        <v>379</v>
      </c>
      <c r="B385" s="1" t="s">
        <v>576</v>
      </c>
      <c r="C385">
        <f t="array" ref="C385">D385:F385</f>
        <v>0</v>
      </c>
      <c r="E385" s="5">
        <v>0</v>
      </c>
      <c r="F385" s="5">
        <v>5.4770571999999997E-3</v>
      </c>
      <c r="G385" s="5"/>
      <c r="H385" t="str">
        <f t="shared" si="19"/>
        <v>.0054770572, 0);</v>
      </c>
      <c r="I385" t="str">
        <f t="shared" si="20"/>
        <v>.0054770572</v>
      </c>
      <c r="J385" t="str">
        <f t="shared" si="21"/>
        <v xml:space="preserve"> 0</v>
      </c>
    </row>
    <row r="386" spans="1:10">
      <c r="A386" s="1" t="s">
        <v>380</v>
      </c>
      <c r="B386" s="1" t="s">
        <v>577</v>
      </c>
      <c r="C386">
        <f t="array" ref="C386">D386:F386</f>
        <v>0</v>
      </c>
      <c r="E386" s="5">
        <v>6.8559125999999998E-3</v>
      </c>
      <c r="F386" s="5">
        <v>6.8559125999999998E-2</v>
      </c>
      <c r="G386" s="5"/>
      <c r="H386" t="str">
        <f t="shared" si="19"/>
        <v>.068559126, .0068559126);</v>
      </c>
      <c r="I386" t="str">
        <f t="shared" si="20"/>
        <v>.068559126</v>
      </c>
      <c r="J386" t="str">
        <f t="shared" si="21"/>
        <v xml:space="preserve"> .0068559126</v>
      </c>
    </row>
    <row r="387" spans="1:10">
      <c r="A387" s="1" t="s">
        <v>381</v>
      </c>
      <c r="B387" s="1" t="s">
        <v>578</v>
      </c>
      <c r="C387">
        <f t="array" ref="C387">D387:F387</f>
        <v>0</v>
      </c>
      <c r="E387" s="5">
        <v>0</v>
      </c>
      <c r="F387" s="5">
        <v>6.7829136200000001E-2</v>
      </c>
      <c r="G387" s="5"/>
      <c r="H387" t="str">
        <f t="shared" si="19"/>
        <v>.0678291362, 0);</v>
      </c>
      <c r="I387" t="str">
        <f t="shared" si="20"/>
        <v>.0678291362</v>
      </c>
      <c r="J387" t="str">
        <f t="shared" si="21"/>
        <v xml:space="preserve"> 0</v>
      </c>
    </row>
    <row r="388" spans="1:10">
      <c r="A388" s="1" t="s">
        <v>382</v>
      </c>
      <c r="B388" s="1" t="s">
        <v>579</v>
      </c>
      <c r="C388">
        <f t="array" ref="C388">D388:F388</f>
        <v>0</v>
      </c>
      <c r="E388" s="5">
        <v>29.861424</v>
      </c>
      <c r="F388" s="5">
        <v>298.61424</v>
      </c>
      <c r="G388" s="5"/>
      <c r="H388" t="str">
        <f t="shared" si="19"/>
        <v>298.61424, 29.861424);</v>
      </c>
      <c r="I388" t="str">
        <f t="shared" si="20"/>
        <v>298.61424</v>
      </c>
      <c r="J388" t="str">
        <f t="shared" si="21"/>
        <v xml:space="preserve"> 29.861424</v>
      </c>
    </row>
    <row r="389" spans="1:10">
      <c r="A389" s="1" t="s">
        <v>383</v>
      </c>
      <c r="B389" s="1" t="s">
        <v>580</v>
      </c>
      <c r="C389">
        <f t="array" ref="C389">D389:F389</f>
        <v>0</v>
      </c>
      <c r="E389" s="5">
        <v>100000000</v>
      </c>
      <c r="F389" s="5">
        <v>0</v>
      </c>
      <c r="G389" s="5"/>
      <c r="H389" t="str">
        <f t="shared" si="19"/>
        <v>0, 100000000);</v>
      </c>
      <c r="I389" t="str">
        <f t="shared" si="20"/>
        <v>0</v>
      </c>
      <c r="J389" t="str">
        <f t="shared" si="21"/>
        <v xml:space="preserve"> 100000000</v>
      </c>
    </row>
    <row r="390" spans="1:10">
      <c r="A390" s="1" t="s">
        <v>384</v>
      </c>
      <c r="B390" s="1" t="s">
        <v>581</v>
      </c>
      <c r="C390">
        <f t="array" ref="C390">D390:F390</f>
        <v>0</v>
      </c>
      <c r="E390" s="5">
        <v>100000000</v>
      </c>
      <c r="F390" s="5">
        <v>0</v>
      </c>
      <c r="G390" s="5"/>
      <c r="H390" t="str">
        <f t="shared" si="19"/>
        <v>0, 100000000);</v>
      </c>
      <c r="I390" t="str">
        <f t="shared" si="20"/>
        <v>0</v>
      </c>
      <c r="J390" t="str">
        <f t="shared" si="21"/>
        <v xml:space="preserve"> 100000000</v>
      </c>
    </row>
    <row r="391" spans="1:10">
      <c r="A391" s="1" t="s">
        <v>385</v>
      </c>
      <c r="B391" s="1" t="s">
        <v>582</v>
      </c>
      <c r="C391">
        <f t="array" ref="C391">D391:F391</f>
        <v>0</v>
      </c>
      <c r="E391" s="5">
        <v>10000</v>
      </c>
      <c r="F391" s="5">
        <v>0</v>
      </c>
      <c r="G391" s="5"/>
      <c r="H391" t="str">
        <f t="shared" si="19"/>
        <v>0, 10000);</v>
      </c>
      <c r="I391" t="str">
        <f t="shared" si="20"/>
        <v>0</v>
      </c>
      <c r="J391" t="str">
        <f t="shared" si="21"/>
        <v xml:space="preserve"> 10000</v>
      </c>
    </row>
    <row r="392" spans="1:10">
      <c r="A392" s="1" t="s">
        <v>386</v>
      </c>
      <c r="B392" s="1" t="s">
        <v>583</v>
      </c>
      <c r="C392">
        <f t="array" ref="C392">D392:F392</f>
        <v>0</v>
      </c>
      <c r="E392" s="5">
        <v>10000</v>
      </c>
      <c r="F392" s="5">
        <v>0</v>
      </c>
      <c r="G392" s="5"/>
      <c r="H392" t="str">
        <f t="shared" si="19"/>
        <v>0, 10000);</v>
      </c>
      <c r="I392" t="str">
        <f t="shared" si="20"/>
        <v>0</v>
      </c>
      <c r="J392" t="str">
        <f t="shared" si="21"/>
        <v xml:space="preserve"> 10000</v>
      </c>
    </row>
    <row r="393" spans="1:10">
      <c r="A393" s="1" t="s">
        <v>387</v>
      </c>
      <c r="B393" s="1" t="s">
        <v>584</v>
      </c>
      <c r="C393">
        <f t="array" ref="C393">D393:F393</f>
        <v>0</v>
      </c>
      <c r="E393" s="5">
        <v>100000000</v>
      </c>
      <c r="F393" s="5">
        <v>0</v>
      </c>
      <c r="G393" s="5"/>
      <c r="H393" t="str">
        <f t="shared" si="19"/>
        <v>0, 100000000);</v>
      </c>
      <c r="I393" t="str">
        <f t="shared" si="20"/>
        <v>0</v>
      </c>
      <c r="J393" t="str">
        <f t="shared" si="21"/>
        <v xml:space="preserve"> 100000000</v>
      </c>
    </row>
    <row r="394" spans="1:10">
      <c r="A394" s="1" t="s">
        <v>388</v>
      </c>
      <c r="B394" s="1" t="s">
        <v>585</v>
      </c>
      <c r="C394">
        <f t="array" ref="C394">D394:F394</f>
        <v>0</v>
      </c>
      <c r="E394" s="5">
        <v>10000</v>
      </c>
      <c r="F394" s="5">
        <v>0</v>
      </c>
      <c r="G394" s="5"/>
      <c r="H394" t="str">
        <f t="shared" si="19"/>
        <v>0, 10000);</v>
      </c>
      <c r="I394" t="str">
        <f t="shared" si="20"/>
        <v>0</v>
      </c>
      <c r="J394" t="str">
        <f t="shared" si="21"/>
        <v xml:space="preserve"> 10000</v>
      </c>
    </row>
    <row r="395" spans="1:10">
      <c r="A395" s="1" t="s">
        <v>389</v>
      </c>
      <c r="B395" s="1" t="s">
        <v>586</v>
      </c>
      <c r="C395">
        <f t="array" ref="C395">D395:F395</f>
        <v>0</v>
      </c>
      <c r="E395" s="5">
        <v>10000</v>
      </c>
      <c r="F395" s="5">
        <v>0</v>
      </c>
      <c r="G395" s="5"/>
      <c r="H395" t="str">
        <f t="shared" si="19"/>
        <v>0, 10000);</v>
      </c>
      <c r="I395" t="str">
        <f t="shared" si="20"/>
        <v>0</v>
      </c>
      <c r="J395" t="str">
        <f t="shared" si="21"/>
        <v xml:space="preserve"> 10000</v>
      </c>
    </row>
    <row r="396" spans="1:10">
      <c r="A396" s="1" t="s">
        <v>390</v>
      </c>
      <c r="B396" s="1" t="s">
        <v>587</v>
      </c>
      <c r="C396">
        <f t="array" ref="C396">D396:F396</f>
        <v>0</v>
      </c>
      <c r="E396" s="5">
        <v>0</v>
      </c>
      <c r="F396" s="5">
        <v>0</v>
      </c>
      <c r="G396" s="5"/>
      <c r="H396" t="str">
        <f t="shared" si="19"/>
        <v>0, 0);</v>
      </c>
      <c r="I396" t="str">
        <f t="shared" si="20"/>
        <v>0</v>
      </c>
      <c r="J396" t="str">
        <f t="shared" si="21"/>
        <v xml:space="preserve"> 0</v>
      </c>
    </row>
    <row r="397" spans="1:10">
      <c r="A397" s="1" t="s">
        <v>391</v>
      </c>
      <c r="B397" s="1" t="s">
        <v>588</v>
      </c>
      <c r="C397">
        <f t="array" ref="C397">D397:F397</f>
        <v>0</v>
      </c>
      <c r="E397" s="5">
        <v>100000000</v>
      </c>
      <c r="F397" s="5">
        <v>0</v>
      </c>
      <c r="G397" s="5"/>
      <c r="H397" t="str">
        <f t="shared" si="19"/>
        <v>0, 100000000);</v>
      </c>
      <c r="I397" t="str">
        <f t="shared" si="20"/>
        <v>0</v>
      </c>
      <c r="J397" t="str">
        <f t="shared" si="21"/>
        <v xml:space="preserve"> 100000000</v>
      </c>
    </row>
    <row r="398" spans="1:10">
      <c r="A398" s="1" t="s">
        <v>392</v>
      </c>
      <c r="B398" s="1" t="s">
        <v>589</v>
      </c>
      <c r="C398">
        <f t="array" ref="C398">D398:F398</f>
        <v>0</v>
      </c>
      <c r="E398" s="5">
        <v>100000000</v>
      </c>
      <c r="F398" s="5">
        <v>0</v>
      </c>
      <c r="G398" s="5"/>
      <c r="H398" t="str">
        <f t="shared" si="19"/>
        <v>0, 100000000);</v>
      </c>
      <c r="I398" t="str">
        <f t="shared" si="20"/>
        <v>0</v>
      </c>
      <c r="J398" t="str">
        <f t="shared" si="21"/>
        <v xml:space="preserve"> 100000000</v>
      </c>
    </row>
    <row r="399" spans="1:10">
      <c r="A399" s="1" t="s">
        <v>393</v>
      </c>
      <c r="B399" s="1" t="s">
        <v>590</v>
      </c>
      <c r="C399">
        <f t="array" ref="C399">D399:F399</f>
        <v>0</v>
      </c>
      <c r="E399" s="5">
        <v>10000</v>
      </c>
      <c r="F399" s="5">
        <v>0</v>
      </c>
      <c r="G399" s="5"/>
      <c r="H399" t="str">
        <f t="shared" si="19"/>
        <v>0, 10000);</v>
      </c>
      <c r="I399" t="str">
        <f t="shared" si="20"/>
        <v>0</v>
      </c>
      <c r="J399" t="str">
        <f t="shared" si="21"/>
        <v xml:space="preserve"> 10000</v>
      </c>
    </row>
    <row r="400" spans="1:10">
      <c r="A400" s="1" t="s">
        <v>394</v>
      </c>
      <c r="B400" s="1" t="s">
        <v>591</v>
      </c>
      <c r="C400">
        <f t="array" ref="C400">D400:F400</f>
        <v>0</v>
      </c>
      <c r="E400" s="5">
        <v>10000</v>
      </c>
      <c r="F400" s="5">
        <v>0</v>
      </c>
      <c r="G400" s="5"/>
      <c r="H400" t="str">
        <f t="shared" si="19"/>
        <v>0, 10000);</v>
      </c>
      <c r="I400" t="str">
        <f t="shared" si="20"/>
        <v>0</v>
      </c>
      <c r="J400" t="str">
        <f t="shared" si="21"/>
        <v xml:space="preserve"> 10000</v>
      </c>
    </row>
    <row r="401" spans="1:10">
      <c r="A401" s="1" t="s">
        <v>395</v>
      </c>
      <c r="B401" s="1" t="s">
        <v>592</v>
      </c>
      <c r="C401">
        <f t="array" ref="C401">D401:F401</f>
        <v>0</v>
      </c>
      <c r="E401" s="5">
        <v>100000000</v>
      </c>
      <c r="F401" s="5">
        <v>0</v>
      </c>
      <c r="G401" s="5"/>
      <c r="H401" t="str">
        <f t="shared" si="19"/>
        <v>0, 100000000);</v>
      </c>
      <c r="I401" t="str">
        <f t="shared" si="20"/>
        <v>0</v>
      </c>
      <c r="J401" t="str">
        <f t="shared" si="21"/>
        <v xml:space="preserve"> 100000000</v>
      </c>
    </row>
    <row r="402" spans="1:10">
      <c r="A402" s="1" t="s">
        <v>396</v>
      </c>
      <c r="B402" s="1" t="s">
        <v>593</v>
      </c>
      <c r="C402">
        <f t="array" ref="C402">D402:F402</f>
        <v>0</v>
      </c>
      <c r="E402" s="5">
        <v>10000</v>
      </c>
      <c r="F402" s="5">
        <v>0</v>
      </c>
      <c r="G402" s="5"/>
      <c r="H402" t="str">
        <f t="shared" si="19"/>
        <v>0, 10000);</v>
      </c>
      <c r="I402" t="str">
        <f t="shared" si="20"/>
        <v>0</v>
      </c>
      <c r="J402" t="str">
        <f t="shared" si="21"/>
        <v xml:space="preserve"> 10000</v>
      </c>
    </row>
    <row r="403" spans="1:10">
      <c r="A403" s="1" t="s">
        <v>397</v>
      </c>
      <c r="B403" s="1" t="s">
        <v>594</v>
      </c>
      <c r="C403">
        <f t="array" ref="C403">D403:F403</f>
        <v>0</v>
      </c>
      <c r="E403" s="5">
        <v>10000</v>
      </c>
      <c r="F403" s="5">
        <v>0</v>
      </c>
      <c r="G403" s="5"/>
      <c r="H403" t="str">
        <f t="shared" si="19"/>
        <v>0, 10000);</v>
      </c>
      <c r="I403" t="str">
        <f t="shared" si="20"/>
        <v>0</v>
      </c>
      <c r="J403" t="str">
        <f t="shared" si="21"/>
        <v xml:space="preserve"> 10000</v>
      </c>
    </row>
    <row r="404" spans="1:10">
      <c r="A404" s="1" t="s">
        <v>398</v>
      </c>
      <c r="B404" s="1" t="s">
        <v>595</v>
      </c>
      <c r="C404">
        <f t="array" ref="C404">D404:F404</f>
        <v>0</v>
      </c>
      <c r="E404" s="5">
        <v>100000000</v>
      </c>
      <c r="F404" s="5">
        <v>0</v>
      </c>
      <c r="G404" s="5"/>
      <c r="H404" t="str">
        <f t="shared" si="19"/>
        <v>0, 100000000);</v>
      </c>
      <c r="I404" t="str">
        <f t="shared" si="20"/>
        <v>0</v>
      </c>
      <c r="J404" t="str">
        <f t="shared" si="21"/>
        <v xml:space="preserve"> 100000000</v>
      </c>
    </row>
    <row r="405" spans="1:10">
      <c r="A405" s="1" t="s">
        <v>399</v>
      </c>
      <c r="B405" s="1" t="s">
        <v>596</v>
      </c>
      <c r="C405">
        <f t="array" ref="C405">D405:F405</f>
        <v>0</v>
      </c>
      <c r="E405" s="5">
        <v>0</v>
      </c>
      <c r="F405" s="5">
        <v>1002.307494</v>
      </c>
      <c r="G405" s="5"/>
      <c r="H405" t="str">
        <f t="shared" si="19"/>
        <v>1002.307494, 0);</v>
      </c>
      <c r="I405" t="str">
        <f t="shared" si="20"/>
        <v>1002.307494</v>
      </c>
      <c r="J405" t="str">
        <f t="shared" si="21"/>
        <v xml:space="preserve"> 0</v>
      </c>
    </row>
    <row r="406" spans="1:10">
      <c r="A406" s="1" t="s">
        <v>400</v>
      </c>
      <c r="B406" s="1" t="s">
        <v>597</v>
      </c>
      <c r="C406">
        <f t="array" ref="C406">D406:F406</f>
        <v>0</v>
      </c>
      <c r="E406" s="5">
        <v>100000000</v>
      </c>
      <c r="F406" s="5">
        <v>0</v>
      </c>
      <c r="G406" s="5"/>
      <c r="H406" t="str">
        <f t="shared" si="19"/>
        <v>0, 100000000);</v>
      </c>
      <c r="I406" t="str">
        <f t="shared" si="20"/>
        <v>0</v>
      </c>
      <c r="J406" t="str">
        <f t="shared" si="21"/>
        <v xml:space="preserve"> 100000000</v>
      </c>
    </row>
    <row r="407" spans="1:10">
      <c r="A407" s="1" t="s">
        <v>401</v>
      </c>
      <c r="B407" s="1" t="s">
        <v>598</v>
      </c>
      <c r="C407">
        <f t="array" ref="C407">D407:F407</f>
        <v>0</v>
      </c>
      <c r="E407" s="5">
        <v>0</v>
      </c>
      <c r="F407" s="5">
        <v>46.817815000000003</v>
      </c>
      <c r="G407" s="5"/>
      <c r="H407" t="str">
        <f t="shared" si="19"/>
        <v>46.817815, 0);</v>
      </c>
      <c r="I407" t="str">
        <f t="shared" si="20"/>
        <v>46.817815</v>
      </c>
      <c r="J407" t="str">
        <f t="shared" si="21"/>
        <v xml:space="preserve"> 0</v>
      </c>
    </row>
    <row r="408" spans="1:10">
      <c r="A408" s="1" t="s">
        <v>402</v>
      </c>
      <c r="B408" s="1" t="s">
        <v>599</v>
      </c>
      <c r="C408">
        <f t="array" ref="C408">D408:F408</f>
        <v>0</v>
      </c>
      <c r="E408" s="5">
        <v>100000000</v>
      </c>
      <c r="F408" s="5">
        <v>0</v>
      </c>
      <c r="G408" s="5"/>
      <c r="H408" t="str">
        <f t="shared" si="19"/>
        <v>0, 100000000);</v>
      </c>
      <c r="I408" t="str">
        <f t="shared" si="20"/>
        <v>0</v>
      </c>
      <c r="J408" t="str">
        <f t="shared" si="21"/>
        <v xml:space="preserve"> 100000000</v>
      </c>
    </row>
    <row r="409" spans="1:10">
      <c r="A409" s="1" t="s">
        <v>403</v>
      </c>
      <c r="B409" s="1" t="s">
        <v>600</v>
      </c>
      <c r="C409">
        <f t="array" ref="C409">D409:F409</f>
        <v>0</v>
      </c>
      <c r="E409" s="5">
        <v>0</v>
      </c>
      <c r="F409" s="5">
        <v>15.416853</v>
      </c>
      <c r="G409" s="5"/>
      <c r="H409" t="str">
        <f t="shared" si="19"/>
        <v>15.416853, 0);</v>
      </c>
      <c r="I409" t="str">
        <f t="shared" si="20"/>
        <v>15.416853</v>
      </c>
      <c r="J409" t="str">
        <f t="shared" si="21"/>
        <v xml:space="preserve"> 0</v>
      </c>
    </row>
    <row r="410" spans="1:10">
      <c r="A410" s="1" t="s">
        <v>404</v>
      </c>
      <c r="B410" s="1" t="s">
        <v>601</v>
      </c>
      <c r="C410">
        <f t="array" ref="C410">D410:F410</f>
        <v>0</v>
      </c>
      <c r="E410" s="5">
        <v>10000</v>
      </c>
      <c r="F410" s="5">
        <v>0</v>
      </c>
      <c r="G410" s="5"/>
      <c r="H410" t="str">
        <f t="shared" si="19"/>
        <v>0, 10000);</v>
      </c>
      <c r="I410" t="str">
        <f t="shared" si="20"/>
        <v>0</v>
      </c>
      <c r="J410" t="str">
        <f t="shared" si="21"/>
        <v xml:space="preserve"> 10000</v>
      </c>
    </row>
    <row r="411" spans="1:10">
      <c r="A411" s="1" t="s">
        <v>405</v>
      </c>
      <c r="B411" s="1" t="s">
        <v>602</v>
      </c>
      <c r="C411">
        <f t="array" ref="C411">D411:F411</f>
        <v>0</v>
      </c>
      <c r="E411" s="5">
        <v>0</v>
      </c>
      <c r="F411" s="5">
        <v>1.3183448E-3</v>
      </c>
      <c r="G411" s="5"/>
      <c r="H411" t="str">
        <f t="shared" si="19"/>
        <v>.0013183448, 0);</v>
      </c>
      <c r="I411" t="str">
        <f t="shared" si="20"/>
        <v>.0013183448</v>
      </c>
      <c r="J411" t="str">
        <f t="shared" si="21"/>
        <v xml:space="preserve"> 0</v>
      </c>
    </row>
    <row r="412" spans="1:10">
      <c r="A412" s="1" t="s">
        <v>406</v>
      </c>
      <c r="B412" s="1" t="s">
        <v>603</v>
      </c>
      <c r="C412">
        <f t="array" ref="C412">D412:F412</f>
        <v>0</v>
      </c>
      <c r="E412" s="5">
        <v>10000</v>
      </c>
      <c r="F412" s="5">
        <v>0</v>
      </c>
      <c r="G412" s="5"/>
      <c r="H412" t="str">
        <f t="shared" si="19"/>
        <v>0, 10000);</v>
      </c>
      <c r="I412" t="str">
        <f t="shared" si="20"/>
        <v>0</v>
      </c>
      <c r="J412" t="str">
        <f t="shared" si="21"/>
        <v xml:space="preserve"> 10000</v>
      </c>
    </row>
    <row r="413" spans="1:10">
      <c r="A413" s="1" t="s">
        <v>407</v>
      </c>
      <c r="B413" s="1" t="s">
        <v>604</v>
      </c>
      <c r="C413">
        <f t="array" ref="C413">D413:F413</f>
        <v>0</v>
      </c>
      <c r="E413" s="5">
        <v>0</v>
      </c>
      <c r="F413" s="5">
        <v>1.45066251E-2</v>
      </c>
      <c r="G413" s="5"/>
      <c r="H413" t="str">
        <f t="shared" si="19"/>
        <v>.0145066251, 0);</v>
      </c>
      <c r="I413" t="str">
        <f t="shared" si="20"/>
        <v>.0145066251</v>
      </c>
      <c r="J413" t="str">
        <f t="shared" si="21"/>
        <v xml:space="preserve"> 0</v>
      </c>
    </row>
    <row r="414" spans="1:10">
      <c r="A414" s="1" t="s">
        <v>408</v>
      </c>
      <c r="B414" s="1" t="s">
        <v>605</v>
      </c>
      <c r="C414">
        <f t="array" ref="C414">D414:F414</f>
        <v>0</v>
      </c>
      <c r="E414" s="5">
        <v>100000000</v>
      </c>
      <c r="F414" s="5">
        <v>0</v>
      </c>
      <c r="G414" s="5"/>
      <c r="H414" t="str">
        <f t="shared" si="19"/>
        <v>0, 100000000);</v>
      </c>
      <c r="I414" t="str">
        <f t="shared" si="20"/>
        <v>0</v>
      </c>
      <c r="J414" t="str">
        <f t="shared" si="21"/>
        <v xml:space="preserve"> 100000000</v>
      </c>
    </row>
    <row r="415" spans="1:10">
      <c r="A415" s="1" t="s">
        <v>409</v>
      </c>
      <c r="B415" s="1" t="s">
        <v>606</v>
      </c>
      <c r="C415">
        <f t="array" ref="C415">D415:F415</f>
        <v>0</v>
      </c>
      <c r="E415" s="5">
        <v>0</v>
      </c>
      <c r="F415" s="5">
        <v>17.756429000000001</v>
      </c>
      <c r="G415" s="5"/>
      <c r="H415" t="str">
        <f t="shared" si="19"/>
        <v>17.756429, 0);</v>
      </c>
      <c r="I415" t="str">
        <f t="shared" si="20"/>
        <v>17.756429</v>
      </c>
      <c r="J415" t="str">
        <f t="shared" si="21"/>
        <v xml:space="preserve"> 0</v>
      </c>
    </row>
    <row r="416" spans="1:10">
      <c r="A416" s="1" t="s">
        <v>410</v>
      </c>
      <c r="B416" s="1" t="s">
        <v>607</v>
      </c>
      <c r="C416">
        <f t="array" ref="C416">D416:F416</f>
        <v>0</v>
      </c>
      <c r="E416" s="5">
        <v>10000</v>
      </c>
      <c r="F416" s="5">
        <v>0</v>
      </c>
      <c r="G416" s="5"/>
      <c r="H416" t="str">
        <f t="shared" si="19"/>
        <v>0, 10000);</v>
      </c>
      <c r="I416" t="str">
        <f t="shared" si="20"/>
        <v>0</v>
      </c>
      <c r="J416" t="str">
        <f t="shared" si="21"/>
        <v xml:space="preserve"> 10000</v>
      </c>
    </row>
    <row r="417" spans="1:10">
      <c r="A417" s="1" t="s">
        <v>411</v>
      </c>
      <c r="B417" s="1" t="s">
        <v>608</v>
      </c>
      <c r="C417">
        <f t="array" ref="C417">D417:F417</f>
        <v>0</v>
      </c>
      <c r="E417" s="5">
        <v>0</v>
      </c>
      <c r="F417" s="5">
        <v>5.0968630999999997E-3</v>
      </c>
      <c r="G417" s="5"/>
      <c r="H417" t="str">
        <f t="shared" si="19"/>
        <v>.0050968631, 0);</v>
      </c>
      <c r="I417" t="str">
        <f t="shared" si="20"/>
        <v>.0050968631</v>
      </c>
      <c r="J417" t="str">
        <f t="shared" si="21"/>
        <v xml:space="preserve"> 0</v>
      </c>
    </row>
    <row r="418" spans="1:10">
      <c r="A418" s="1" t="s">
        <v>412</v>
      </c>
      <c r="B418" s="1" t="s">
        <v>609</v>
      </c>
      <c r="C418">
        <f t="array" ref="C418">D418:F418</f>
        <v>0</v>
      </c>
      <c r="E418" s="5">
        <v>10000</v>
      </c>
      <c r="F418" s="5">
        <v>0</v>
      </c>
      <c r="G418" s="5"/>
      <c r="H418" t="str">
        <f t="shared" si="19"/>
        <v>0, 10000);</v>
      </c>
      <c r="I418" t="str">
        <f t="shared" si="20"/>
        <v>0</v>
      </c>
      <c r="J418" t="str">
        <f t="shared" si="21"/>
        <v xml:space="preserve"> 10000</v>
      </c>
    </row>
    <row r="419" spans="1:10">
      <c r="A419" s="1" t="s">
        <v>413</v>
      </c>
      <c r="B419" s="1" t="s">
        <v>610</v>
      </c>
      <c r="C419">
        <f t="array" ref="C419">D419:F419</f>
        <v>0</v>
      </c>
      <c r="E419" s="5">
        <v>0</v>
      </c>
      <c r="F419" s="5">
        <v>6.6458544100000003E-2</v>
      </c>
      <c r="G419" s="5"/>
      <c r="H419" t="str">
        <f t="shared" si="19"/>
        <v>.0664585441, 0);</v>
      </c>
      <c r="I419" t="str">
        <f t="shared" si="20"/>
        <v>.0664585441</v>
      </c>
      <c r="J419" t="str">
        <f t="shared" si="21"/>
        <v xml:space="preserve"> 0</v>
      </c>
    </row>
    <row r="420" spans="1:10">
      <c r="A420" s="1" t="s">
        <v>414</v>
      </c>
      <c r="B420" s="1" t="s">
        <v>611</v>
      </c>
      <c r="C420">
        <f t="array" ref="C420">D420:F420</f>
        <v>0</v>
      </c>
      <c r="E420" s="5">
        <v>29.861424</v>
      </c>
      <c r="F420" s="5">
        <v>298.61424</v>
      </c>
      <c r="G420" s="5"/>
      <c r="H420" t="str">
        <f t="shared" si="19"/>
        <v>298.61424, 29.861424);</v>
      </c>
      <c r="I420" t="str">
        <f t="shared" si="20"/>
        <v>298.61424</v>
      </c>
      <c r="J420" t="str">
        <f t="shared" si="21"/>
        <v xml:space="preserve"> 29.861424</v>
      </c>
    </row>
    <row r="421" spans="1:10">
      <c r="A421" s="1" t="s">
        <v>415</v>
      </c>
      <c r="B421" s="1" t="s">
        <v>612</v>
      </c>
      <c r="C421">
        <f t="array" ref="C421">D421:F421</f>
        <v>0</v>
      </c>
      <c r="E421" s="5">
        <v>4.7902209999999998</v>
      </c>
      <c r="F421" s="5">
        <v>47.902209999999997</v>
      </c>
      <c r="G421" s="5"/>
      <c r="H421" t="str">
        <f t="shared" si="19"/>
        <v>47.90221, 4.790221);</v>
      </c>
      <c r="I421" t="str">
        <f t="shared" si="20"/>
        <v>47.90221</v>
      </c>
      <c r="J421" t="str">
        <f t="shared" si="21"/>
        <v xml:space="preserve"> 4.790221</v>
      </c>
    </row>
    <row r="422" spans="1:10">
      <c r="A422" s="1" t="s">
        <v>416</v>
      </c>
      <c r="B422" s="1" t="s">
        <v>613</v>
      </c>
      <c r="C422">
        <f t="array" ref="C422">D422:F422</f>
        <v>0</v>
      </c>
      <c r="E422" s="5">
        <v>1.4672449999999999</v>
      </c>
      <c r="F422" s="5">
        <v>14.67245</v>
      </c>
      <c r="G422" s="5"/>
      <c r="H422" t="str">
        <f t="shared" si="19"/>
        <v>14.67245, 1.467245);</v>
      </c>
      <c r="I422" t="str">
        <f t="shared" si="20"/>
        <v>14.67245</v>
      </c>
      <c r="J422" t="str">
        <f t="shared" si="21"/>
        <v xml:space="preserve"> 1.467245</v>
      </c>
    </row>
    <row r="423" spans="1:10">
      <c r="A423" s="1" t="s">
        <v>417</v>
      </c>
      <c r="B423" s="1" t="s">
        <v>614</v>
      </c>
      <c r="C423">
        <f t="array" ref="C423">D423:F423</f>
        <v>0</v>
      </c>
      <c r="E423" s="5">
        <v>1.3530660000000001E-4</v>
      </c>
      <c r="F423" s="5">
        <v>1.353066E-3</v>
      </c>
      <c r="G423" s="5"/>
      <c r="H423" t="str">
        <f t="shared" si="19"/>
        <v>.001353066, .0001353066);</v>
      </c>
      <c r="I423" t="str">
        <f t="shared" si="20"/>
        <v>.001353066</v>
      </c>
      <c r="J423" t="str">
        <f t="shared" si="21"/>
        <v xml:space="preserve"> .0001353066</v>
      </c>
    </row>
    <row r="424" spans="1:10">
      <c r="A424" s="1" t="s">
        <v>418</v>
      </c>
      <c r="B424" s="1" t="s">
        <v>615</v>
      </c>
      <c r="C424">
        <f t="array" ref="C424">D424:F424</f>
        <v>0</v>
      </c>
      <c r="E424" s="5">
        <v>1.4527066E-3</v>
      </c>
      <c r="F424" s="5">
        <v>1.4527066E-2</v>
      </c>
      <c r="G424" s="5"/>
      <c r="H424" t="str">
        <f t="shared" si="19"/>
        <v>.014527066, .0014527066);</v>
      </c>
      <c r="I424" t="str">
        <f t="shared" si="20"/>
        <v>.014527066</v>
      </c>
      <c r="J424" t="str">
        <f t="shared" si="21"/>
        <v xml:space="preserve"> .0014527066</v>
      </c>
    </row>
    <row r="425" spans="1:10">
      <c r="A425" s="1" t="s">
        <v>419</v>
      </c>
      <c r="B425" s="1" t="s">
        <v>616</v>
      </c>
      <c r="C425">
        <f t="array" ref="C425">D425:F425</f>
        <v>0</v>
      </c>
      <c r="E425" s="5">
        <v>1.797936</v>
      </c>
      <c r="F425" s="5">
        <v>17.97936</v>
      </c>
      <c r="G425" s="5"/>
      <c r="H425" t="str">
        <f t="shared" si="19"/>
        <v>17.97936, 1.797936);</v>
      </c>
      <c r="I425" t="str">
        <f t="shared" si="20"/>
        <v>17.97936</v>
      </c>
      <c r="J425" t="str">
        <f t="shared" si="21"/>
        <v xml:space="preserve"> 1.797936</v>
      </c>
    </row>
    <row r="426" spans="1:10">
      <c r="A426" s="1" t="s">
        <v>420</v>
      </c>
      <c r="B426" s="1" t="s">
        <v>617</v>
      </c>
      <c r="C426">
        <f t="array" ref="C426">D426:F426</f>
        <v>0</v>
      </c>
      <c r="E426" s="5">
        <v>5.6600200000000002E-4</v>
      </c>
      <c r="F426" s="5">
        <v>5.66002E-3</v>
      </c>
      <c r="G426" s="5"/>
      <c r="H426" t="str">
        <f t="shared" si="19"/>
        <v>.00566002, .000566002);</v>
      </c>
      <c r="I426" t="str">
        <f t="shared" si="20"/>
        <v>.00566002</v>
      </c>
      <c r="J426" t="str">
        <f t="shared" si="21"/>
        <v xml:space="preserve"> .000566002</v>
      </c>
    </row>
    <row r="427" spans="1:10">
      <c r="A427" s="1" t="s">
        <v>421</v>
      </c>
      <c r="B427" s="1" t="s">
        <v>618</v>
      </c>
      <c r="C427">
        <f t="array" ref="C427">D427:F427</f>
        <v>0</v>
      </c>
      <c r="E427" s="5">
        <v>6.8834342999999996E-3</v>
      </c>
      <c r="F427" s="5">
        <v>6.8834343000000006E-2</v>
      </c>
      <c r="G427" s="5"/>
      <c r="H427" t="str">
        <f t="shared" si="19"/>
        <v>.068834343, .0068834343);</v>
      </c>
      <c r="I427" t="str">
        <f t="shared" si="20"/>
        <v>.068834343</v>
      </c>
      <c r="J427" t="str">
        <f t="shared" si="21"/>
        <v xml:space="preserve"> .0068834343</v>
      </c>
    </row>
    <row r="428" spans="1:10">
      <c r="A428" s="1" t="s">
        <v>422</v>
      </c>
      <c r="B428" s="1" t="s">
        <v>619</v>
      </c>
      <c r="C428">
        <f t="array" ref="C428">D428:F428</f>
        <v>0</v>
      </c>
      <c r="E428" s="5">
        <v>1200000000</v>
      </c>
      <c r="F428" s="5">
        <v>0</v>
      </c>
      <c r="G428" s="5"/>
      <c r="H428" t="str">
        <f t="shared" si="19"/>
        <v>0, 1200000000);</v>
      </c>
      <c r="I428" t="str">
        <f t="shared" si="20"/>
        <v>0</v>
      </c>
      <c r="J428" t="str">
        <f t="shared" si="21"/>
        <v xml:space="preserve"> 1200000000</v>
      </c>
    </row>
    <row r="429" spans="1:10">
      <c r="A429" s="1" t="s">
        <v>423</v>
      </c>
      <c r="B429" s="1" t="s">
        <v>620</v>
      </c>
      <c r="C429">
        <f t="array" ref="C429">D429:F429</f>
        <v>0</v>
      </c>
      <c r="E429" s="5">
        <v>4.7087750000000002</v>
      </c>
      <c r="F429" s="5">
        <v>47.08775</v>
      </c>
      <c r="G429" s="5"/>
      <c r="H429" t="str">
        <f t="shared" si="19"/>
        <v>47.08775, 4.708775);</v>
      </c>
      <c r="I429" t="str">
        <f t="shared" si="20"/>
        <v>47.08775</v>
      </c>
      <c r="J429" t="str">
        <f t="shared" si="21"/>
        <v xml:space="preserve"> 4.708775</v>
      </c>
    </row>
    <row r="430" spans="1:10">
      <c r="A430" s="1" t="s">
        <v>424</v>
      </c>
      <c r="B430" s="1" t="s">
        <v>621</v>
      </c>
      <c r="C430">
        <f t="array" ref="C430">D430:F430</f>
        <v>0</v>
      </c>
      <c r="E430" s="5">
        <v>1.5742020000000001</v>
      </c>
      <c r="F430" s="5">
        <v>15.74202</v>
      </c>
      <c r="G430" s="5"/>
      <c r="H430" t="str">
        <f t="shared" si="19"/>
        <v>15.74202, 1.574202);</v>
      </c>
      <c r="I430" t="str">
        <f t="shared" si="20"/>
        <v>15.74202</v>
      </c>
      <c r="J430" t="str">
        <f t="shared" si="21"/>
        <v xml:space="preserve"> 1.574202</v>
      </c>
    </row>
    <row r="431" spans="1:10">
      <c r="A431" s="1" t="s">
        <v>425</v>
      </c>
      <c r="B431" s="1" t="s">
        <v>622</v>
      </c>
      <c r="C431">
        <f t="array" ref="C431">D431:F431</f>
        <v>0</v>
      </c>
      <c r="E431" s="5">
        <v>10000</v>
      </c>
      <c r="F431" s="5">
        <v>0</v>
      </c>
      <c r="G431" s="5"/>
      <c r="H431" t="str">
        <f t="shared" si="19"/>
        <v>0, 10000);</v>
      </c>
      <c r="I431" t="str">
        <f t="shared" si="20"/>
        <v>0</v>
      </c>
      <c r="J431" t="str">
        <f t="shared" si="21"/>
        <v xml:space="preserve"> 10000</v>
      </c>
    </row>
    <row r="432" spans="1:10">
      <c r="A432" s="1" t="s">
        <v>426</v>
      </c>
      <c r="B432" s="1" t="s">
        <v>623</v>
      </c>
      <c r="C432">
        <f t="array" ref="C432">D432:F432</f>
        <v>0</v>
      </c>
      <c r="E432" s="5">
        <v>10000</v>
      </c>
      <c r="F432" s="5">
        <v>0</v>
      </c>
      <c r="G432" s="5"/>
      <c r="H432" t="str">
        <f t="shared" si="19"/>
        <v>0, 10000);</v>
      </c>
      <c r="I432" t="str">
        <f t="shared" si="20"/>
        <v>0</v>
      </c>
      <c r="J432" t="str">
        <f t="shared" si="21"/>
        <v xml:space="preserve"> 10000</v>
      </c>
    </row>
    <row r="433" spans="1:10">
      <c r="A433" s="1" t="s">
        <v>427</v>
      </c>
      <c r="B433" s="1" t="s">
        <v>624</v>
      </c>
      <c r="C433">
        <f t="array" ref="C433">D433:F433</f>
        <v>0</v>
      </c>
      <c r="E433" s="5">
        <v>100000000</v>
      </c>
      <c r="F433" s="5">
        <v>0</v>
      </c>
      <c r="G433" s="5"/>
      <c r="H433" t="str">
        <f t="shared" si="19"/>
        <v>0, 100000000);</v>
      </c>
      <c r="I433" t="str">
        <f t="shared" si="20"/>
        <v>0</v>
      </c>
      <c r="J433" t="str">
        <f t="shared" si="21"/>
        <v xml:space="preserve"> 100000000</v>
      </c>
    </row>
    <row r="434" spans="1:10">
      <c r="A434" s="1" t="s">
        <v>428</v>
      </c>
      <c r="B434" s="1" t="s">
        <v>625</v>
      </c>
      <c r="C434">
        <f t="array" ref="C434">D434:F434</f>
        <v>0</v>
      </c>
      <c r="E434" s="5">
        <v>10000</v>
      </c>
      <c r="F434" s="5">
        <v>0</v>
      </c>
      <c r="G434" s="5"/>
      <c r="H434" t="str">
        <f t="shared" si="19"/>
        <v>0, 10000);</v>
      </c>
      <c r="I434" t="str">
        <f t="shared" si="20"/>
        <v>0</v>
      </c>
      <c r="J434" t="str">
        <f t="shared" si="21"/>
        <v xml:space="preserve"> 10000</v>
      </c>
    </row>
    <row r="435" spans="1:10">
      <c r="A435" s="1" t="s">
        <v>429</v>
      </c>
      <c r="B435" s="1" t="s">
        <v>626</v>
      </c>
      <c r="C435">
        <f t="array" ref="C435">D435:F435</f>
        <v>0</v>
      </c>
      <c r="E435" s="5">
        <v>10000</v>
      </c>
      <c r="F435" s="5">
        <v>0</v>
      </c>
      <c r="G435" s="5"/>
      <c r="H435" t="str">
        <f t="shared" si="19"/>
        <v>0, 10000);</v>
      </c>
      <c r="I435" t="str">
        <f t="shared" si="20"/>
        <v>0</v>
      </c>
      <c r="J435" t="str">
        <f t="shared" si="21"/>
        <v xml:space="preserve"> 10000</v>
      </c>
    </row>
    <row r="436" spans="1:10">
      <c r="A436" s="1" t="s">
        <v>430</v>
      </c>
      <c r="B436" s="1" t="s">
        <v>627</v>
      </c>
      <c r="C436">
        <f t="array" ref="C436">D436:F436</f>
        <v>0</v>
      </c>
      <c r="E436" s="5">
        <v>1200000000</v>
      </c>
      <c r="F436" s="5">
        <v>0</v>
      </c>
      <c r="G436" s="5"/>
      <c r="H436" t="str">
        <f t="shared" si="19"/>
        <v>0, 1200000000);</v>
      </c>
      <c r="I436" t="str">
        <f t="shared" si="20"/>
        <v>0</v>
      </c>
      <c r="J436" t="str">
        <f t="shared" si="21"/>
        <v xml:space="preserve"> 1200000000</v>
      </c>
    </row>
    <row r="437" spans="1:10">
      <c r="A437" s="1" t="s">
        <v>431</v>
      </c>
      <c r="B437" s="1" t="s">
        <v>628</v>
      </c>
      <c r="C437">
        <f t="array" ref="C437">D437:F437</f>
        <v>0</v>
      </c>
      <c r="E437" s="5">
        <v>1.8336999999999999E-2</v>
      </c>
      <c r="F437" s="5">
        <v>0.18337000000000001</v>
      </c>
      <c r="G437" s="5"/>
      <c r="H437" t="str">
        <f t="shared" si="19"/>
        <v>.18337, .018337);</v>
      </c>
      <c r="I437" t="str">
        <f t="shared" si="20"/>
        <v>.18337</v>
      </c>
      <c r="J437" t="str">
        <f t="shared" si="21"/>
        <v xml:space="preserve"> .018337</v>
      </c>
    </row>
    <row r="438" spans="1:10">
      <c r="A438" s="1" t="s">
        <v>432</v>
      </c>
      <c r="B438" s="1" t="s">
        <v>629</v>
      </c>
      <c r="C438">
        <f t="array" ref="C438">D438:F438</f>
        <v>0</v>
      </c>
      <c r="E438" s="5">
        <v>0.61149600000000004</v>
      </c>
      <c r="F438" s="5">
        <v>6.11496</v>
      </c>
      <c r="G438" s="5"/>
      <c r="H438" t="str">
        <f t="shared" si="19"/>
        <v>6.11496, .611496);</v>
      </c>
      <c r="I438" t="str">
        <f t="shared" si="20"/>
        <v>6.11496</v>
      </c>
      <c r="J438" t="str">
        <f t="shared" si="21"/>
        <v xml:space="preserve"> .611496</v>
      </c>
    </row>
    <row r="439" spans="1:10">
      <c r="A439" s="1" t="s">
        <v>433</v>
      </c>
      <c r="B439" s="1" t="s">
        <v>630</v>
      </c>
      <c r="C439">
        <f t="array" ref="C439">D439:F439</f>
        <v>0</v>
      </c>
      <c r="E439" s="5">
        <v>10000</v>
      </c>
      <c r="F439" s="5">
        <v>0</v>
      </c>
      <c r="G439" s="5"/>
      <c r="H439" t="str">
        <f t="shared" si="19"/>
        <v>0, 10000);</v>
      </c>
      <c r="I439" t="str">
        <f t="shared" si="20"/>
        <v>0</v>
      </c>
      <c r="J439" t="str">
        <f t="shared" si="21"/>
        <v xml:space="preserve"> 10000</v>
      </c>
    </row>
    <row r="440" spans="1:10">
      <c r="A440" s="1" t="s">
        <v>434</v>
      </c>
      <c r="B440" s="1" t="s">
        <v>631</v>
      </c>
      <c r="C440">
        <f t="array" ref="C440">D440:F440</f>
        <v>0</v>
      </c>
      <c r="E440" s="5">
        <v>10000</v>
      </c>
      <c r="F440" s="5">
        <v>0</v>
      </c>
      <c r="G440" s="5"/>
      <c r="H440" t="str">
        <f t="shared" si="19"/>
        <v>0, 10000);</v>
      </c>
      <c r="I440" t="str">
        <f t="shared" si="20"/>
        <v>0</v>
      </c>
      <c r="J440" t="str">
        <f t="shared" si="21"/>
        <v xml:space="preserve"> 10000</v>
      </c>
    </row>
    <row r="441" spans="1:10">
      <c r="A441" s="1" t="s">
        <v>435</v>
      </c>
      <c r="B441" s="1" t="s">
        <v>632</v>
      </c>
      <c r="C441">
        <f t="array" ref="C441">D441:F441</f>
        <v>0</v>
      </c>
      <c r="E441" s="5">
        <v>100000000</v>
      </c>
      <c r="F441" s="5">
        <v>0</v>
      </c>
      <c r="G441" s="5"/>
      <c r="H441" t="str">
        <f t="shared" si="19"/>
        <v>0, 100000000);</v>
      </c>
      <c r="I441" t="str">
        <f t="shared" si="20"/>
        <v>0</v>
      </c>
      <c r="J441" t="str">
        <f t="shared" si="21"/>
        <v xml:space="preserve"> 100000000</v>
      </c>
    </row>
    <row r="442" spans="1:10">
      <c r="A442" s="1" t="s">
        <v>436</v>
      </c>
      <c r="B442" s="1" t="s">
        <v>633</v>
      </c>
      <c r="C442">
        <f t="array" ref="C442">D442:F442</f>
        <v>0</v>
      </c>
      <c r="E442" s="5">
        <v>10000</v>
      </c>
      <c r="F442" s="5">
        <v>0</v>
      </c>
      <c r="G442" s="5"/>
      <c r="H442" t="str">
        <f t="shared" si="19"/>
        <v>0, 10000);</v>
      </c>
      <c r="I442" t="str">
        <f t="shared" si="20"/>
        <v>0</v>
      </c>
      <c r="J442" t="str">
        <f t="shared" si="21"/>
        <v xml:space="preserve"> 10000</v>
      </c>
    </row>
    <row r="443" spans="1:10">
      <c r="A443" s="1" t="s">
        <v>437</v>
      </c>
      <c r="B443" s="1" t="s">
        <v>634</v>
      </c>
      <c r="C443">
        <f t="array" ref="C443">D443:F443</f>
        <v>0</v>
      </c>
      <c r="E443" s="5">
        <v>10000</v>
      </c>
      <c r="F443" s="5">
        <v>0</v>
      </c>
      <c r="G443" s="5"/>
      <c r="H443" t="str">
        <f t="shared" si="19"/>
        <v>0, 10000);</v>
      </c>
      <c r="I443" t="str">
        <f t="shared" si="20"/>
        <v>0</v>
      </c>
      <c r="J443" t="str">
        <f t="shared" si="21"/>
        <v xml:space="preserve"> 10000</v>
      </c>
    </row>
    <row r="444" spans="1:10">
      <c r="A444" s="1" t="s">
        <v>438</v>
      </c>
      <c r="B444" s="1" t="s">
        <v>635</v>
      </c>
      <c r="C444">
        <f t="array" ref="C444">D444:F444</f>
        <v>0</v>
      </c>
      <c r="E444" s="5">
        <v>1200000000</v>
      </c>
      <c r="F444" s="5">
        <v>0</v>
      </c>
      <c r="G444" s="5"/>
      <c r="H444" t="str">
        <f t="shared" si="19"/>
        <v>0, 1200000000);</v>
      </c>
      <c r="I444" t="str">
        <f t="shared" si="20"/>
        <v>0</v>
      </c>
      <c r="J444" t="str">
        <f t="shared" si="21"/>
        <v xml:space="preserve"> 1200000000</v>
      </c>
    </row>
    <row r="445" spans="1:10">
      <c r="A445" s="1" t="s">
        <v>439</v>
      </c>
      <c r="B445" s="1" t="s">
        <v>636</v>
      </c>
      <c r="C445">
        <f t="array" ref="C445">D445:F445</f>
        <v>0</v>
      </c>
      <c r="E445" s="5">
        <v>0.13678999999999999</v>
      </c>
      <c r="F445" s="5">
        <v>1.3678999999999999</v>
      </c>
      <c r="G445" s="5"/>
      <c r="H445" t="str">
        <f t="shared" ref="H445:H507" si="22">MID(A445,FIND("(",A445)+1,50)</f>
        <v>1.3679, .13679);</v>
      </c>
      <c r="I445" t="str">
        <f t="shared" ref="I445:I507" si="23">MID(H445,1,FIND(",",H445)-1)</f>
        <v>1.3679</v>
      </c>
      <c r="J445" t="str">
        <f t="shared" ref="J445:J507" si="24">MID(H445,FIND(",",H445)+1,LEN(H445)-FIND(",",H445)-2)</f>
        <v xml:space="preserve"> .13679</v>
      </c>
    </row>
    <row r="446" spans="1:10">
      <c r="A446" s="1" t="s">
        <v>440</v>
      </c>
      <c r="B446" s="1" t="s">
        <v>637</v>
      </c>
      <c r="C446">
        <f t="array" ref="C446">D446:F446</f>
        <v>0</v>
      </c>
      <c r="E446" s="5">
        <v>0.63819899999999996</v>
      </c>
      <c r="F446" s="5">
        <v>6.3819900000000001</v>
      </c>
      <c r="G446" s="5"/>
      <c r="H446" t="str">
        <f t="shared" si="22"/>
        <v>6.38199, .638199);</v>
      </c>
      <c r="I446" t="str">
        <f t="shared" si="23"/>
        <v>6.38199</v>
      </c>
      <c r="J446" t="str">
        <f t="shared" si="24"/>
        <v xml:space="preserve"> .638199</v>
      </c>
    </row>
    <row r="447" spans="1:10">
      <c r="A447" s="1" t="s">
        <v>441</v>
      </c>
      <c r="B447" s="1" t="s">
        <v>638</v>
      </c>
      <c r="C447">
        <f t="array" ref="C447">D447:F447</f>
        <v>0</v>
      </c>
      <c r="E447" s="5">
        <v>10000</v>
      </c>
      <c r="F447" s="5">
        <v>0</v>
      </c>
      <c r="G447" s="5"/>
      <c r="H447" t="str">
        <f t="shared" si="22"/>
        <v>0, 10000);</v>
      </c>
      <c r="I447" t="str">
        <f t="shared" si="23"/>
        <v>0</v>
      </c>
      <c r="J447" t="str">
        <f t="shared" si="24"/>
        <v xml:space="preserve"> 10000</v>
      </c>
    </row>
    <row r="448" spans="1:10">
      <c r="A448" s="1" t="s">
        <v>442</v>
      </c>
      <c r="B448" s="1" t="s">
        <v>639</v>
      </c>
      <c r="C448">
        <f t="array" ref="C448">D448:F448</f>
        <v>0</v>
      </c>
      <c r="E448" s="5">
        <v>10000</v>
      </c>
      <c r="F448" s="5">
        <v>0</v>
      </c>
      <c r="G448" s="5"/>
      <c r="H448" t="str">
        <f t="shared" si="22"/>
        <v>0, 10000);</v>
      </c>
      <c r="I448" t="str">
        <f t="shared" si="23"/>
        <v>0</v>
      </c>
      <c r="J448" t="str">
        <f t="shared" si="24"/>
        <v xml:space="preserve"> 10000</v>
      </c>
    </row>
    <row r="449" spans="1:10">
      <c r="A449" s="1" t="s">
        <v>443</v>
      </c>
      <c r="B449" s="1" t="s">
        <v>640</v>
      </c>
      <c r="C449">
        <f t="array" ref="C449">D449:F449</f>
        <v>0</v>
      </c>
      <c r="E449" s="5">
        <v>100000000</v>
      </c>
      <c r="F449" s="5">
        <v>0</v>
      </c>
      <c r="G449" s="5"/>
      <c r="H449" t="str">
        <f t="shared" si="22"/>
        <v>0, 100000000);</v>
      </c>
      <c r="I449" t="str">
        <f t="shared" si="23"/>
        <v>0</v>
      </c>
      <c r="J449" t="str">
        <f t="shared" si="24"/>
        <v xml:space="preserve"> 100000000</v>
      </c>
    </row>
    <row r="450" spans="1:10">
      <c r="A450" s="1" t="s">
        <v>444</v>
      </c>
      <c r="B450" s="1" t="s">
        <v>641</v>
      </c>
      <c r="C450">
        <f t="array" ref="C450">D450:F450</f>
        <v>0</v>
      </c>
      <c r="E450" s="5">
        <v>10000</v>
      </c>
      <c r="F450" s="5">
        <v>0</v>
      </c>
      <c r="G450" s="5"/>
      <c r="H450" t="str">
        <f t="shared" si="22"/>
        <v>0, 10000);</v>
      </c>
      <c r="I450" t="str">
        <f t="shared" si="23"/>
        <v>0</v>
      </c>
      <c r="J450" t="str">
        <f t="shared" si="24"/>
        <v xml:space="preserve"> 10000</v>
      </c>
    </row>
    <row r="451" spans="1:10">
      <c r="A451" s="1" t="s">
        <v>445</v>
      </c>
      <c r="B451" s="1" t="s">
        <v>642</v>
      </c>
      <c r="C451">
        <f t="array" ref="C451">D451:F451</f>
        <v>0</v>
      </c>
      <c r="E451" s="5">
        <v>10000</v>
      </c>
      <c r="F451" s="5">
        <v>0</v>
      </c>
      <c r="G451" s="5"/>
      <c r="H451" t="str">
        <f t="shared" si="22"/>
        <v>0, 10000);</v>
      </c>
      <c r="I451" t="str">
        <f t="shared" si="23"/>
        <v>0</v>
      </c>
      <c r="J451" t="str">
        <f t="shared" si="24"/>
        <v xml:space="preserve"> 10000</v>
      </c>
    </row>
    <row r="452" spans="1:10">
      <c r="A452" s="1" t="s">
        <v>446</v>
      </c>
      <c r="B452" s="1" t="s">
        <v>643</v>
      </c>
      <c r="C452">
        <f t="array" ref="C452">D452:F452</f>
        <v>0</v>
      </c>
      <c r="E452" s="5">
        <v>41.89</v>
      </c>
      <c r="F452" s="5">
        <v>418.9</v>
      </c>
      <c r="G452" s="5"/>
      <c r="H452" t="str">
        <f t="shared" si="22"/>
        <v>418.9, 41.89);</v>
      </c>
      <c r="I452" t="str">
        <f t="shared" si="23"/>
        <v>418.9</v>
      </c>
      <c r="J452" t="str">
        <f t="shared" si="24"/>
        <v xml:space="preserve"> 41.89</v>
      </c>
    </row>
    <row r="453" spans="1:10">
      <c r="A453" s="1" t="s">
        <v>447</v>
      </c>
      <c r="B453" s="1" t="s">
        <v>644</v>
      </c>
      <c r="C453">
        <f t="array" ref="C453">D453:F453</f>
        <v>0</v>
      </c>
      <c r="E453" s="5">
        <v>100000000</v>
      </c>
      <c r="F453" s="5">
        <v>0</v>
      </c>
      <c r="G453" s="5"/>
      <c r="H453" t="str">
        <f t="shared" si="22"/>
        <v>0, 100000000);</v>
      </c>
      <c r="I453" t="str">
        <f t="shared" si="23"/>
        <v>0</v>
      </c>
      <c r="J453" t="str">
        <f t="shared" si="24"/>
        <v xml:space="preserve"> 100000000</v>
      </c>
    </row>
    <row r="454" spans="1:10">
      <c r="A454" s="1" t="s">
        <v>448</v>
      </c>
      <c r="B454" s="1" t="s">
        <v>645</v>
      </c>
      <c r="C454">
        <f t="array" ref="C454">D454:F454</f>
        <v>0</v>
      </c>
      <c r="E454" s="5">
        <v>100000000</v>
      </c>
      <c r="F454" s="5">
        <v>0</v>
      </c>
      <c r="G454" s="5"/>
      <c r="H454" t="str">
        <f t="shared" si="22"/>
        <v>0, 100000000);</v>
      </c>
      <c r="I454" t="str">
        <f t="shared" si="23"/>
        <v>0</v>
      </c>
      <c r="J454" t="str">
        <f t="shared" si="24"/>
        <v xml:space="preserve"> 100000000</v>
      </c>
    </row>
    <row r="455" spans="1:10">
      <c r="A455" s="1" t="s">
        <v>449</v>
      </c>
      <c r="B455" s="1" t="s">
        <v>646</v>
      </c>
      <c r="C455">
        <f t="array" ref="C455">D455:F455</f>
        <v>0</v>
      </c>
      <c r="E455" s="5">
        <v>10000</v>
      </c>
      <c r="F455" s="5">
        <v>0</v>
      </c>
      <c r="G455" s="5"/>
      <c r="H455" t="str">
        <f t="shared" si="22"/>
        <v>0, 10000);</v>
      </c>
      <c r="I455" t="str">
        <f t="shared" si="23"/>
        <v>0</v>
      </c>
      <c r="J455" t="str">
        <f t="shared" si="24"/>
        <v xml:space="preserve"> 10000</v>
      </c>
    </row>
    <row r="456" spans="1:10">
      <c r="A456" s="1" t="s">
        <v>450</v>
      </c>
      <c r="B456" s="1" t="s">
        <v>647</v>
      </c>
      <c r="C456">
        <f t="array" ref="C456">D456:F456</f>
        <v>0</v>
      </c>
      <c r="E456" s="5">
        <v>10000</v>
      </c>
      <c r="F456" s="5">
        <v>0</v>
      </c>
      <c r="G456" s="5"/>
      <c r="H456" t="str">
        <f t="shared" si="22"/>
        <v>0, 10000);</v>
      </c>
      <c r="I456" t="str">
        <f t="shared" si="23"/>
        <v>0</v>
      </c>
      <c r="J456" t="str">
        <f t="shared" si="24"/>
        <v xml:space="preserve"> 10000</v>
      </c>
    </row>
    <row r="457" spans="1:10">
      <c r="A457" s="1" t="s">
        <v>451</v>
      </c>
      <c r="B457" s="1" t="s">
        <v>648</v>
      </c>
      <c r="C457">
        <f t="array" ref="C457">D457:F457</f>
        <v>0</v>
      </c>
      <c r="E457" s="5">
        <v>100000000</v>
      </c>
      <c r="F457" s="5">
        <v>0</v>
      </c>
      <c r="G457" s="5"/>
      <c r="H457" t="str">
        <f t="shared" si="22"/>
        <v>0, 100000000);</v>
      </c>
      <c r="I457" t="str">
        <f t="shared" si="23"/>
        <v>0</v>
      </c>
      <c r="J457" t="str">
        <f t="shared" si="24"/>
        <v xml:space="preserve"> 100000000</v>
      </c>
    </row>
    <row r="458" spans="1:10">
      <c r="A458" s="1" t="s">
        <v>452</v>
      </c>
      <c r="B458" s="1" t="s">
        <v>649</v>
      </c>
      <c r="C458">
        <f t="array" ref="C458">D458:F458</f>
        <v>0</v>
      </c>
      <c r="E458" s="5">
        <v>10000</v>
      </c>
      <c r="F458" s="5">
        <v>0</v>
      </c>
      <c r="G458" s="5"/>
      <c r="H458" t="str">
        <f t="shared" si="22"/>
        <v>0, 10000);</v>
      </c>
      <c r="I458" t="str">
        <f t="shared" si="23"/>
        <v>0</v>
      </c>
      <c r="J458" t="str">
        <f t="shared" si="24"/>
        <v xml:space="preserve"> 10000</v>
      </c>
    </row>
    <row r="459" spans="1:10">
      <c r="A459" s="1" t="s">
        <v>453</v>
      </c>
      <c r="B459" s="1" t="s">
        <v>650</v>
      </c>
      <c r="C459">
        <f t="array" ref="C459">D459:F459</f>
        <v>0</v>
      </c>
      <c r="E459" s="5">
        <v>10000</v>
      </c>
      <c r="F459" s="5">
        <v>0</v>
      </c>
      <c r="G459" s="5"/>
      <c r="H459" t="str">
        <f t="shared" si="22"/>
        <v>0, 10000);</v>
      </c>
      <c r="I459" t="str">
        <f t="shared" si="23"/>
        <v>0</v>
      </c>
      <c r="J459" t="str">
        <f t="shared" si="24"/>
        <v xml:space="preserve"> 10000</v>
      </c>
    </row>
    <row r="460" spans="1:10">
      <c r="A460" s="1" t="s">
        <v>454</v>
      </c>
      <c r="B460" s="1" t="s">
        <v>651</v>
      </c>
      <c r="C460">
        <f t="array" ref="C460">D460:F460</f>
        <v>0</v>
      </c>
      <c r="E460" s="5">
        <v>1200000000</v>
      </c>
      <c r="F460" s="5">
        <v>0</v>
      </c>
      <c r="G460" s="5"/>
      <c r="H460" t="str">
        <f t="shared" si="22"/>
        <v>0, 1200000000);</v>
      </c>
      <c r="I460" t="str">
        <f t="shared" si="23"/>
        <v>0</v>
      </c>
      <c r="J460" t="str">
        <f t="shared" si="24"/>
        <v xml:space="preserve"> 1200000000</v>
      </c>
    </row>
    <row r="461" spans="1:10">
      <c r="A461" s="1" t="s">
        <v>455</v>
      </c>
      <c r="B461" s="1" t="s">
        <v>652</v>
      </c>
      <c r="C461">
        <f t="array" ref="C461">D461:F461</f>
        <v>0</v>
      </c>
      <c r="E461" s="5">
        <v>100000000</v>
      </c>
      <c r="F461" s="5">
        <v>0</v>
      </c>
      <c r="G461" s="5"/>
      <c r="H461" t="str">
        <f t="shared" si="22"/>
        <v>0, 100000000);</v>
      </c>
      <c r="I461" t="str">
        <f t="shared" si="23"/>
        <v>0</v>
      </c>
      <c r="J461" t="str">
        <f t="shared" si="24"/>
        <v xml:space="preserve"> 100000000</v>
      </c>
    </row>
    <row r="462" spans="1:10">
      <c r="A462" s="1" t="s">
        <v>456</v>
      </c>
      <c r="B462" s="1" t="s">
        <v>653</v>
      </c>
      <c r="C462">
        <f t="array" ref="C462">D462:F462</f>
        <v>0</v>
      </c>
      <c r="E462" s="5">
        <v>100000000</v>
      </c>
      <c r="F462" s="5">
        <v>0</v>
      </c>
      <c r="G462" s="5"/>
      <c r="H462" t="str">
        <f t="shared" si="22"/>
        <v>0, 100000000);</v>
      </c>
      <c r="I462" t="str">
        <f t="shared" si="23"/>
        <v>0</v>
      </c>
      <c r="J462" t="str">
        <f t="shared" si="24"/>
        <v xml:space="preserve"> 100000000</v>
      </c>
    </row>
    <row r="463" spans="1:10">
      <c r="A463" s="1" t="s">
        <v>457</v>
      </c>
      <c r="B463" s="1" t="s">
        <v>654</v>
      </c>
      <c r="C463">
        <f t="array" ref="C463">D463:F463</f>
        <v>0</v>
      </c>
      <c r="E463" s="5">
        <v>10000</v>
      </c>
      <c r="F463" s="5">
        <v>0</v>
      </c>
      <c r="G463" s="5"/>
      <c r="H463" t="str">
        <f t="shared" si="22"/>
        <v>0, 10000);</v>
      </c>
      <c r="I463" t="str">
        <f t="shared" si="23"/>
        <v>0</v>
      </c>
      <c r="J463" t="str">
        <f t="shared" si="24"/>
        <v xml:space="preserve"> 10000</v>
      </c>
    </row>
    <row r="464" spans="1:10">
      <c r="A464" s="1" t="s">
        <v>458</v>
      </c>
      <c r="B464" s="1" t="s">
        <v>655</v>
      </c>
      <c r="C464">
        <f t="array" ref="C464">D464:F464</f>
        <v>0</v>
      </c>
      <c r="E464" s="5">
        <v>10000</v>
      </c>
      <c r="F464" s="5">
        <v>0</v>
      </c>
      <c r="G464" s="5"/>
      <c r="H464" t="str">
        <f t="shared" si="22"/>
        <v>0, 10000);</v>
      </c>
      <c r="I464" t="str">
        <f t="shared" si="23"/>
        <v>0</v>
      </c>
      <c r="J464" t="str">
        <f t="shared" si="24"/>
        <v xml:space="preserve"> 10000</v>
      </c>
    </row>
    <row r="465" spans="1:10">
      <c r="A465" s="1" t="s">
        <v>459</v>
      </c>
      <c r="B465" s="1" t="s">
        <v>656</v>
      </c>
      <c r="C465">
        <f t="array" ref="C465">D465:F465</f>
        <v>0</v>
      </c>
      <c r="E465" s="5">
        <v>100000000</v>
      </c>
      <c r="F465" s="5">
        <v>0</v>
      </c>
      <c r="G465" s="5"/>
      <c r="H465" t="str">
        <f t="shared" si="22"/>
        <v>0, 100000000);</v>
      </c>
      <c r="I465" t="str">
        <f t="shared" si="23"/>
        <v>0</v>
      </c>
      <c r="J465" t="str">
        <f t="shared" si="24"/>
        <v xml:space="preserve"> 100000000</v>
      </c>
    </row>
    <row r="466" spans="1:10">
      <c r="A466" s="1" t="s">
        <v>460</v>
      </c>
      <c r="B466" s="1" t="s">
        <v>657</v>
      </c>
      <c r="C466">
        <f t="array" ref="C466">D466:F466</f>
        <v>0</v>
      </c>
      <c r="E466" s="5">
        <v>10000</v>
      </c>
      <c r="F466" s="5">
        <v>0</v>
      </c>
      <c r="G466" s="5"/>
      <c r="H466" t="str">
        <f t="shared" si="22"/>
        <v>0, 10000);</v>
      </c>
      <c r="I466" t="str">
        <f t="shared" si="23"/>
        <v>0</v>
      </c>
      <c r="J466" t="str">
        <f t="shared" si="24"/>
        <v xml:space="preserve"> 10000</v>
      </c>
    </row>
    <row r="467" spans="1:10">
      <c r="A467" s="1" t="s">
        <v>461</v>
      </c>
      <c r="B467" s="1" t="s">
        <v>658</v>
      </c>
      <c r="C467">
        <f t="array" ref="C467">D467:F467</f>
        <v>0</v>
      </c>
      <c r="E467" s="5">
        <v>10000</v>
      </c>
      <c r="F467" s="5">
        <v>0</v>
      </c>
      <c r="G467" s="5"/>
      <c r="H467" t="str">
        <f t="shared" si="22"/>
        <v>0, 10000);</v>
      </c>
      <c r="I467" t="str">
        <f t="shared" si="23"/>
        <v>0</v>
      </c>
      <c r="J467" t="str">
        <f t="shared" si="24"/>
        <v xml:space="preserve"> 10000</v>
      </c>
    </row>
    <row r="468" spans="1:10">
      <c r="A468" s="1" t="s">
        <v>462</v>
      </c>
      <c r="B468" s="1" t="s">
        <v>659</v>
      </c>
      <c r="C468">
        <f t="array" ref="C468">D468:F468</f>
        <v>0</v>
      </c>
      <c r="E468" s="5">
        <v>237.30541679999999</v>
      </c>
      <c r="F468" s="5">
        <v>11865.270839999999</v>
      </c>
      <c r="G468" s="5"/>
      <c r="H468" t="str">
        <f t="shared" si="22"/>
        <v>11865.27084, 237.3054168);</v>
      </c>
      <c r="I468" t="str">
        <f t="shared" si="23"/>
        <v>11865.27084</v>
      </c>
      <c r="J468" t="str">
        <f t="shared" si="24"/>
        <v xml:space="preserve"> 237.3054168</v>
      </c>
    </row>
    <row r="469" spans="1:10">
      <c r="A469" s="1" t="s">
        <v>463</v>
      </c>
      <c r="B469" s="1" t="s">
        <v>660</v>
      </c>
      <c r="C469">
        <f t="array" ref="C469">D469:F469</f>
        <v>0</v>
      </c>
      <c r="E469" s="5">
        <v>100000000</v>
      </c>
      <c r="F469" s="5">
        <v>0</v>
      </c>
      <c r="G469" s="5"/>
      <c r="H469" t="str">
        <f t="shared" si="22"/>
        <v>0, 100000000);</v>
      </c>
      <c r="I469" t="str">
        <f t="shared" si="23"/>
        <v>0</v>
      </c>
      <c r="J469" t="str">
        <f t="shared" si="24"/>
        <v xml:space="preserve"> 100000000</v>
      </c>
    </row>
    <row r="470" spans="1:10">
      <c r="A470" s="1" t="s">
        <v>464</v>
      </c>
      <c r="B470" s="1" t="s">
        <v>661</v>
      </c>
      <c r="C470">
        <f t="array" ref="C470">D470:F470</f>
        <v>0</v>
      </c>
      <c r="E470" s="5">
        <v>100000000</v>
      </c>
      <c r="F470" s="5">
        <v>0</v>
      </c>
      <c r="G470" s="5"/>
      <c r="H470" t="str">
        <f t="shared" si="22"/>
        <v>0, 100000000);</v>
      </c>
      <c r="I470" t="str">
        <f t="shared" si="23"/>
        <v>0</v>
      </c>
      <c r="J470" t="str">
        <f t="shared" si="24"/>
        <v xml:space="preserve"> 100000000</v>
      </c>
    </row>
    <row r="471" spans="1:10">
      <c r="A471" s="1" t="s">
        <v>465</v>
      </c>
      <c r="B471" s="1" t="s">
        <v>662</v>
      </c>
      <c r="C471">
        <f t="array" ref="C471">D471:F471</f>
        <v>0</v>
      </c>
      <c r="E471" s="5">
        <v>10000</v>
      </c>
      <c r="F471" s="5">
        <v>0</v>
      </c>
      <c r="G471" s="5"/>
      <c r="H471" t="str">
        <f t="shared" si="22"/>
        <v>0, 10000);</v>
      </c>
      <c r="I471" t="str">
        <f t="shared" si="23"/>
        <v>0</v>
      </c>
      <c r="J471" t="str">
        <f t="shared" si="24"/>
        <v xml:space="preserve"> 10000</v>
      </c>
    </row>
    <row r="472" spans="1:10">
      <c r="A472" s="1" t="s">
        <v>466</v>
      </c>
      <c r="B472" s="1" t="s">
        <v>663</v>
      </c>
      <c r="C472">
        <f t="array" ref="C472">D472:F472</f>
        <v>0</v>
      </c>
      <c r="E472" s="5">
        <v>10000</v>
      </c>
      <c r="F472" s="5">
        <v>0</v>
      </c>
      <c r="G472" s="5"/>
      <c r="H472" t="str">
        <f t="shared" si="22"/>
        <v>0, 10000);</v>
      </c>
      <c r="I472" t="str">
        <f t="shared" si="23"/>
        <v>0</v>
      </c>
      <c r="J472" t="str">
        <f t="shared" si="24"/>
        <v xml:space="preserve"> 10000</v>
      </c>
    </row>
    <row r="473" spans="1:10">
      <c r="A473" s="1" t="s">
        <v>467</v>
      </c>
      <c r="B473" s="1" t="s">
        <v>664</v>
      </c>
      <c r="C473">
        <f t="array" ref="C473">D473:F473</f>
        <v>0</v>
      </c>
      <c r="E473" s="5">
        <v>100000000</v>
      </c>
      <c r="F473" s="5">
        <v>0</v>
      </c>
      <c r="G473" s="5"/>
      <c r="H473" t="str">
        <f t="shared" si="22"/>
        <v>0, 100000000);</v>
      </c>
      <c r="I473" t="str">
        <f t="shared" si="23"/>
        <v>0</v>
      </c>
      <c r="J473" t="str">
        <f t="shared" si="24"/>
        <v xml:space="preserve"> 100000000</v>
      </c>
    </row>
    <row r="474" spans="1:10">
      <c r="A474" s="1" t="s">
        <v>468</v>
      </c>
      <c r="B474" s="1" t="s">
        <v>665</v>
      </c>
      <c r="C474">
        <f t="array" ref="C474">D474:F474</f>
        <v>0</v>
      </c>
      <c r="E474" s="5">
        <v>10000</v>
      </c>
      <c r="F474" s="5">
        <v>0</v>
      </c>
      <c r="G474" s="5"/>
      <c r="H474" t="str">
        <f t="shared" si="22"/>
        <v>0, 10000);</v>
      </c>
      <c r="I474" t="str">
        <f t="shared" si="23"/>
        <v>0</v>
      </c>
      <c r="J474" t="str">
        <f t="shared" si="24"/>
        <v xml:space="preserve"> 10000</v>
      </c>
    </row>
    <row r="475" spans="1:10">
      <c r="A475" s="1" t="s">
        <v>469</v>
      </c>
      <c r="B475" s="1" t="s">
        <v>666</v>
      </c>
      <c r="C475">
        <f t="array" ref="C475">D475:F475</f>
        <v>0</v>
      </c>
      <c r="E475" s="5">
        <v>10000</v>
      </c>
      <c r="F475" s="5">
        <v>0</v>
      </c>
      <c r="G475" s="5"/>
      <c r="H475" t="str">
        <f t="shared" si="22"/>
        <v>0, 10000);</v>
      </c>
      <c r="I475" t="str">
        <f t="shared" si="23"/>
        <v>0</v>
      </c>
      <c r="J475" t="str">
        <f t="shared" si="24"/>
        <v xml:space="preserve"> 10000</v>
      </c>
    </row>
    <row r="476" spans="1:10">
      <c r="A476" s="1" t="s">
        <v>470</v>
      </c>
      <c r="B476" s="1" t="s">
        <v>667</v>
      </c>
      <c r="C476">
        <f t="array" ref="C476">D476:F476</f>
        <v>0</v>
      </c>
      <c r="E476" s="5">
        <v>0</v>
      </c>
      <c r="F476" s="5">
        <v>0</v>
      </c>
      <c r="G476" s="5"/>
      <c r="H476" t="str">
        <f t="shared" si="22"/>
        <v>0, 0);</v>
      </c>
      <c r="I476" t="str">
        <f t="shared" si="23"/>
        <v>0</v>
      </c>
      <c r="J476" t="str">
        <f t="shared" si="24"/>
        <v xml:space="preserve"> 0</v>
      </c>
    </row>
    <row r="477" spans="1:10">
      <c r="A477" s="1" t="s">
        <v>471</v>
      </c>
      <c r="B477" s="1" t="s">
        <v>668</v>
      </c>
      <c r="C477">
        <f t="array" ref="C477">D477:F477</f>
        <v>0</v>
      </c>
      <c r="E477" s="5">
        <v>100000000</v>
      </c>
      <c r="F477" s="5">
        <v>0</v>
      </c>
      <c r="G477" s="5"/>
      <c r="H477" t="str">
        <f t="shared" si="22"/>
        <v>0, 100000000);</v>
      </c>
      <c r="I477" t="str">
        <f t="shared" si="23"/>
        <v>0</v>
      </c>
      <c r="J477" t="str">
        <f t="shared" si="24"/>
        <v xml:space="preserve"> 100000000</v>
      </c>
    </row>
    <row r="478" spans="1:10">
      <c r="A478" s="1" t="s">
        <v>472</v>
      </c>
      <c r="B478" s="1" t="s">
        <v>669</v>
      </c>
      <c r="C478">
        <f t="array" ref="C478">D478:F478</f>
        <v>0</v>
      </c>
      <c r="E478" s="5">
        <v>100000000</v>
      </c>
      <c r="F478" s="5">
        <v>0</v>
      </c>
      <c r="G478" s="5"/>
      <c r="H478" t="str">
        <f t="shared" si="22"/>
        <v>0, 100000000);</v>
      </c>
      <c r="I478" t="str">
        <f t="shared" si="23"/>
        <v>0</v>
      </c>
      <c r="J478" t="str">
        <f t="shared" si="24"/>
        <v xml:space="preserve"> 100000000</v>
      </c>
    </row>
    <row r="479" spans="1:10">
      <c r="A479" s="1" t="s">
        <v>473</v>
      </c>
      <c r="B479" s="1" t="s">
        <v>670</v>
      </c>
      <c r="C479">
        <f t="array" ref="C479">D479:F479</f>
        <v>0</v>
      </c>
      <c r="E479" s="5">
        <v>10000</v>
      </c>
      <c r="F479" s="5">
        <v>0</v>
      </c>
      <c r="G479" s="5"/>
      <c r="H479" t="str">
        <f t="shared" si="22"/>
        <v>0, 10000);</v>
      </c>
      <c r="I479" t="str">
        <f t="shared" si="23"/>
        <v>0</v>
      </c>
      <c r="J479" t="str">
        <f t="shared" si="24"/>
        <v xml:space="preserve"> 10000</v>
      </c>
    </row>
    <row r="480" spans="1:10">
      <c r="A480" s="1" t="s">
        <v>474</v>
      </c>
      <c r="B480" s="1" t="s">
        <v>671</v>
      </c>
      <c r="C480">
        <f t="array" ref="C480">D480:F480</f>
        <v>0</v>
      </c>
      <c r="E480" s="5">
        <v>10000</v>
      </c>
      <c r="F480" s="5">
        <v>0</v>
      </c>
      <c r="G480" s="5"/>
      <c r="H480" t="str">
        <f t="shared" si="22"/>
        <v>0, 10000);</v>
      </c>
      <c r="I480" t="str">
        <f t="shared" si="23"/>
        <v>0</v>
      </c>
      <c r="J480" t="str">
        <f t="shared" si="24"/>
        <v xml:space="preserve"> 10000</v>
      </c>
    </row>
    <row r="481" spans="1:10">
      <c r="A481" s="1" t="s">
        <v>475</v>
      </c>
      <c r="B481" s="1" t="s">
        <v>672</v>
      </c>
      <c r="C481">
        <f t="array" ref="C481">D481:F481</f>
        <v>0</v>
      </c>
      <c r="E481" s="5">
        <v>100000000</v>
      </c>
      <c r="F481" s="5">
        <v>0</v>
      </c>
      <c r="G481" s="5"/>
      <c r="H481" t="str">
        <f t="shared" si="22"/>
        <v>0, 100000000);</v>
      </c>
      <c r="I481" t="str">
        <f t="shared" si="23"/>
        <v>0</v>
      </c>
      <c r="J481" t="str">
        <f t="shared" si="24"/>
        <v xml:space="preserve"> 100000000</v>
      </c>
    </row>
    <row r="482" spans="1:10">
      <c r="A482" s="1" t="s">
        <v>476</v>
      </c>
      <c r="B482" s="1" t="s">
        <v>673</v>
      </c>
      <c r="C482">
        <f t="array" ref="C482">D482:F482</f>
        <v>0</v>
      </c>
      <c r="E482" s="5">
        <v>10000</v>
      </c>
      <c r="F482" s="5">
        <v>0</v>
      </c>
      <c r="G482" s="5"/>
      <c r="H482" t="str">
        <f t="shared" si="22"/>
        <v>0, 10000);</v>
      </c>
      <c r="I482" t="str">
        <f t="shared" si="23"/>
        <v>0</v>
      </c>
      <c r="J482" t="str">
        <f t="shared" si="24"/>
        <v xml:space="preserve"> 10000</v>
      </c>
    </row>
    <row r="483" spans="1:10">
      <c r="A483" s="1" t="s">
        <v>477</v>
      </c>
      <c r="B483" s="1" t="s">
        <v>674</v>
      </c>
      <c r="C483">
        <f t="array" ref="C483">D483:F483</f>
        <v>0</v>
      </c>
      <c r="E483" s="5">
        <v>10000</v>
      </c>
      <c r="F483" s="5">
        <v>0</v>
      </c>
      <c r="G483" s="5"/>
      <c r="H483" t="str">
        <f t="shared" si="22"/>
        <v>0, 10000);</v>
      </c>
      <c r="I483" t="str">
        <f t="shared" si="23"/>
        <v>0</v>
      </c>
      <c r="J483" t="str">
        <f t="shared" si="24"/>
        <v xml:space="preserve"> 10000</v>
      </c>
    </row>
    <row r="484" spans="1:10">
      <c r="A484" s="1" t="s">
        <v>478</v>
      </c>
      <c r="B484" s="1" t="s">
        <v>675</v>
      </c>
      <c r="C484">
        <f t="array" ref="C484">D484:F484</f>
        <v>0</v>
      </c>
      <c r="E484" s="5">
        <v>1156.6656720000001</v>
      </c>
      <c r="F484" s="5">
        <v>11566.656720000001</v>
      </c>
      <c r="G484" s="5"/>
      <c r="H484" t="str">
        <f t="shared" si="22"/>
        <v>11566.65672, 1156.665672);</v>
      </c>
      <c r="I484" t="str">
        <f t="shared" si="23"/>
        <v>11566.65672</v>
      </c>
      <c r="J484" t="str">
        <f t="shared" si="24"/>
        <v xml:space="preserve"> 1156.665672</v>
      </c>
    </row>
    <row r="485" spans="1:10">
      <c r="A485" s="1" t="s">
        <v>479</v>
      </c>
      <c r="B485" s="1" t="s">
        <v>676</v>
      </c>
      <c r="C485">
        <f t="array" ref="C485">D485:F485</f>
        <v>0</v>
      </c>
      <c r="E485" s="5">
        <v>100000000</v>
      </c>
      <c r="F485" s="5">
        <v>0</v>
      </c>
      <c r="G485" s="5"/>
      <c r="H485" t="str">
        <f t="shared" si="22"/>
        <v>0, 100000000);</v>
      </c>
      <c r="I485" t="str">
        <f t="shared" si="23"/>
        <v>0</v>
      </c>
      <c r="J485" t="str">
        <f t="shared" si="24"/>
        <v xml:space="preserve"> 100000000</v>
      </c>
    </row>
    <row r="486" spans="1:10">
      <c r="A486" s="1" t="s">
        <v>480</v>
      </c>
      <c r="B486" s="1" t="s">
        <v>677</v>
      </c>
      <c r="C486">
        <f t="array" ref="C486">D486:F486</f>
        <v>0</v>
      </c>
      <c r="E486" s="5">
        <v>100000000</v>
      </c>
      <c r="F486" s="5">
        <v>0</v>
      </c>
      <c r="G486" s="5"/>
      <c r="H486" t="str">
        <f t="shared" si="22"/>
        <v>0, 100000000);</v>
      </c>
      <c r="I486" t="str">
        <f t="shared" si="23"/>
        <v>0</v>
      </c>
      <c r="J486" t="str">
        <f t="shared" si="24"/>
        <v xml:space="preserve"> 100000000</v>
      </c>
    </row>
    <row r="487" spans="1:10">
      <c r="A487" s="1" t="s">
        <v>481</v>
      </c>
      <c r="B487" s="1" t="s">
        <v>678</v>
      </c>
      <c r="C487">
        <f t="array" ref="C487">D487:F487</f>
        <v>0</v>
      </c>
      <c r="E487" s="5">
        <v>10000</v>
      </c>
      <c r="F487" s="5">
        <v>0</v>
      </c>
      <c r="G487" s="5"/>
      <c r="H487" t="str">
        <f t="shared" si="22"/>
        <v>0, 10000);</v>
      </c>
      <c r="I487" t="str">
        <f t="shared" si="23"/>
        <v>0</v>
      </c>
      <c r="J487" t="str">
        <f t="shared" si="24"/>
        <v xml:space="preserve"> 10000</v>
      </c>
    </row>
    <row r="488" spans="1:10">
      <c r="A488" s="1" t="s">
        <v>482</v>
      </c>
      <c r="B488" s="1" t="s">
        <v>679</v>
      </c>
      <c r="C488">
        <f t="array" ref="C488">D488:F488</f>
        <v>0</v>
      </c>
      <c r="E488" s="5">
        <v>10000</v>
      </c>
      <c r="F488" s="5">
        <v>0</v>
      </c>
      <c r="G488" s="5"/>
      <c r="H488" t="str">
        <f t="shared" si="22"/>
        <v>0, 10000);</v>
      </c>
      <c r="I488" t="str">
        <f t="shared" si="23"/>
        <v>0</v>
      </c>
      <c r="J488" t="str">
        <f t="shared" si="24"/>
        <v xml:space="preserve"> 10000</v>
      </c>
    </row>
    <row r="489" spans="1:10">
      <c r="A489" s="1" t="s">
        <v>483</v>
      </c>
      <c r="B489" s="1" t="s">
        <v>680</v>
      </c>
      <c r="C489">
        <f t="array" ref="C489">D489:F489</f>
        <v>0</v>
      </c>
      <c r="E489" s="5">
        <v>100000000</v>
      </c>
      <c r="F489" s="5">
        <v>0</v>
      </c>
      <c r="G489" s="5"/>
      <c r="H489" t="str">
        <f t="shared" si="22"/>
        <v>0, 100000000);</v>
      </c>
      <c r="I489" t="str">
        <f t="shared" si="23"/>
        <v>0</v>
      </c>
      <c r="J489" t="str">
        <f t="shared" si="24"/>
        <v xml:space="preserve"> 100000000</v>
      </c>
    </row>
    <row r="490" spans="1:10">
      <c r="A490" s="1" t="s">
        <v>484</v>
      </c>
      <c r="B490" s="1" t="s">
        <v>681</v>
      </c>
      <c r="C490">
        <f t="array" ref="C490">D490:F490</f>
        <v>0</v>
      </c>
      <c r="E490" s="5">
        <v>10000</v>
      </c>
      <c r="F490" s="5">
        <v>0</v>
      </c>
      <c r="G490" s="5"/>
      <c r="H490" t="str">
        <f t="shared" si="22"/>
        <v>0, 10000);</v>
      </c>
      <c r="I490" t="str">
        <f t="shared" si="23"/>
        <v>0</v>
      </c>
      <c r="J490" t="str">
        <f t="shared" si="24"/>
        <v xml:space="preserve"> 10000</v>
      </c>
    </row>
    <row r="491" spans="1:10">
      <c r="A491" s="1" t="s">
        <v>485</v>
      </c>
      <c r="B491" s="1" t="s">
        <v>682</v>
      </c>
      <c r="C491">
        <f t="array" ref="C491">D491:F491</f>
        <v>0</v>
      </c>
      <c r="E491" s="5">
        <v>10000</v>
      </c>
      <c r="F491" s="5">
        <v>0</v>
      </c>
      <c r="G491" s="5"/>
      <c r="H491" t="str">
        <f t="shared" si="22"/>
        <v>0, 10000);</v>
      </c>
      <c r="I491" t="str">
        <f t="shared" si="23"/>
        <v>0</v>
      </c>
      <c r="J491" t="str">
        <f t="shared" si="24"/>
        <v xml:space="preserve"> 10000</v>
      </c>
    </row>
    <row r="492" spans="1:10">
      <c r="A492" s="1" t="s">
        <v>486</v>
      </c>
      <c r="B492" s="1" t="s">
        <v>683</v>
      </c>
      <c r="C492">
        <f t="array" ref="C492">D492:F492</f>
        <v>0</v>
      </c>
      <c r="E492" s="5">
        <v>100000000</v>
      </c>
      <c r="F492" s="5">
        <v>0</v>
      </c>
      <c r="G492" s="5"/>
      <c r="H492" t="str">
        <f t="shared" si="22"/>
        <v>0, 100000000);</v>
      </c>
      <c r="I492" t="str">
        <f t="shared" si="23"/>
        <v>0</v>
      </c>
      <c r="J492" t="str">
        <f t="shared" si="24"/>
        <v xml:space="preserve"> 100000000</v>
      </c>
    </row>
    <row r="493" spans="1:10">
      <c r="A493" s="1" t="s">
        <v>487</v>
      </c>
      <c r="B493" s="1" t="s">
        <v>684</v>
      </c>
      <c r="C493">
        <f t="array" ref="C493">D493:F493</f>
        <v>0</v>
      </c>
      <c r="E493" s="5">
        <v>0</v>
      </c>
      <c r="F493" s="5">
        <v>2980.8458230000001</v>
      </c>
      <c r="G493" s="5"/>
      <c r="H493" t="str">
        <f t="shared" si="22"/>
        <v>2980.845823, 0);</v>
      </c>
      <c r="I493" t="str">
        <f t="shared" si="23"/>
        <v>2980.845823</v>
      </c>
      <c r="J493" t="str">
        <f t="shared" si="24"/>
        <v xml:space="preserve"> 0</v>
      </c>
    </row>
    <row r="494" spans="1:10">
      <c r="A494" s="1" t="s">
        <v>488</v>
      </c>
      <c r="B494" s="1" t="s">
        <v>685</v>
      </c>
      <c r="C494">
        <f t="array" ref="C494">D494:F494</f>
        <v>0</v>
      </c>
      <c r="E494" s="5">
        <v>100000000</v>
      </c>
      <c r="F494" s="5">
        <v>0</v>
      </c>
      <c r="G494" s="5"/>
      <c r="H494" t="str">
        <f t="shared" si="22"/>
        <v>0, 100000000);</v>
      </c>
      <c r="I494" t="str">
        <f t="shared" si="23"/>
        <v>0</v>
      </c>
      <c r="J494" t="str">
        <f t="shared" si="24"/>
        <v xml:space="preserve"> 100000000</v>
      </c>
    </row>
    <row r="495" spans="1:10">
      <c r="A495" s="1" t="s">
        <v>489</v>
      </c>
      <c r="B495" s="1" t="s">
        <v>686</v>
      </c>
      <c r="C495">
        <f t="array" ref="C495">D495:F495</f>
        <v>0</v>
      </c>
      <c r="E495" s="5">
        <v>0</v>
      </c>
      <c r="F495" s="5">
        <v>0.195048</v>
      </c>
      <c r="G495" s="5"/>
      <c r="H495" t="str">
        <f t="shared" si="22"/>
        <v>.195048, 0);</v>
      </c>
      <c r="I495" t="str">
        <f t="shared" si="23"/>
        <v>.195048</v>
      </c>
      <c r="J495" t="str">
        <f t="shared" si="24"/>
        <v xml:space="preserve"> 0</v>
      </c>
    </row>
    <row r="496" spans="1:10">
      <c r="A496" s="1" t="s">
        <v>490</v>
      </c>
      <c r="B496" s="1" t="s">
        <v>687</v>
      </c>
      <c r="C496">
        <f t="array" ref="C496">D496:F496</f>
        <v>0</v>
      </c>
      <c r="E496" s="5">
        <v>100000000</v>
      </c>
      <c r="F496" s="5">
        <v>0</v>
      </c>
      <c r="G496" s="5"/>
      <c r="H496" t="str">
        <f t="shared" si="22"/>
        <v>0, 100000000);</v>
      </c>
      <c r="I496" t="str">
        <f t="shared" si="23"/>
        <v>0</v>
      </c>
      <c r="J496" t="str">
        <f t="shared" si="24"/>
        <v xml:space="preserve"> 100000000</v>
      </c>
    </row>
    <row r="497" spans="1:10">
      <c r="A497" s="1" t="s">
        <v>491</v>
      </c>
      <c r="B497" s="1" t="s">
        <v>688</v>
      </c>
      <c r="C497">
        <f t="array" ref="C497">D497:F497</f>
        <v>0</v>
      </c>
      <c r="E497" s="5">
        <v>0</v>
      </c>
      <c r="F497" s="5">
        <v>6.160552</v>
      </c>
      <c r="G497" s="5"/>
      <c r="H497" t="str">
        <f t="shared" si="22"/>
        <v>6.160552, 0);</v>
      </c>
      <c r="I497" t="str">
        <f t="shared" si="23"/>
        <v>6.160552</v>
      </c>
      <c r="J497" t="str">
        <f t="shared" si="24"/>
        <v xml:space="preserve"> 0</v>
      </c>
    </row>
    <row r="498" spans="1:10">
      <c r="A498" s="1" t="s">
        <v>492</v>
      </c>
      <c r="B498" s="1" t="s">
        <v>689</v>
      </c>
      <c r="C498">
        <f t="array" ref="C498">D498:F498</f>
        <v>0</v>
      </c>
      <c r="E498" s="5">
        <v>10000</v>
      </c>
      <c r="F498" s="5">
        <v>0</v>
      </c>
      <c r="G498" s="5"/>
      <c r="H498" t="str">
        <f t="shared" si="22"/>
        <v>0, 10000);</v>
      </c>
      <c r="I498" t="str">
        <f t="shared" si="23"/>
        <v>0</v>
      </c>
      <c r="J498" t="str">
        <f t="shared" si="24"/>
        <v xml:space="preserve"> 10000</v>
      </c>
    </row>
    <row r="499" spans="1:10">
      <c r="A499" s="1" t="s">
        <v>493</v>
      </c>
      <c r="B499" s="1" t="s">
        <v>690</v>
      </c>
      <c r="C499">
        <f t="array" ref="C499">D499:F499</f>
        <v>0</v>
      </c>
      <c r="E499" s="5">
        <v>0</v>
      </c>
      <c r="F499" s="5">
        <v>1.0257E-5</v>
      </c>
      <c r="G499" s="5"/>
      <c r="H499" t="str">
        <f t="shared" si="22"/>
        <v>.000010257, 0);</v>
      </c>
      <c r="I499" t="str">
        <f t="shared" si="23"/>
        <v>.000010257</v>
      </c>
      <c r="J499" t="str">
        <f t="shared" si="24"/>
        <v xml:space="preserve"> 0</v>
      </c>
    </row>
    <row r="500" spans="1:10">
      <c r="A500" s="1" t="s">
        <v>494</v>
      </c>
      <c r="B500" s="1" t="s">
        <v>691</v>
      </c>
      <c r="C500">
        <f t="array" ref="C500">D500:F500</f>
        <v>0</v>
      </c>
      <c r="E500" s="5">
        <v>10000</v>
      </c>
      <c r="F500" s="5">
        <v>0</v>
      </c>
      <c r="G500" s="5"/>
      <c r="H500" t="str">
        <f t="shared" si="22"/>
        <v>0, 10000);</v>
      </c>
      <c r="I500" t="str">
        <f t="shared" si="23"/>
        <v>0</v>
      </c>
      <c r="J500" t="str">
        <f t="shared" si="24"/>
        <v xml:space="preserve"> 10000</v>
      </c>
    </row>
    <row r="501" spans="1:10">
      <c r="A501" s="1" t="s">
        <v>495</v>
      </c>
      <c r="B501" s="1" t="s">
        <v>692</v>
      </c>
      <c r="C501">
        <f t="array" ref="C501">D501:F501</f>
        <v>0</v>
      </c>
      <c r="E501" s="5">
        <v>0</v>
      </c>
      <c r="F501" s="5">
        <v>2.1012909999999999E-4</v>
      </c>
      <c r="G501" s="5"/>
      <c r="H501" t="str">
        <f t="shared" si="22"/>
        <v>.0002101291, 0);</v>
      </c>
      <c r="I501" t="str">
        <f t="shared" si="23"/>
        <v>.0002101291</v>
      </c>
      <c r="J501" t="str">
        <f t="shared" si="24"/>
        <v xml:space="preserve"> 0</v>
      </c>
    </row>
    <row r="502" spans="1:10">
      <c r="A502" s="1" t="s">
        <v>496</v>
      </c>
      <c r="B502" s="1" t="s">
        <v>693</v>
      </c>
      <c r="C502">
        <f t="array" ref="C502">D502:F502</f>
        <v>0</v>
      </c>
      <c r="E502" s="5">
        <v>100000000</v>
      </c>
      <c r="F502" s="5">
        <v>0</v>
      </c>
      <c r="G502" s="5"/>
      <c r="H502" t="str">
        <f t="shared" si="22"/>
        <v>0, 100000000);</v>
      </c>
      <c r="I502" t="str">
        <f t="shared" si="23"/>
        <v>0</v>
      </c>
      <c r="J502" t="str">
        <f t="shared" si="24"/>
        <v xml:space="preserve"> 100000000</v>
      </c>
    </row>
    <row r="503" spans="1:10">
      <c r="A503" s="1" t="s">
        <v>497</v>
      </c>
      <c r="B503" s="1" t="s">
        <v>694</v>
      </c>
      <c r="C503">
        <f t="array" ref="C503">D503:F503</f>
        <v>0</v>
      </c>
      <c r="E503" s="5">
        <v>0</v>
      </c>
      <c r="F503" s="5">
        <v>6.0796549999999998</v>
      </c>
      <c r="G503" s="5"/>
      <c r="H503" t="str">
        <f t="shared" si="22"/>
        <v>6.079655, 0);</v>
      </c>
      <c r="I503" t="str">
        <f t="shared" si="23"/>
        <v>6.079655</v>
      </c>
      <c r="J503" t="str">
        <f t="shared" si="24"/>
        <v xml:space="preserve"> 0</v>
      </c>
    </row>
    <row r="504" spans="1:10">
      <c r="A504" s="1" t="s">
        <v>498</v>
      </c>
      <c r="B504" s="1" t="s">
        <v>695</v>
      </c>
      <c r="C504">
        <f t="array" ref="C504">D504:F504</f>
        <v>0</v>
      </c>
      <c r="E504" s="5">
        <v>10000</v>
      </c>
      <c r="F504" s="5">
        <v>0</v>
      </c>
      <c r="G504" s="5"/>
      <c r="H504" t="str">
        <f t="shared" si="22"/>
        <v>0, 10000);</v>
      </c>
      <c r="I504" t="str">
        <f t="shared" si="23"/>
        <v>0</v>
      </c>
      <c r="J504" t="str">
        <f t="shared" si="24"/>
        <v xml:space="preserve"> 10000</v>
      </c>
    </row>
    <row r="505" spans="1:10">
      <c r="A505" s="1" t="s">
        <v>499</v>
      </c>
      <c r="B505" s="1" t="s">
        <v>696</v>
      </c>
      <c r="C505">
        <f t="array" ref="C505">D505:F505</f>
        <v>0</v>
      </c>
      <c r="E505" s="5">
        <v>0</v>
      </c>
      <c r="F505" s="5">
        <v>5.8350421E-3</v>
      </c>
      <c r="G505" s="5"/>
      <c r="H505" t="str">
        <f t="shared" si="22"/>
        <v>.0058350421, 0);</v>
      </c>
      <c r="I505" t="str">
        <f t="shared" si="23"/>
        <v>.0058350421</v>
      </c>
      <c r="J505" t="str">
        <f t="shared" si="24"/>
        <v xml:space="preserve"> 0</v>
      </c>
    </row>
    <row r="506" spans="1:10">
      <c r="A506" s="1" t="s">
        <v>500</v>
      </c>
      <c r="B506" s="1" t="s">
        <v>697</v>
      </c>
      <c r="C506">
        <f t="array" ref="C506">D506:F506</f>
        <v>0</v>
      </c>
      <c r="E506" s="5">
        <v>10000</v>
      </c>
      <c r="F506" s="5">
        <v>0</v>
      </c>
      <c r="G506" s="5"/>
      <c r="H506" t="str">
        <f t="shared" si="22"/>
        <v>0, 10000);</v>
      </c>
      <c r="I506" t="str">
        <f t="shared" si="23"/>
        <v>0</v>
      </c>
      <c r="J506" t="str">
        <f t="shared" si="24"/>
        <v xml:space="preserve"> 10000</v>
      </c>
    </row>
    <row r="507" spans="1:10">
      <c r="A507" s="1" t="s">
        <v>501</v>
      </c>
      <c r="B507" s="1" t="s">
        <v>698</v>
      </c>
      <c r="C507">
        <f t="array" ref="C507">D507:F507</f>
        <v>0</v>
      </c>
      <c r="E507" s="5">
        <v>0</v>
      </c>
      <c r="F507" s="5">
        <v>4.4354368900000003E-2</v>
      </c>
      <c r="G507" s="5"/>
      <c r="H507" t="str">
        <f t="shared" si="22"/>
        <v>.0443543689, 0);</v>
      </c>
      <c r="I507" t="str">
        <f t="shared" si="23"/>
        <v>.0443543689</v>
      </c>
      <c r="J507" t="str">
        <f t="shared" si="24"/>
        <v xml:space="preserve"> 0</v>
      </c>
    </row>
    <row r="508" spans="1:10">
      <c r="A508" s="1"/>
      <c r="B508" s="1"/>
    </row>
    <row r="509" spans="1:10">
      <c r="A509" s="1" t="s">
        <v>502</v>
      </c>
    </row>
    <row r="510" spans="1:10">
      <c r="A510" s="1" t="s">
        <v>759</v>
      </c>
      <c r="B510" s="1" t="s">
        <v>1004</v>
      </c>
      <c r="C510">
        <f t="array" ref="C510">D510:F510</f>
        <v>0</v>
      </c>
    </row>
    <row r="511" spans="1:10">
      <c r="A511" s="1" t="s">
        <v>760</v>
      </c>
      <c r="B511" s="1" t="s">
        <v>1005</v>
      </c>
      <c r="C511">
        <f t="array" ref="C511">D511:F511</f>
        <v>0</v>
      </c>
    </row>
    <row r="512" spans="1:10">
      <c r="A512" s="1" t="s">
        <v>761</v>
      </c>
      <c r="B512" s="1" t="s">
        <v>1006</v>
      </c>
      <c r="C512">
        <f t="array" ref="C512">D512:F512</f>
        <v>0</v>
      </c>
    </row>
    <row r="513" spans="1:3">
      <c r="A513" s="1" t="s">
        <v>762</v>
      </c>
      <c r="B513" s="1" t="s">
        <v>1007</v>
      </c>
      <c r="C513">
        <f t="array" ref="C513">D513:F513</f>
        <v>0</v>
      </c>
    </row>
    <row r="514" spans="1:3">
      <c r="A514" s="1" t="s">
        <v>763</v>
      </c>
      <c r="B514" s="1" t="s">
        <v>1008</v>
      </c>
      <c r="C514">
        <f t="array" ref="C514">D514:F514</f>
        <v>0</v>
      </c>
    </row>
    <row r="515" spans="1:3">
      <c r="A515" s="1" t="s">
        <v>764</v>
      </c>
      <c r="B515" s="1" t="s">
        <v>1009</v>
      </c>
      <c r="C515">
        <f t="array" ref="C515">D515:F515</f>
        <v>0</v>
      </c>
    </row>
    <row r="516" spans="1:3">
      <c r="A516" s="1" t="s">
        <v>765</v>
      </c>
      <c r="B516" s="1" t="s">
        <v>1010</v>
      </c>
      <c r="C516">
        <f t="array" ref="C516">D516:F516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199</vt:i4>
      </vt:variant>
    </vt:vector>
  </HeadingPairs>
  <TitlesOfParts>
    <vt:vector size="200" baseType="lpstr">
      <vt:lpstr>TestProblem</vt:lpstr>
      <vt:lpstr>TestProblem!CCLASStreamConcThickenerFeedStream_Ag</vt:lpstr>
      <vt:lpstr>TestProblem!CCLASStreamConcThickenerFeedStream_Au</vt:lpstr>
      <vt:lpstr>TestProblem!CCLASStreamConcThickenerFeedStream_Cu</vt:lpstr>
      <vt:lpstr>TestProblem!CCLASStreamConcThickenerFeedStream_F</vt:lpstr>
      <vt:lpstr>TestProblem!CCLASStreamConcThickenerFeedStream_Fe</vt:lpstr>
      <vt:lpstr>TestProblem!CCLASStreamConcThickenerFeedStream_Mass</vt:lpstr>
      <vt:lpstr>TestProblem!CCLASStreamConcThickenerFeedStream_S</vt:lpstr>
      <vt:lpstr>TestProblem!CCLASStreamConcThickenerFeedStream_U</vt:lpstr>
      <vt:lpstr>TestProblem!CCLASStreamFlotationTailsStream_Ag</vt:lpstr>
      <vt:lpstr>TestProblem!CCLASStreamFlotationTailsStream_Au</vt:lpstr>
      <vt:lpstr>TestProblem!CCLASStreamFlotationTailsStream_Cu</vt:lpstr>
      <vt:lpstr>TestProblem!CCLASStreamFlotationTailsStream_F</vt:lpstr>
      <vt:lpstr>TestProblem!CCLASStreamFlotationTailsStream_Fe</vt:lpstr>
      <vt:lpstr>TestProblem!CCLASStreamFlotationTailsStream_Mass</vt:lpstr>
      <vt:lpstr>TestProblem!CCLASStreamFlotationTailsStream_S</vt:lpstr>
      <vt:lpstr>TestProblem!CCLASStreamFlotationTailsStream_U</vt:lpstr>
      <vt:lpstr>TestProblem!CCLASStreamRougherFeedStream_Ag</vt:lpstr>
      <vt:lpstr>TestProblem!CCLASStreamRougherFeedStream_Au</vt:lpstr>
      <vt:lpstr>TestProblem!CCLASStreamRougherFeedStream_Cu</vt:lpstr>
      <vt:lpstr>TestProblem!CCLASStreamRougherFeedStream_F</vt:lpstr>
      <vt:lpstr>TestProblem!CCLASStreamRougherFeedStream_Fe</vt:lpstr>
      <vt:lpstr>TestProblem!CCLASStreamRougherFeedStream_Mass</vt:lpstr>
      <vt:lpstr>TestProblem!CCLASStreamRougherFeedStream_S</vt:lpstr>
      <vt:lpstr>TestProblem!CCLASStreamRougherFeedStream_U</vt:lpstr>
      <vt:lpstr>TestProblem!ConcStorageTank1_close_Ag</vt:lpstr>
      <vt:lpstr>TestProblem!ConcStorageTank1_close_Au</vt:lpstr>
      <vt:lpstr>TestProblem!ConcStorageTank1_close_Cu</vt:lpstr>
      <vt:lpstr>TestProblem!ConcStorageTank1_close_F</vt:lpstr>
      <vt:lpstr>TestProblem!ConcStorageTank1_close_Fe</vt:lpstr>
      <vt:lpstr>TestProblem!ConcStorageTank1_close_Mass</vt:lpstr>
      <vt:lpstr>TestProblem!ConcStorageTank1_close_S</vt:lpstr>
      <vt:lpstr>TestProblem!ConcStorageTank1_close_U</vt:lpstr>
      <vt:lpstr>TestProblem!ConcStorageTank1_open_Ag</vt:lpstr>
      <vt:lpstr>TestProblem!ConcStorageTank1_open_Au</vt:lpstr>
      <vt:lpstr>TestProblem!ConcStorageTank1_open_Cu</vt:lpstr>
      <vt:lpstr>TestProblem!ConcStorageTank1_open_F</vt:lpstr>
      <vt:lpstr>TestProblem!ConcStorageTank1_open_Fe</vt:lpstr>
      <vt:lpstr>TestProblem!ConcStorageTank1_open_Mass</vt:lpstr>
      <vt:lpstr>TestProblem!ConcStorageTank1_open_S</vt:lpstr>
      <vt:lpstr>TestProblem!ConcStorageTank1_open_U</vt:lpstr>
      <vt:lpstr>TestProblem!ConcStorageTank1FeedStream_Ag</vt:lpstr>
      <vt:lpstr>TestProblem!ConcStorageTank1FeedStream_Au</vt:lpstr>
      <vt:lpstr>TestProblem!ConcStorageTank1FeedStream_Cu</vt:lpstr>
      <vt:lpstr>TestProblem!ConcStorageTank1FeedStream_F</vt:lpstr>
      <vt:lpstr>TestProblem!ConcStorageTank1FeedStream_Fe</vt:lpstr>
      <vt:lpstr>TestProblem!ConcStorageTank1FeedStream_Mass</vt:lpstr>
      <vt:lpstr>TestProblem!ConcStorageTank1FeedStream_S</vt:lpstr>
      <vt:lpstr>TestProblem!ConcStorageTank1FeedStream_U</vt:lpstr>
      <vt:lpstr>TestProblem!ConcStorageTank1UnderflowStream_Ag</vt:lpstr>
      <vt:lpstr>TestProblem!ConcStorageTank1UnderflowStream_Au</vt:lpstr>
      <vt:lpstr>TestProblem!ConcStorageTank1UnderflowStream_Cu</vt:lpstr>
      <vt:lpstr>TestProblem!ConcStorageTank1UnderflowStream_F</vt:lpstr>
      <vt:lpstr>TestProblem!ConcStorageTank1UnderflowStream_Fe</vt:lpstr>
      <vt:lpstr>TestProblem!ConcStorageTank1UnderflowStream_Mass</vt:lpstr>
      <vt:lpstr>TestProblem!ConcStorageTank1UnderflowStream_S</vt:lpstr>
      <vt:lpstr>TestProblem!ConcStorageTank1UnderflowStream_U</vt:lpstr>
      <vt:lpstr>TestProblem!ConcStorageTank2_close_Ag</vt:lpstr>
      <vt:lpstr>TestProblem!ConcStorageTank2_close_Au</vt:lpstr>
      <vt:lpstr>TestProblem!ConcStorageTank2_close_Cu</vt:lpstr>
      <vt:lpstr>TestProblem!ConcStorageTank2_close_F</vt:lpstr>
      <vt:lpstr>TestProblem!ConcStorageTank2_close_Fe</vt:lpstr>
      <vt:lpstr>TestProblem!ConcStorageTank2_close_Mass</vt:lpstr>
      <vt:lpstr>TestProblem!ConcStorageTank2_close_S</vt:lpstr>
      <vt:lpstr>TestProblem!ConcStorageTank2_close_U</vt:lpstr>
      <vt:lpstr>TestProblem!ConcStorageTank2_open_Ag</vt:lpstr>
      <vt:lpstr>TestProblem!ConcStorageTank2_open_Au</vt:lpstr>
      <vt:lpstr>TestProblem!ConcStorageTank2_open_Cu</vt:lpstr>
      <vt:lpstr>TestProblem!ConcStorageTank2_open_F</vt:lpstr>
      <vt:lpstr>TestProblem!ConcStorageTank2_open_Fe</vt:lpstr>
      <vt:lpstr>TestProblem!ConcStorageTank2_open_Mass</vt:lpstr>
      <vt:lpstr>TestProblem!ConcStorageTank2_open_S</vt:lpstr>
      <vt:lpstr>TestProblem!ConcStorageTank2_open_U</vt:lpstr>
      <vt:lpstr>TestProblem!ConcStorageTank2FeedStream_Ag</vt:lpstr>
      <vt:lpstr>TestProblem!ConcStorageTank2FeedStream_Au</vt:lpstr>
      <vt:lpstr>TestProblem!ConcStorageTank2FeedStream_Cu</vt:lpstr>
      <vt:lpstr>TestProblem!ConcStorageTank2FeedStream_F</vt:lpstr>
      <vt:lpstr>TestProblem!ConcStorageTank2FeedStream_Fe</vt:lpstr>
      <vt:lpstr>TestProblem!ConcStorageTank2FeedStream_Mass</vt:lpstr>
      <vt:lpstr>TestProblem!ConcStorageTank2FeedStream_S</vt:lpstr>
      <vt:lpstr>TestProblem!ConcStorageTank2FeedStream_U</vt:lpstr>
      <vt:lpstr>TestProblem!ConcStorageTank2UnderflowStream_Ag</vt:lpstr>
      <vt:lpstr>TestProblem!ConcStorageTank2UnderflowStream_Au</vt:lpstr>
      <vt:lpstr>TestProblem!ConcStorageTank2UnderflowStream_Cu</vt:lpstr>
      <vt:lpstr>TestProblem!ConcStorageTank2UnderflowStream_F</vt:lpstr>
      <vt:lpstr>TestProblem!ConcStorageTank2UnderflowStream_Fe</vt:lpstr>
      <vt:lpstr>TestProblem!ConcStorageTank2UnderflowStream_Mass</vt:lpstr>
      <vt:lpstr>TestProblem!ConcStorageTank2UnderflowStream_S</vt:lpstr>
      <vt:lpstr>TestProblem!ConcStorageTank2UnderflowStream_U</vt:lpstr>
      <vt:lpstr>TestProblem!ConcThickener_close_Ag</vt:lpstr>
      <vt:lpstr>TestProblem!ConcThickener_close_Au</vt:lpstr>
      <vt:lpstr>TestProblem!ConcThickener_close_Cu</vt:lpstr>
      <vt:lpstr>TestProblem!ConcThickener_close_F</vt:lpstr>
      <vt:lpstr>TestProblem!ConcThickener_close_Fe</vt:lpstr>
      <vt:lpstr>TestProblem!ConcThickener_close_Mass</vt:lpstr>
      <vt:lpstr>TestProblem!ConcThickener_close_S</vt:lpstr>
      <vt:lpstr>TestProblem!ConcThickener_close_U</vt:lpstr>
      <vt:lpstr>TestProblem!ConcThickener_open_Ag</vt:lpstr>
      <vt:lpstr>TestProblem!ConcThickener_open_Au</vt:lpstr>
      <vt:lpstr>TestProblem!ConcThickener_open_Cu</vt:lpstr>
      <vt:lpstr>TestProblem!ConcThickener_open_F</vt:lpstr>
      <vt:lpstr>TestProblem!ConcThickener_open_Fe</vt:lpstr>
      <vt:lpstr>TestProblem!ConcThickener_open_Mass</vt:lpstr>
      <vt:lpstr>TestProblem!ConcThickener_open_S</vt:lpstr>
      <vt:lpstr>TestProblem!ConcThickener_open_U</vt:lpstr>
      <vt:lpstr>TestProblem!ConcThickenerUnderflowStream_Ag</vt:lpstr>
      <vt:lpstr>TestProblem!ConcThickenerUnderflowStream_Au</vt:lpstr>
      <vt:lpstr>TestProblem!ConcThickenerUnderflowStream_Cu</vt:lpstr>
      <vt:lpstr>TestProblem!ConcThickenerUnderflowStream_F</vt:lpstr>
      <vt:lpstr>TestProblem!ConcThickenerUnderflowStream_Fe</vt:lpstr>
      <vt:lpstr>TestProblem!ConcThickenerUnderflowStream_Mass</vt:lpstr>
      <vt:lpstr>TestProblem!ConcThickenerUnderflowStream_S</vt:lpstr>
      <vt:lpstr>TestProblem!ConcThickenerUnderflowStream_U</vt:lpstr>
      <vt:lpstr>TestProblem!CrushedOreStream_Ag</vt:lpstr>
      <vt:lpstr>TestProblem!CrushedOreStream_Au</vt:lpstr>
      <vt:lpstr>TestProblem!CrushedOreStream_Cu</vt:lpstr>
      <vt:lpstr>TestProblem!CrushedOreStream_F</vt:lpstr>
      <vt:lpstr>TestProblem!CrushedOreStream_Fe</vt:lpstr>
      <vt:lpstr>TestProblem!CrushedOreStream_S</vt:lpstr>
      <vt:lpstr>TestProblem!CrushedOreStream_U</vt:lpstr>
      <vt:lpstr>TestProblem!OSAStreamConcThickenerFeedStream_Ag</vt:lpstr>
      <vt:lpstr>TestProblem!OSAStreamConcThickenerFeedStream_Au</vt:lpstr>
      <vt:lpstr>TestProblem!OSAStreamConcThickenerFeedStream_Cu</vt:lpstr>
      <vt:lpstr>TestProblem!OSAStreamConcThickenerFeedStream_F</vt:lpstr>
      <vt:lpstr>TestProblem!OSAStreamConcThickenerFeedStream_Fe</vt:lpstr>
      <vt:lpstr>TestProblem!OSAStreamConcThickenerFeedStream_Mass</vt:lpstr>
      <vt:lpstr>TestProblem!OSAStreamConcThickenerFeedStream_S</vt:lpstr>
      <vt:lpstr>TestProblem!OSAStreamConcThickenerFeedStream_U</vt:lpstr>
      <vt:lpstr>TestProblem!OSAStreamFlotationTailsStream_Ag</vt:lpstr>
      <vt:lpstr>TestProblem!OSAStreamFlotationTailsStream_Au</vt:lpstr>
      <vt:lpstr>TestProblem!OSAStreamFlotationTailsStream_Cu</vt:lpstr>
      <vt:lpstr>TestProblem!OSAStreamFlotationTailsStream_F</vt:lpstr>
      <vt:lpstr>TestProblem!OSAStreamFlotationTailsStream_Fe</vt:lpstr>
      <vt:lpstr>TestProblem!OSAStreamFlotationTailsStream_Mass</vt:lpstr>
      <vt:lpstr>TestProblem!OSAStreamFlotationTailsStream_S</vt:lpstr>
      <vt:lpstr>TestProblem!OSAStreamFlotationTailsStream_U</vt:lpstr>
      <vt:lpstr>TestProblem!OSAStreamRougherFeedStream_Ag</vt:lpstr>
      <vt:lpstr>TestProblem!OSAStreamRougherFeedStream_Au</vt:lpstr>
      <vt:lpstr>TestProblem!OSAStreamRougherFeedStream_Cu</vt:lpstr>
      <vt:lpstr>TestProblem!OSAStreamRougherFeedStream_F</vt:lpstr>
      <vt:lpstr>TestProblem!OSAStreamRougherFeedStream_Fe</vt:lpstr>
      <vt:lpstr>TestProblem!OSAStreamRougherFeedStream_Mass</vt:lpstr>
      <vt:lpstr>TestProblem!OSAStreamRougherFeedStream_S</vt:lpstr>
      <vt:lpstr>TestProblem!OSAStreamRougherFeedStream_U</vt:lpstr>
      <vt:lpstr>TestProblem!PressureFilterFeedStream_Ag</vt:lpstr>
      <vt:lpstr>TestProblem!PressureFilterFeedStream_Au</vt:lpstr>
      <vt:lpstr>TestProblem!PressureFilterFeedStream_Cu</vt:lpstr>
      <vt:lpstr>TestProblem!PressureFilterFeedStream_F</vt:lpstr>
      <vt:lpstr>TestProblem!PressureFilterFeedStream_Fe</vt:lpstr>
      <vt:lpstr>TestProblem!PressureFilterFeedStream_Mass</vt:lpstr>
      <vt:lpstr>TestProblem!PressureFilterFeedStream_S</vt:lpstr>
      <vt:lpstr>TestProblem!PressureFilterFeedStream_U</vt:lpstr>
      <vt:lpstr>TestProblem!PressureFilterUnderflowStream_Ag</vt:lpstr>
      <vt:lpstr>TestProblem!PressureFilterUnderflowStream_Au</vt:lpstr>
      <vt:lpstr>TestProblem!PressureFilterUnderflowStream_Cu</vt:lpstr>
      <vt:lpstr>TestProblem!PressureFilterUnderflowStream_F</vt:lpstr>
      <vt:lpstr>TestProblem!PressureFilterUnderflowStream_Fe</vt:lpstr>
      <vt:lpstr>TestProblem!PressureFilterUnderflowStream_Mass</vt:lpstr>
      <vt:lpstr>TestProblem!PressureFilterUnderflowStream_S</vt:lpstr>
      <vt:lpstr>TestProblem!PressureFilterUnderflowStream_U</vt:lpstr>
      <vt:lpstr>TestProblem!SAGMillFeedStream_Ag</vt:lpstr>
      <vt:lpstr>TestProblem!SAGMillFeedStream_Au</vt:lpstr>
      <vt:lpstr>TestProblem!SAGMillFeedStream_Cu</vt:lpstr>
      <vt:lpstr>TestProblem!SAGMillFeedStream_F</vt:lpstr>
      <vt:lpstr>TestProblem!SAGMillFeedStream_Fe</vt:lpstr>
      <vt:lpstr>TestProblem!SAGMillFeedStream_Mass</vt:lpstr>
      <vt:lpstr>TestProblem!SAGMillFeedStream_S</vt:lpstr>
      <vt:lpstr>TestProblem!SAGMillFeedStream_U</vt:lpstr>
      <vt:lpstr>TestProblem!SpillageReturnStream_Ag</vt:lpstr>
      <vt:lpstr>TestProblem!SpillageReturnStream_Au</vt:lpstr>
      <vt:lpstr>TestProblem!SpillageReturnStream_Cu</vt:lpstr>
      <vt:lpstr>TestProblem!SpillageReturnStream_F</vt:lpstr>
      <vt:lpstr>TestProblem!SpillageReturnStream_Fe</vt:lpstr>
      <vt:lpstr>TestProblem!SpillageReturnStream_Mass</vt:lpstr>
      <vt:lpstr>TestProblem!SpillageReturnStream_S</vt:lpstr>
      <vt:lpstr>TestProblem!SpillageReturnStream_U</vt:lpstr>
      <vt:lpstr>TestProblem!TailsThickenerUnderflowStream_Ag</vt:lpstr>
      <vt:lpstr>TestProblem!TailsThickenerUnderflowStream_Au</vt:lpstr>
      <vt:lpstr>TestProblem!TailsThickenerUnderflowStream_Cu</vt:lpstr>
      <vt:lpstr>TestProblem!TailsThickenerUnderflowStream_F</vt:lpstr>
      <vt:lpstr>TestProblem!TailsThickenerUnderflowStream_Fe</vt:lpstr>
      <vt:lpstr>TestProblem!TailsThickenerUnderflowStream_Mass</vt:lpstr>
      <vt:lpstr>TestProblem!TailsThickenerUnderflowStream_S</vt:lpstr>
      <vt:lpstr>TestProblem!TailsThickenerUnderflowStream_U</vt:lpstr>
      <vt:lpstr>TestProblem!TailsThickening_close_Ag</vt:lpstr>
      <vt:lpstr>TestProblem!TailsThickening_close_Au</vt:lpstr>
      <vt:lpstr>TestProblem!TailsThickening_close_Cu</vt:lpstr>
      <vt:lpstr>TestProblem!TailsThickening_close_F</vt:lpstr>
      <vt:lpstr>TestProblem!TailsThickening_close_Fe</vt:lpstr>
      <vt:lpstr>TestProblem!TailsThickening_close_Mass</vt:lpstr>
      <vt:lpstr>TestProblem!TailsThickening_close_S</vt:lpstr>
      <vt:lpstr>TestProblem!TailsThickening_close_U</vt:lpstr>
      <vt:lpstr>TestProblem!TailsThickening_open_Ag</vt:lpstr>
      <vt:lpstr>TestProblem!TailsThickening_open_Au</vt:lpstr>
      <vt:lpstr>TestProblem!TailsThickening_open_Cu</vt:lpstr>
      <vt:lpstr>TestProblem!TailsThickening_open_F</vt:lpstr>
      <vt:lpstr>TestProblem!TailsThickening_open_Fe</vt:lpstr>
      <vt:lpstr>TestProblem!TailsThickening_open_Mass</vt:lpstr>
      <vt:lpstr>TestProblem!TailsThickening_open_S</vt:lpstr>
      <vt:lpstr>TestProblem!TailsThickening_open_U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PeterL</cp:lastModifiedBy>
  <dcterms:created xsi:type="dcterms:W3CDTF">2012-01-29T01:03:10Z</dcterms:created>
  <dcterms:modified xsi:type="dcterms:W3CDTF">2012-01-29T02:41:33Z</dcterms:modified>
</cp:coreProperties>
</file>