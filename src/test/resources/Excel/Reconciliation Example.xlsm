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35" windowWidth="21075" windowHeight="9270"/>
  </bookViews>
  <sheets>
    <sheet name="Reconciliation Problem" sheetId="4" r:id="rId1"/>
    <sheet name="Sheet1" sheetId="6" r:id="rId2"/>
  </sheets>
  <functionGroups>
    <functionGroup name="Reconciliation"/>
  </functionGroups>
  <definedNames>
    <definedName name="abs_btm">'Reconciliation Problem'!$H$6</definedName>
    <definedName name="abs_ovhd">'Reconciliation Problem'!$H$9</definedName>
    <definedName name="acid_gas">'Reconciliation Problem'!$H$4</definedName>
    <definedName name="bypass">'Reconciliation Problem'!$H$15</definedName>
    <definedName name="condensate">'Reconciliation Problem'!$H$14</definedName>
    <definedName name="fat_oil">'Reconciliation Problem'!$H$10</definedName>
    <definedName name="fuel_gas">'Reconciliation Problem'!$H$13</definedName>
    <definedName name="lean_oil">'Reconciliation Problem'!$H$8</definedName>
    <definedName name="recycle">'Reconciliation Problem'!$H$7</definedName>
    <definedName name="sep_ovhd">'Reconciliation Problem'!$H$11</definedName>
    <definedName name="solver_adj" localSheetId="0" hidden="1">'Reconciliation Problem'!$I$4:$I$15</definedName>
    <definedName name="solver_cvg" localSheetId="0" hidden="1">0.0001</definedName>
    <definedName name="solver_drv" localSheetId="0" hidden="1">2</definedName>
    <definedName name="solver_est" localSheetId="0" hidden="1">2</definedName>
    <definedName name="solver_itr" localSheetId="0" hidden="1">100</definedName>
    <definedName name="solver_lhs1" localSheetId="0" hidden="1">'Reconciliation Problem'!$B$4:$B$9</definedName>
    <definedName name="solver_lhs2" localSheetId="0" hidden="1">'Reconciliation Problem'!$B$10</definedName>
    <definedName name="solver_lin" localSheetId="0" hidden="1">2</definedName>
    <definedName name="solver_neg" localSheetId="0" hidden="1">1</definedName>
    <definedName name="solver_num" localSheetId="0" hidden="1">1</definedName>
    <definedName name="solver_nwt" localSheetId="0" hidden="1">1</definedName>
    <definedName name="solver_opt" localSheetId="0" hidden="1">'Reconciliation Problem'!$O$17</definedName>
    <definedName name="solver_pre" localSheetId="0" hidden="1">0.000001</definedName>
    <definedName name="solver_rel1" localSheetId="0" hidden="1">2</definedName>
    <definedName name="solver_rel2" localSheetId="0" hidden="1">2</definedName>
    <definedName name="solver_rhs1" localSheetId="0" hidden="1">'Reconciliation Problem'!$D$4:$D$9</definedName>
    <definedName name="solver_rhs2" localSheetId="0" hidden="1">'Reconciliation Problem'!$D$10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  <definedName name="sour_gas">'Reconciliation Problem'!$H$12</definedName>
    <definedName name="treat_gas">'Reconciliation Problem'!$H$5</definedName>
  </definedNames>
  <calcPr calcId="125725"/>
</workbook>
</file>

<file path=xl/calcChain.xml><?xml version="1.0" encoding="utf-8"?>
<calcChain xmlns="http://schemas.openxmlformats.org/spreadsheetml/2006/main">
  <c r="E5" i="4"/>
  <c r="E6"/>
  <c r="E7"/>
  <c r="E8"/>
  <c r="E9"/>
  <c r="E10"/>
  <c r="E4"/>
  <c r="O17"/>
  <c r="O21"/>
  <c r="O20" a="1"/>
  <c r="O19"/>
  <c r="U21"/>
  <c r="U20" a="1"/>
  <c r="U19"/>
  <c r="Q21"/>
  <c r="Q20" a="1"/>
  <c r="Q19"/>
  <c r="S21"/>
  <c r="S20" a="1"/>
  <c r="S19"/>
  <c r="U17"/>
  <c r="O22"/>
  <c r="U22"/>
  <c r="S22"/>
  <c r="Q22"/>
  <c r="U18" l="1"/>
  <c r="R14"/>
  <c r="R15"/>
  <c r="R8"/>
  <c r="R11"/>
  <c r="R12"/>
  <c r="R7"/>
  <c r="T7"/>
  <c r="T8"/>
  <c r="T12"/>
  <c r="T14"/>
  <c r="T15"/>
  <c r="T11"/>
  <c r="V11"/>
  <c r="V7"/>
  <c r="V15"/>
  <c r="V8"/>
  <c r="V12"/>
  <c r="V14"/>
  <c r="H4" a="1"/>
  <c r="H4" s="1"/>
  <c r="H5" a="1"/>
  <c r="H5" s="1"/>
  <c r="H6" a="1"/>
  <c r="H6" s="1"/>
  <c r="H7" a="1"/>
  <c r="H7" s="1"/>
  <c r="H8" a="1"/>
  <c r="H8" s="1"/>
  <c r="H9" a="1"/>
  <c r="H9" s="1"/>
  <c r="H10" a="1"/>
  <c r="H10" s="1"/>
  <c r="H11" a="1"/>
  <c r="H11" s="1"/>
  <c r="H12" a="1"/>
  <c r="H12" s="1"/>
  <c r="H13" a="1"/>
  <c r="H13" s="1"/>
  <c r="H14" a="1"/>
  <c r="H14" s="1"/>
  <c r="H15" a="1"/>
  <c r="H15" s="1"/>
  <c r="Q17"/>
  <c r="S17"/>
  <c r="O18" l="1"/>
  <c r="Q18"/>
  <c r="S18"/>
  <c r="P15"/>
  <c r="P14"/>
  <c r="P12"/>
  <c r="P11"/>
  <c r="P7"/>
  <c r="P8"/>
  <c r="D6" l="1"/>
  <c r="D7"/>
  <c r="B5"/>
  <c r="D5"/>
  <c r="B9"/>
  <c r="D4"/>
  <c r="D10"/>
  <c r="B10"/>
  <c r="B8"/>
  <c r="B4"/>
  <c r="D8"/>
  <c r="B6"/>
  <c r="B7"/>
  <c r="D9"/>
  <c r="O20" l="1"/>
  <c r="U20"/>
  <c r="Q20"/>
  <c r="S20"/>
</calcChain>
</file>

<file path=xl/sharedStrings.xml><?xml version="1.0" encoding="utf-8"?>
<sst xmlns="http://schemas.openxmlformats.org/spreadsheetml/2006/main" count="70" uniqueCount="45">
  <si>
    <t>Node</t>
  </si>
  <si>
    <t>Feed Flow</t>
  </si>
  <si>
    <t>Equality</t>
  </si>
  <si>
    <t>Product Flow</t>
  </si>
  <si>
    <t>Node test</t>
  </si>
  <si>
    <t>Variable</t>
  </si>
  <si>
    <t>Solution</t>
  </si>
  <si>
    <t>Tolerance</t>
  </si>
  <si>
    <t>Estimate</t>
  </si>
  <si>
    <t>=</t>
  </si>
  <si>
    <t>acid_gas</t>
  </si>
  <si>
    <t>treat_gas</t>
  </si>
  <si>
    <t>abs_btm</t>
  </si>
  <si>
    <t>recycle</t>
  </si>
  <si>
    <t>lean_oil</t>
  </si>
  <si>
    <t>abs_ovhd</t>
  </si>
  <si>
    <t>world</t>
  </si>
  <si>
    <t>fat_oil</t>
  </si>
  <si>
    <t>sep_ovhd</t>
  </si>
  <si>
    <t>sour_gas</t>
  </si>
  <si>
    <t>fuel_gas</t>
  </si>
  <si>
    <t>condensate</t>
  </si>
  <si>
    <t>bypass</t>
  </si>
  <si>
    <t>Target</t>
  </si>
  <si>
    <t>Variables</t>
  </si>
  <si>
    <t>Constraints</t>
  </si>
  <si>
    <t>Options</t>
  </si>
  <si>
    <t>Absorber</t>
  </si>
  <si>
    <t>Separator</t>
  </si>
  <si>
    <t xml:space="preserve">Separator Overhead
</t>
  </si>
  <si>
    <t>Absorber Bottoms</t>
  </si>
  <si>
    <t>Node1</t>
  </si>
  <si>
    <t>Node2</t>
  </si>
  <si>
    <t>Labeled Variable</t>
  </si>
  <si>
    <t>Objective</t>
  </si>
  <si>
    <t>Lorentzian</t>
  </si>
  <si>
    <t>Gaussian</t>
  </si>
  <si>
    <t>Contaminated</t>
  </si>
  <si>
    <t>Fair</t>
  </si>
  <si>
    <t>Critical Level</t>
  </si>
  <si>
    <t>Meas Test</t>
  </si>
  <si>
    <t>Solver Parameters</t>
  </si>
  <si>
    <t>Results</t>
  </si>
  <si>
    <t>Model Constraints</t>
  </si>
  <si>
    <t>Model variables and results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</si>
</sst>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quotePrefix="1" applyFont="1"/>
    <xf numFmtId="0" fontId="0" fillId="0" borderId="0" xfId="0" applyFill="1"/>
    <xf numFmtId="0" fontId="1" fillId="0" borderId="0" xfId="0" applyFont="1" applyFill="1"/>
    <xf numFmtId="0" fontId="0" fillId="0" borderId="0" xfId="0" quotePrefix="1" applyFill="1"/>
    <xf numFmtId="0" fontId="2" fillId="0" borderId="0" xfId="0" quotePrefix="1" applyFont="1" applyFill="1"/>
    <xf numFmtId="0" fontId="2" fillId="0" borderId="0" xfId="0" applyFont="1" applyFill="1"/>
    <xf numFmtId="0" fontId="1" fillId="0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3" fillId="3" borderId="0" xfId="0" applyFont="1" applyFill="1"/>
    <xf numFmtId="0" fontId="0" fillId="2" borderId="0" xfId="0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25</xdr:row>
      <xdr:rowOff>142875</xdr:rowOff>
    </xdr:from>
    <xdr:to>
      <xdr:col>3</xdr:col>
      <xdr:colOff>76200</xdr:colOff>
      <xdr:row>36</xdr:row>
      <xdr:rowOff>95250</xdr:rowOff>
    </xdr:to>
    <xdr:sp macro="" textlink="">
      <xdr:nvSpPr>
        <xdr:cNvPr id="62" name="Flowchart: Alternate Process 61"/>
        <xdr:cNvSpPr/>
      </xdr:nvSpPr>
      <xdr:spPr>
        <a:xfrm>
          <a:off x="1209675" y="2047875"/>
          <a:ext cx="695325" cy="2047875"/>
        </a:xfrm>
        <a:prstGeom prst="flowChartAlternateProcess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Absorber</a:t>
          </a:r>
        </a:p>
      </xdr:txBody>
    </xdr:sp>
    <xdr:clientData/>
  </xdr:twoCellAnchor>
  <xdr:twoCellAnchor>
    <xdr:from>
      <xdr:col>2</xdr:col>
      <xdr:colOff>142875</xdr:colOff>
      <xdr:row>18</xdr:row>
      <xdr:rowOff>114300</xdr:rowOff>
    </xdr:from>
    <xdr:to>
      <xdr:col>2</xdr:col>
      <xdr:colOff>514350</xdr:colOff>
      <xdr:row>20</xdr:row>
      <xdr:rowOff>104775</xdr:rowOff>
    </xdr:to>
    <xdr:sp macro="" textlink="">
      <xdr:nvSpPr>
        <xdr:cNvPr id="63" name="Oval 62"/>
        <xdr:cNvSpPr/>
      </xdr:nvSpPr>
      <xdr:spPr>
        <a:xfrm>
          <a:off x="1362075" y="685800"/>
          <a:ext cx="371475" cy="3714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Node 1</a:t>
          </a:r>
        </a:p>
      </xdr:txBody>
    </xdr:sp>
    <xdr:clientData/>
  </xdr:twoCellAnchor>
  <xdr:twoCellAnchor>
    <xdr:from>
      <xdr:col>7</xdr:col>
      <xdr:colOff>504825</xdr:colOff>
      <xdr:row>25</xdr:row>
      <xdr:rowOff>133350</xdr:rowOff>
    </xdr:from>
    <xdr:to>
      <xdr:col>8</xdr:col>
      <xdr:colOff>590550</xdr:colOff>
      <xdr:row>36</xdr:row>
      <xdr:rowOff>85725</xdr:rowOff>
    </xdr:to>
    <xdr:sp macro="" textlink="">
      <xdr:nvSpPr>
        <xdr:cNvPr id="64" name="Flowchart: Alternate Process 63"/>
        <xdr:cNvSpPr/>
      </xdr:nvSpPr>
      <xdr:spPr>
        <a:xfrm>
          <a:off x="4772025" y="2038350"/>
          <a:ext cx="695325" cy="2047875"/>
        </a:xfrm>
        <a:prstGeom prst="flowChartAlternateProcess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Separator</a:t>
          </a:r>
        </a:p>
      </xdr:txBody>
    </xdr:sp>
    <xdr:clientData/>
  </xdr:twoCellAnchor>
  <xdr:twoCellAnchor>
    <xdr:from>
      <xdr:col>10</xdr:col>
      <xdr:colOff>57150</xdr:colOff>
      <xdr:row>21</xdr:row>
      <xdr:rowOff>28575</xdr:rowOff>
    </xdr:from>
    <xdr:to>
      <xdr:col>11</xdr:col>
      <xdr:colOff>333375</xdr:colOff>
      <xdr:row>23</xdr:row>
      <xdr:rowOff>171450</xdr:rowOff>
    </xdr:to>
    <xdr:sp macro="" textlink="">
      <xdr:nvSpPr>
        <xdr:cNvPr id="65" name="Flowchart: Alternate Process 64"/>
        <xdr:cNvSpPr/>
      </xdr:nvSpPr>
      <xdr:spPr>
        <a:xfrm>
          <a:off x="6153150" y="1171575"/>
          <a:ext cx="885825" cy="523875"/>
        </a:xfrm>
        <a:prstGeom prst="flowChartAlternateProcess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Separator Overhead</a:t>
          </a:r>
        </a:p>
      </xdr:txBody>
    </xdr:sp>
    <xdr:clientData/>
  </xdr:twoCellAnchor>
  <xdr:twoCellAnchor>
    <xdr:from>
      <xdr:col>4</xdr:col>
      <xdr:colOff>190500</xdr:colOff>
      <xdr:row>38</xdr:row>
      <xdr:rowOff>95250</xdr:rowOff>
    </xdr:from>
    <xdr:to>
      <xdr:col>5</xdr:col>
      <xdr:colOff>466725</xdr:colOff>
      <xdr:row>41</xdr:row>
      <xdr:rowOff>47625</xdr:rowOff>
    </xdr:to>
    <xdr:sp macro="" textlink="">
      <xdr:nvSpPr>
        <xdr:cNvPr id="66" name="Flowchart: Alternate Process 65"/>
        <xdr:cNvSpPr/>
      </xdr:nvSpPr>
      <xdr:spPr>
        <a:xfrm>
          <a:off x="2628900" y="4476750"/>
          <a:ext cx="885825" cy="523875"/>
        </a:xfrm>
        <a:prstGeom prst="flowChartAlternateProcess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Absorber Bottoms</a:t>
          </a:r>
        </a:p>
      </xdr:txBody>
    </xdr:sp>
    <xdr:clientData/>
  </xdr:twoCellAnchor>
  <xdr:twoCellAnchor>
    <xdr:from>
      <xdr:col>3</xdr:col>
      <xdr:colOff>76200</xdr:colOff>
      <xdr:row>31</xdr:row>
      <xdr:rowOff>23813</xdr:rowOff>
    </xdr:from>
    <xdr:to>
      <xdr:col>8</xdr:col>
      <xdr:colOff>242888</xdr:colOff>
      <xdr:row>36</xdr:row>
      <xdr:rowOff>85725</xdr:rowOff>
    </xdr:to>
    <xdr:cxnSp macro="">
      <xdr:nvCxnSpPr>
        <xdr:cNvPr id="67" name="Shape 66"/>
        <xdr:cNvCxnSpPr>
          <a:stCxn id="64" idx="2"/>
          <a:endCxn id="62" idx="3"/>
        </xdr:cNvCxnSpPr>
      </xdr:nvCxnSpPr>
      <xdr:spPr>
        <a:xfrm rot="5400000" flipH="1">
          <a:off x="3005138" y="1971675"/>
          <a:ext cx="1014412" cy="3214688"/>
        </a:xfrm>
        <a:prstGeom prst="bentConnector4">
          <a:avLst>
            <a:gd name="adj1" fmla="val -22535"/>
            <a:gd name="adj2" fmla="val 55407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338138</xdr:colOff>
      <xdr:row>36</xdr:row>
      <xdr:rowOff>95250</xdr:rowOff>
    </xdr:from>
    <xdr:to>
      <xdr:col>4</xdr:col>
      <xdr:colOff>190500</xdr:colOff>
      <xdr:row>39</xdr:row>
      <xdr:rowOff>166688</xdr:rowOff>
    </xdr:to>
    <xdr:cxnSp macro="">
      <xdr:nvCxnSpPr>
        <xdr:cNvPr id="68" name="Shape 67"/>
        <xdr:cNvCxnSpPr>
          <a:stCxn id="62" idx="2"/>
          <a:endCxn id="66" idx="1"/>
        </xdr:cNvCxnSpPr>
      </xdr:nvCxnSpPr>
      <xdr:spPr>
        <a:xfrm rot="16200000" flipH="1">
          <a:off x="1771650" y="3881438"/>
          <a:ext cx="642938" cy="1071562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314325</xdr:colOff>
      <xdr:row>30</xdr:row>
      <xdr:rowOff>9525</xdr:rowOff>
    </xdr:from>
    <xdr:to>
      <xdr:col>11</xdr:col>
      <xdr:colOff>76200</xdr:colOff>
      <xdr:row>32</xdr:row>
      <xdr:rowOff>0</xdr:rowOff>
    </xdr:to>
    <xdr:sp macro="" textlink="">
      <xdr:nvSpPr>
        <xdr:cNvPr id="69" name="Oval 68"/>
        <xdr:cNvSpPr/>
      </xdr:nvSpPr>
      <xdr:spPr>
        <a:xfrm>
          <a:off x="6410325" y="2867025"/>
          <a:ext cx="371475" cy="3714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Node 2</a:t>
          </a:r>
        </a:p>
      </xdr:txBody>
    </xdr:sp>
    <xdr:clientData/>
  </xdr:twoCellAnchor>
  <xdr:twoCellAnchor>
    <xdr:from>
      <xdr:col>5</xdr:col>
      <xdr:colOff>466725</xdr:colOff>
      <xdr:row>32</xdr:row>
      <xdr:rowOff>0</xdr:rowOff>
    </xdr:from>
    <xdr:to>
      <xdr:col>10</xdr:col>
      <xdr:colOff>500063</xdr:colOff>
      <xdr:row>39</xdr:row>
      <xdr:rowOff>166688</xdr:rowOff>
    </xdr:to>
    <xdr:cxnSp macro="">
      <xdr:nvCxnSpPr>
        <xdr:cNvPr id="70" name="Shape 69"/>
        <xdr:cNvCxnSpPr>
          <a:stCxn id="66" idx="3"/>
          <a:endCxn id="69" idx="4"/>
        </xdr:cNvCxnSpPr>
      </xdr:nvCxnSpPr>
      <xdr:spPr>
        <a:xfrm flipV="1">
          <a:off x="3514725" y="3238500"/>
          <a:ext cx="3081338" cy="150018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590551</xdr:colOff>
      <xdr:row>31</xdr:row>
      <xdr:rowOff>4762</xdr:rowOff>
    </xdr:from>
    <xdr:to>
      <xdr:col>10</xdr:col>
      <xdr:colOff>314326</xdr:colOff>
      <xdr:row>31</xdr:row>
      <xdr:rowOff>14287</xdr:rowOff>
    </xdr:to>
    <xdr:cxnSp macro="">
      <xdr:nvCxnSpPr>
        <xdr:cNvPr id="71" name="Shape 17"/>
        <xdr:cNvCxnSpPr>
          <a:stCxn id="69" idx="2"/>
          <a:endCxn id="64" idx="3"/>
        </xdr:cNvCxnSpPr>
      </xdr:nvCxnSpPr>
      <xdr:spPr>
        <a:xfrm rot="10800000" flipV="1">
          <a:off x="5467351" y="3052762"/>
          <a:ext cx="942975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493714</xdr:colOff>
      <xdr:row>23</xdr:row>
      <xdr:rowOff>177799</xdr:rowOff>
    </xdr:from>
    <xdr:to>
      <xdr:col>10</xdr:col>
      <xdr:colOff>506414</xdr:colOff>
      <xdr:row>30</xdr:row>
      <xdr:rowOff>15874</xdr:rowOff>
    </xdr:to>
    <xdr:cxnSp macro="">
      <xdr:nvCxnSpPr>
        <xdr:cNvPr id="72" name="Shape 17"/>
        <xdr:cNvCxnSpPr>
          <a:stCxn id="65" idx="2"/>
          <a:endCxn id="69" idx="0"/>
        </xdr:cNvCxnSpPr>
      </xdr:nvCxnSpPr>
      <xdr:spPr>
        <a:xfrm rot="5400000">
          <a:off x="6010276" y="2281237"/>
          <a:ext cx="1171575" cy="1270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242889</xdr:colOff>
      <xdr:row>22</xdr:row>
      <xdr:rowOff>100013</xdr:rowOff>
    </xdr:from>
    <xdr:to>
      <xdr:col>10</xdr:col>
      <xdr:colOff>57151</xdr:colOff>
      <xdr:row>25</xdr:row>
      <xdr:rowOff>133350</xdr:rowOff>
    </xdr:to>
    <xdr:cxnSp macro="">
      <xdr:nvCxnSpPr>
        <xdr:cNvPr id="73" name="Shape 17"/>
        <xdr:cNvCxnSpPr>
          <a:stCxn id="64" idx="0"/>
          <a:endCxn id="65" idx="1"/>
        </xdr:cNvCxnSpPr>
      </xdr:nvCxnSpPr>
      <xdr:spPr>
        <a:xfrm rot="5400000" flipH="1" flipV="1">
          <a:off x="5334001" y="1219201"/>
          <a:ext cx="604837" cy="1033462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328613</xdr:colOff>
      <xdr:row>20</xdr:row>
      <xdr:rowOff>104775</xdr:rowOff>
    </xdr:from>
    <xdr:to>
      <xdr:col>2</xdr:col>
      <xdr:colOff>338138</xdr:colOff>
      <xdr:row>25</xdr:row>
      <xdr:rowOff>142875</xdr:rowOff>
    </xdr:to>
    <xdr:cxnSp macro="">
      <xdr:nvCxnSpPr>
        <xdr:cNvPr id="74" name="Shape 17"/>
        <xdr:cNvCxnSpPr>
          <a:stCxn id="62" idx="0"/>
          <a:endCxn id="63" idx="4"/>
        </xdr:cNvCxnSpPr>
      </xdr:nvCxnSpPr>
      <xdr:spPr>
        <a:xfrm rot="16200000" flipV="1">
          <a:off x="1057276" y="1547812"/>
          <a:ext cx="990600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304800</xdr:colOff>
      <xdr:row>31</xdr:row>
      <xdr:rowOff>9525</xdr:rowOff>
    </xdr:from>
    <xdr:to>
      <xdr:col>1</xdr:col>
      <xdr:colOff>600075</xdr:colOff>
      <xdr:row>31</xdr:row>
      <xdr:rowOff>23813</xdr:rowOff>
    </xdr:to>
    <xdr:cxnSp macro="">
      <xdr:nvCxnSpPr>
        <xdr:cNvPr id="75" name="Shape 17"/>
        <xdr:cNvCxnSpPr>
          <a:endCxn id="62" idx="1"/>
        </xdr:cNvCxnSpPr>
      </xdr:nvCxnSpPr>
      <xdr:spPr>
        <a:xfrm>
          <a:off x="304800" y="3057525"/>
          <a:ext cx="904875" cy="14288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514350</xdr:colOff>
      <xdr:row>19</xdr:row>
      <xdr:rowOff>109538</xdr:rowOff>
    </xdr:from>
    <xdr:to>
      <xdr:col>10</xdr:col>
      <xdr:colOff>500063</xdr:colOff>
      <xdr:row>21</xdr:row>
      <xdr:rowOff>28575</xdr:rowOff>
    </xdr:to>
    <xdr:cxnSp macro="">
      <xdr:nvCxnSpPr>
        <xdr:cNvPr id="76" name="Shape 17"/>
        <xdr:cNvCxnSpPr>
          <a:stCxn id="63" idx="6"/>
          <a:endCxn id="65" idx="0"/>
        </xdr:cNvCxnSpPr>
      </xdr:nvCxnSpPr>
      <xdr:spPr>
        <a:xfrm>
          <a:off x="1733550" y="871538"/>
          <a:ext cx="4862513" cy="300037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323854</xdr:colOff>
      <xdr:row>15</xdr:row>
      <xdr:rowOff>47625</xdr:rowOff>
    </xdr:from>
    <xdr:to>
      <xdr:col>2</xdr:col>
      <xdr:colOff>328614</xdr:colOff>
      <xdr:row>18</xdr:row>
      <xdr:rowOff>114300</xdr:rowOff>
    </xdr:to>
    <xdr:cxnSp macro="">
      <xdr:nvCxnSpPr>
        <xdr:cNvPr id="77" name="Shape 17"/>
        <xdr:cNvCxnSpPr>
          <a:stCxn id="63" idx="0"/>
        </xdr:cNvCxnSpPr>
      </xdr:nvCxnSpPr>
      <xdr:spPr>
        <a:xfrm rot="16200000" flipV="1">
          <a:off x="1226346" y="364333"/>
          <a:ext cx="638175" cy="476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19051</xdr:colOff>
      <xdr:row>15</xdr:row>
      <xdr:rowOff>66675</xdr:rowOff>
    </xdr:from>
    <xdr:to>
      <xdr:col>5</xdr:col>
      <xdr:colOff>23814</xdr:colOff>
      <xdr:row>38</xdr:row>
      <xdr:rowOff>95250</xdr:rowOff>
    </xdr:to>
    <xdr:cxnSp macro="">
      <xdr:nvCxnSpPr>
        <xdr:cNvPr id="78" name="Shape 17"/>
        <xdr:cNvCxnSpPr>
          <a:stCxn id="66" idx="0"/>
        </xdr:cNvCxnSpPr>
      </xdr:nvCxnSpPr>
      <xdr:spPr>
        <a:xfrm rot="16200000" flipV="1">
          <a:off x="864395" y="2269331"/>
          <a:ext cx="4410075" cy="4763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333375</xdr:colOff>
      <xdr:row>15</xdr:row>
      <xdr:rowOff>66675</xdr:rowOff>
    </xdr:from>
    <xdr:to>
      <xdr:col>12</xdr:col>
      <xdr:colOff>0</xdr:colOff>
      <xdr:row>22</xdr:row>
      <xdr:rowOff>100013</xdr:rowOff>
    </xdr:to>
    <xdr:cxnSp macro="">
      <xdr:nvCxnSpPr>
        <xdr:cNvPr id="79" name="Shape 17"/>
        <xdr:cNvCxnSpPr>
          <a:stCxn id="65" idx="3"/>
        </xdr:cNvCxnSpPr>
      </xdr:nvCxnSpPr>
      <xdr:spPr>
        <a:xfrm flipV="1">
          <a:off x="7038975" y="66675"/>
          <a:ext cx="276225" cy="136683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304800</xdr:colOff>
      <xdr:row>32</xdr:row>
      <xdr:rowOff>38100</xdr:rowOff>
    </xdr:from>
    <xdr:to>
      <xdr:col>1</xdr:col>
      <xdr:colOff>485775</xdr:colOff>
      <xdr:row>33</xdr:row>
      <xdr:rowOff>57150</xdr:rowOff>
    </xdr:to>
    <xdr:sp macro="" textlink="">
      <xdr:nvSpPr>
        <xdr:cNvPr id="80" name="Parallelogram 79"/>
        <xdr:cNvSpPr/>
      </xdr:nvSpPr>
      <xdr:spPr>
        <a:xfrm>
          <a:off x="304800" y="3276600"/>
          <a:ext cx="790575" cy="209550"/>
        </a:xfrm>
        <a:prstGeom prst="parallelogram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sour gas</a:t>
          </a:r>
        </a:p>
      </xdr:txBody>
    </xdr:sp>
    <xdr:clientData/>
  </xdr:twoCellAnchor>
  <xdr:twoCellAnchor>
    <xdr:from>
      <xdr:col>0</xdr:col>
      <xdr:colOff>542926</xdr:colOff>
      <xdr:row>22</xdr:row>
      <xdr:rowOff>104775</xdr:rowOff>
    </xdr:from>
    <xdr:to>
      <xdr:col>2</xdr:col>
      <xdr:colOff>219076</xdr:colOff>
      <xdr:row>23</xdr:row>
      <xdr:rowOff>142875</xdr:rowOff>
    </xdr:to>
    <xdr:sp macro="" textlink="">
      <xdr:nvSpPr>
        <xdr:cNvPr id="81" name="Parallelogram 80"/>
        <xdr:cNvSpPr/>
      </xdr:nvSpPr>
      <xdr:spPr>
        <a:xfrm>
          <a:off x="542926" y="1438275"/>
          <a:ext cx="895350" cy="228600"/>
        </a:xfrm>
        <a:prstGeom prst="parallelogram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abs ovhd</a:t>
          </a:r>
        </a:p>
      </xdr:txBody>
    </xdr:sp>
    <xdr:clientData/>
  </xdr:twoCellAnchor>
  <xdr:twoCellAnchor>
    <xdr:from>
      <xdr:col>0</xdr:col>
      <xdr:colOff>552451</xdr:colOff>
      <xdr:row>15</xdr:row>
      <xdr:rowOff>114300</xdr:rowOff>
    </xdr:from>
    <xdr:to>
      <xdr:col>2</xdr:col>
      <xdr:colOff>228601</xdr:colOff>
      <xdr:row>16</xdr:row>
      <xdr:rowOff>152400</xdr:rowOff>
    </xdr:to>
    <xdr:sp macro="" textlink="">
      <xdr:nvSpPr>
        <xdr:cNvPr id="82" name="Parallelogram 81"/>
        <xdr:cNvSpPr/>
      </xdr:nvSpPr>
      <xdr:spPr>
        <a:xfrm>
          <a:off x="552451" y="114300"/>
          <a:ext cx="895350" cy="228600"/>
        </a:xfrm>
        <a:prstGeom prst="parallelogram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treat gas</a:t>
          </a:r>
        </a:p>
      </xdr:txBody>
    </xdr:sp>
    <xdr:clientData/>
  </xdr:twoCellAnchor>
  <xdr:twoCellAnchor>
    <xdr:from>
      <xdr:col>6</xdr:col>
      <xdr:colOff>133351</xdr:colOff>
      <xdr:row>19</xdr:row>
      <xdr:rowOff>171450</xdr:rowOff>
    </xdr:from>
    <xdr:to>
      <xdr:col>7</xdr:col>
      <xdr:colOff>419101</xdr:colOff>
      <xdr:row>21</xdr:row>
      <xdr:rowOff>19050</xdr:rowOff>
    </xdr:to>
    <xdr:sp macro="" textlink="">
      <xdr:nvSpPr>
        <xdr:cNvPr id="83" name="Parallelogram 82"/>
        <xdr:cNvSpPr/>
      </xdr:nvSpPr>
      <xdr:spPr>
        <a:xfrm>
          <a:off x="3790951" y="933450"/>
          <a:ext cx="895350" cy="228600"/>
        </a:xfrm>
        <a:prstGeom prst="parallelogram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bypass</a:t>
          </a:r>
        </a:p>
      </xdr:txBody>
    </xdr:sp>
    <xdr:clientData/>
  </xdr:twoCellAnchor>
  <xdr:twoCellAnchor>
    <xdr:from>
      <xdr:col>3</xdr:col>
      <xdr:colOff>266701</xdr:colOff>
      <xdr:row>15</xdr:row>
      <xdr:rowOff>114300</xdr:rowOff>
    </xdr:from>
    <xdr:to>
      <xdr:col>4</xdr:col>
      <xdr:colOff>552451</xdr:colOff>
      <xdr:row>16</xdr:row>
      <xdr:rowOff>152400</xdr:rowOff>
    </xdr:to>
    <xdr:sp macro="" textlink="">
      <xdr:nvSpPr>
        <xdr:cNvPr id="84" name="Parallelogram 83"/>
        <xdr:cNvSpPr/>
      </xdr:nvSpPr>
      <xdr:spPr>
        <a:xfrm>
          <a:off x="2095501" y="114300"/>
          <a:ext cx="895350" cy="228600"/>
        </a:xfrm>
        <a:prstGeom prst="parallelogram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fuel gas</a:t>
          </a:r>
        </a:p>
      </xdr:txBody>
    </xdr:sp>
    <xdr:clientData/>
  </xdr:twoCellAnchor>
  <xdr:twoCellAnchor>
    <xdr:from>
      <xdr:col>10</xdr:col>
      <xdr:colOff>219076</xdr:colOff>
      <xdr:row>15</xdr:row>
      <xdr:rowOff>114300</xdr:rowOff>
    </xdr:from>
    <xdr:to>
      <xdr:col>11</xdr:col>
      <xdr:colOff>504826</xdr:colOff>
      <xdr:row>16</xdr:row>
      <xdr:rowOff>152400</xdr:rowOff>
    </xdr:to>
    <xdr:sp macro="" textlink="">
      <xdr:nvSpPr>
        <xdr:cNvPr id="85" name="Parallelogram 84"/>
        <xdr:cNvSpPr/>
      </xdr:nvSpPr>
      <xdr:spPr>
        <a:xfrm>
          <a:off x="6315076" y="114300"/>
          <a:ext cx="895350" cy="228600"/>
        </a:xfrm>
        <a:prstGeom prst="parallelogram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acid gas</a:t>
          </a:r>
        </a:p>
      </xdr:txBody>
    </xdr:sp>
    <xdr:clientData/>
  </xdr:twoCellAnchor>
  <xdr:twoCellAnchor>
    <xdr:from>
      <xdr:col>6</xdr:col>
      <xdr:colOff>114301</xdr:colOff>
      <xdr:row>23</xdr:row>
      <xdr:rowOff>38100</xdr:rowOff>
    </xdr:from>
    <xdr:to>
      <xdr:col>7</xdr:col>
      <xdr:colOff>400051</xdr:colOff>
      <xdr:row>24</xdr:row>
      <xdr:rowOff>76200</xdr:rowOff>
    </xdr:to>
    <xdr:sp macro="" textlink="">
      <xdr:nvSpPr>
        <xdr:cNvPr id="86" name="Parallelogram 85"/>
        <xdr:cNvSpPr/>
      </xdr:nvSpPr>
      <xdr:spPr>
        <a:xfrm>
          <a:off x="3771901" y="1562100"/>
          <a:ext cx="895350" cy="228600"/>
        </a:xfrm>
        <a:prstGeom prst="parallelogram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sep ovhd</a:t>
          </a:r>
        </a:p>
      </xdr:txBody>
    </xdr:sp>
    <xdr:clientData/>
  </xdr:twoCellAnchor>
  <xdr:twoCellAnchor>
    <xdr:from>
      <xdr:col>6</xdr:col>
      <xdr:colOff>47626</xdr:colOff>
      <xdr:row>36</xdr:row>
      <xdr:rowOff>0</xdr:rowOff>
    </xdr:from>
    <xdr:to>
      <xdr:col>7</xdr:col>
      <xdr:colOff>333376</xdr:colOff>
      <xdr:row>37</xdr:row>
      <xdr:rowOff>38100</xdr:rowOff>
    </xdr:to>
    <xdr:sp macro="" textlink="">
      <xdr:nvSpPr>
        <xdr:cNvPr id="87" name="Parallelogram 86"/>
        <xdr:cNvSpPr/>
      </xdr:nvSpPr>
      <xdr:spPr>
        <a:xfrm>
          <a:off x="3705226" y="4000500"/>
          <a:ext cx="895350" cy="228600"/>
        </a:xfrm>
        <a:prstGeom prst="parallelogram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lean oil</a:t>
          </a:r>
        </a:p>
      </xdr:txBody>
    </xdr:sp>
    <xdr:clientData/>
  </xdr:twoCellAnchor>
  <xdr:twoCellAnchor>
    <xdr:from>
      <xdr:col>9</xdr:col>
      <xdr:colOff>104776</xdr:colOff>
      <xdr:row>32</xdr:row>
      <xdr:rowOff>28575</xdr:rowOff>
    </xdr:from>
    <xdr:to>
      <xdr:col>10</xdr:col>
      <xdr:colOff>390526</xdr:colOff>
      <xdr:row>33</xdr:row>
      <xdr:rowOff>66675</xdr:rowOff>
    </xdr:to>
    <xdr:sp macro="" textlink="">
      <xdr:nvSpPr>
        <xdr:cNvPr id="88" name="Parallelogram 87"/>
        <xdr:cNvSpPr/>
      </xdr:nvSpPr>
      <xdr:spPr>
        <a:xfrm>
          <a:off x="5591176" y="3267075"/>
          <a:ext cx="895350" cy="228600"/>
        </a:xfrm>
        <a:prstGeom prst="parallelogram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recycle</a:t>
          </a:r>
        </a:p>
      </xdr:txBody>
    </xdr:sp>
    <xdr:clientData/>
  </xdr:twoCellAnchor>
  <xdr:twoCellAnchor>
    <xdr:from>
      <xdr:col>10</xdr:col>
      <xdr:colOff>571501</xdr:colOff>
      <xdr:row>25</xdr:row>
      <xdr:rowOff>171450</xdr:rowOff>
    </xdr:from>
    <xdr:to>
      <xdr:col>12</xdr:col>
      <xdr:colOff>247651</xdr:colOff>
      <xdr:row>27</xdr:row>
      <xdr:rowOff>19050</xdr:rowOff>
    </xdr:to>
    <xdr:sp macro="" textlink="">
      <xdr:nvSpPr>
        <xdr:cNvPr id="89" name="Parallelogram 88"/>
        <xdr:cNvSpPr/>
      </xdr:nvSpPr>
      <xdr:spPr>
        <a:xfrm>
          <a:off x="6667501" y="2076450"/>
          <a:ext cx="895350" cy="228600"/>
        </a:xfrm>
        <a:prstGeom prst="parallelogram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91440" tIns="0" rIns="0" bIns="0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condensate</a:t>
          </a:r>
        </a:p>
      </xdr:txBody>
    </xdr:sp>
    <xdr:clientData/>
  </xdr:twoCellAnchor>
  <xdr:twoCellAnchor>
    <xdr:from>
      <xdr:col>6</xdr:col>
      <xdr:colOff>66676</xdr:colOff>
      <xdr:row>40</xdr:row>
      <xdr:rowOff>57150</xdr:rowOff>
    </xdr:from>
    <xdr:to>
      <xdr:col>7</xdr:col>
      <xdr:colOff>352426</xdr:colOff>
      <xdr:row>41</xdr:row>
      <xdr:rowOff>95250</xdr:rowOff>
    </xdr:to>
    <xdr:sp macro="" textlink="">
      <xdr:nvSpPr>
        <xdr:cNvPr id="90" name="Parallelogram 89"/>
        <xdr:cNvSpPr/>
      </xdr:nvSpPr>
      <xdr:spPr>
        <a:xfrm>
          <a:off x="3724276" y="4819650"/>
          <a:ext cx="895350" cy="228600"/>
        </a:xfrm>
        <a:prstGeom prst="parallelogram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fat oil</a:t>
          </a:r>
        </a:p>
      </xdr:txBody>
    </xdr:sp>
    <xdr:clientData/>
  </xdr:twoCellAnchor>
  <xdr:twoCellAnchor>
    <xdr:from>
      <xdr:col>2</xdr:col>
      <xdr:colOff>238126</xdr:colOff>
      <xdr:row>40</xdr:row>
      <xdr:rowOff>66675</xdr:rowOff>
    </xdr:from>
    <xdr:to>
      <xdr:col>3</xdr:col>
      <xdr:colOff>523876</xdr:colOff>
      <xdr:row>41</xdr:row>
      <xdr:rowOff>104775</xdr:rowOff>
    </xdr:to>
    <xdr:sp macro="" textlink="">
      <xdr:nvSpPr>
        <xdr:cNvPr id="91" name="Parallelogram 90"/>
        <xdr:cNvSpPr/>
      </xdr:nvSpPr>
      <xdr:spPr>
        <a:xfrm>
          <a:off x="1457326" y="4829175"/>
          <a:ext cx="895350" cy="228600"/>
        </a:xfrm>
        <a:prstGeom prst="parallelogram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abs btms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10</xdr:row>
      <xdr:rowOff>142875</xdr:rowOff>
    </xdr:from>
    <xdr:to>
      <xdr:col>3</xdr:col>
      <xdr:colOff>76200</xdr:colOff>
      <xdr:row>21</xdr:row>
      <xdr:rowOff>95250</xdr:rowOff>
    </xdr:to>
    <xdr:sp macro="" textlink="">
      <xdr:nvSpPr>
        <xdr:cNvPr id="2" name="Flowchart: Alternate Process 1"/>
        <xdr:cNvSpPr/>
      </xdr:nvSpPr>
      <xdr:spPr>
        <a:xfrm>
          <a:off x="1314450" y="4905375"/>
          <a:ext cx="866775" cy="2047875"/>
        </a:xfrm>
        <a:prstGeom prst="flowChartAlternateProcess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Absorber</a:t>
          </a:r>
        </a:p>
      </xdr:txBody>
    </xdr:sp>
    <xdr:clientData/>
  </xdr:twoCellAnchor>
  <xdr:twoCellAnchor>
    <xdr:from>
      <xdr:col>2</xdr:col>
      <xdr:colOff>142875</xdr:colOff>
      <xdr:row>3</xdr:row>
      <xdr:rowOff>114300</xdr:rowOff>
    </xdr:from>
    <xdr:to>
      <xdr:col>2</xdr:col>
      <xdr:colOff>514350</xdr:colOff>
      <xdr:row>5</xdr:row>
      <xdr:rowOff>104775</xdr:rowOff>
    </xdr:to>
    <xdr:sp macro="" textlink="">
      <xdr:nvSpPr>
        <xdr:cNvPr id="3" name="Oval 2"/>
        <xdr:cNvSpPr/>
      </xdr:nvSpPr>
      <xdr:spPr>
        <a:xfrm>
          <a:off x="1657350" y="3543300"/>
          <a:ext cx="371475" cy="3714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Node 1</a:t>
          </a:r>
        </a:p>
      </xdr:txBody>
    </xdr:sp>
    <xdr:clientData/>
  </xdr:twoCellAnchor>
  <xdr:twoCellAnchor>
    <xdr:from>
      <xdr:col>7</xdr:col>
      <xdr:colOff>504825</xdr:colOff>
      <xdr:row>10</xdr:row>
      <xdr:rowOff>133350</xdr:rowOff>
    </xdr:from>
    <xdr:to>
      <xdr:col>8</xdr:col>
      <xdr:colOff>590550</xdr:colOff>
      <xdr:row>21</xdr:row>
      <xdr:rowOff>85725</xdr:rowOff>
    </xdr:to>
    <xdr:sp macro="" textlink="">
      <xdr:nvSpPr>
        <xdr:cNvPr id="4" name="Flowchart: Alternate Process 3"/>
        <xdr:cNvSpPr/>
      </xdr:nvSpPr>
      <xdr:spPr>
        <a:xfrm>
          <a:off x="5657850" y="4895850"/>
          <a:ext cx="1143000" cy="2047875"/>
        </a:xfrm>
        <a:prstGeom prst="flowChartAlternateProcess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Separator</a:t>
          </a:r>
        </a:p>
      </xdr:txBody>
    </xdr:sp>
    <xdr:clientData/>
  </xdr:twoCellAnchor>
  <xdr:twoCellAnchor>
    <xdr:from>
      <xdr:col>10</xdr:col>
      <xdr:colOff>57150</xdr:colOff>
      <xdr:row>6</xdr:row>
      <xdr:rowOff>28575</xdr:rowOff>
    </xdr:from>
    <xdr:to>
      <xdr:col>11</xdr:col>
      <xdr:colOff>333375</xdr:colOff>
      <xdr:row>8</xdr:row>
      <xdr:rowOff>171450</xdr:rowOff>
    </xdr:to>
    <xdr:sp macro="" textlink="">
      <xdr:nvSpPr>
        <xdr:cNvPr id="5" name="Flowchart: Alternate Process 4"/>
        <xdr:cNvSpPr/>
      </xdr:nvSpPr>
      <xdr:spPr>
        <a:xfrm>
          <a:off x="7486650" y="4029075"/>
          <a:ext cx="885825" cy="523875"/>
        </a:xfrm>
        <a:prstGeom prst="flowChartAlternateProcess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Separator Overhead</a:t>
          </a:r>
        </a:p>
      </xdr:txBody>
    </xdr:sp>
    <xdr:clientData/>
  </xdr:twoCellAnchor>
  <xdr:twoCellAnchor>
    <xdr:from>
      <xdr:col>4</xdr:col>
      <xdr:colOff>190500</xdr:colOff>
      <xdr:row>23</xdr:row>
      <xdr:rowOff>95250</xdr:rowOff>
    </xdr:from>
    <xdr:to>
      <xdr:col>5</xdr:col>
      <xdr:colOff>466725</xdr:colOff>
      <xdr:row>26</xdr:row>
      <xdr:rowOff>47625</xdr:rowOff>
    </xdr:to>
    <xdr:sp macro="" textlink="">
      <xdr:nvSpPr>
        <xdr:cNvPr id="6" name="Flowchart: Alternate Process 5"/>
        <xdr:cNvSpPr/>
      </xdr:nvSpPr>
      <xdr:spPr>
        <a:xfrm>
          <a:off x="3171825" y="7334250"/>
          <a:ext cx="1228725" cy="523875"/>
        </a:xfrm>
        <a:prstGeom prst="flowChartAlternateProcess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Absorber Bottoms</a:t>
          </a:r>
        </a:p>
      </xdr:txBody>
    </xdr:sp>
    <xdr:clientData/>
  </xdr:twoCellAnchor>
  <xdr:twoCellAnchor>
    <xdr:from>
      <xdr:col>2</xdr:col>
      <xdr:colOff>338138</xdr:colOff>
      <xdr:row>21</xdr:row>
      <xdr:rowOff>95250</xdr:rowOff>
    </xdr:from>
    <xdr:to>
      <xdr:col>4</xdr:col>
      <xdr:colOff>190500</xdr:colOff>
      <xdr:row>24</xdr:row>
      <xdr:rowOff>166688</xdr:rowOff>
    </xdr:to>
    <xdr:cxnSp macro="">
      <xdr:nvCxnSpPr>
        <xdr:cNvPr id="7" name="Shape 6"/>
        <xdr:cNvCxnSpPr>
          <a:stCxn id="2" idx="2"/>
          <a:endCxn id="6" idx="1"/>
        </xdr:cNvCxnSpPr>
      </xdr:nvCxnSpPr>
      <xdr:spPr>
        <a:xfrm rot="16200000" flipH="1">
          <a:off x="2190750" y="6615113"/>
          <a:ext cx="642938" cy="1319212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314325</xdr:colOff>
      <xdr:row>15</xdr:row>
      <xdr:rowOff>9525</xdr:rowOff>
    </xdr:from>
    <xdr:to>
      <xdr:col>11</xdr:col>
      <xdr:colOff>76200</xdr:colOff>
      <xdr:row>17</xdr:row>
      <xdr:rowOff>0</xdr:rowOff>
    </xdr:to>
    <xdr:sp macro="" textlink="">
      <xdr:nvSpPr>
        <xdr:cNvPr id="8" name="Oval 7"/>
        <xdr:cNvSpPr/>
      </xdr:nvSpPr>
      <xdr:spPr>
        <a:xfrm>
          <a:off x="7743825" y="5724525"/>
          <a:ext cx="371475" cy="3714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Node 2</a:t>
          </a:r>
        </a:p>
      </xdr:txBody>
    </xdr:sp>
    <xdr:clientData/>
  </xdr:twoCellAnchor>
  <xdr:twoCellAnchor>
    <xdr:from>
      <xdr:col>5</xdr:col>
      <xdr:colOff>466725</xdr:colOff>
      <xdr:row>17</xdr:row>
      <xdr:rowOff>0</xdr:rowOff>
    </xdr:from>
    <xdr:to>
      <xdr:col>10</xdr:col>
      <xdr:colOff>500063</xdr:colOff>
      <xdr:row>24</xdr:row>
      <xdr:rowOff>166688</xdr:rowOff>
    </xdr:to>
    <xdr:cxnSp macro="">
      <xdr:nvCxnSpPr>
        <xdr:cNvPr id="9" name="Shape 8"/>
        <xdr:cNvCxnSpPr>
          <a:stCxn id="6" idx="3"/>
          <a:endCxn id="8" idx="4"/>
        </xdr:cNvCxnSpPr>
      </xdr:nvCxnSpPr>
      <xdr:spPr>
        <a:xfrm flipV="1">
          <a:off x="4400550" y="6096000"/>
          <a:ext cx="3529013" cy="150018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590551</xdr:colOff>
      <xdr:row>16</xdr:row>
      <xdr:rowOff>4762</xdr:rowOff>
    </xdr:from>
    <xdr:to>
      <xdr:col>10</xdr:col>
      <xdr:colOff>314326</xdr:colOff>
      <xdr:row>16</xdr:row>
      <xdr:rowOff>14287</xdr:rowOff>
    </xdr:to>
    <xdr:cxnSp macro="">
      <xdr:nvCxnSpPr>
        <xdr:cNvPr id="10" name="Shape 17"/>
        <xdr:cNvCxnSpPr>
          <a:stCxn id="8" idx="2"/>
          <a:endCxn id="4" idx="3"/>
        </xdr:cNvCxnSpPr>
      </xdr:nvCxnSpPr>
      <xdr:spPr>
        <a:xfrm rot="10800000" flipV="1">
          <a:off x="6800851" y="5910262"/>
          <a:ext cx="942975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493714</xdr:colOff>
      <xdr:row>8</xdr:row>
      <xdr:rowOff>177799</xdr:rowOff>
    </xdr:from>
    <xdr:to>
      <xdr:col>10</xdr:col>
      <xdr:colOff>506414</xdr:colOff>
      <xdr:row>15</xdr:row>
      <xdr:rowOff>15874</xdr:rowOff>
    </xdr:to>
    <xdr:cxnSp macro="">
      <xdr:nvCxnSpPr>
        <xdr:cNvPr id="11" name="Shape 17"/>
        <xdr:cNvCxnSpPr>
          <a:stCxn id="5" idx="2"/>
          <a:endCxn id="8" idx="0"/>
        </xdr:cNvCxnSpPr>
      </xdr:nvCxnSpPr>
      <xdr:spPr>
        <a:xfrm rot="5400000">
          <a:off x="7343776" y="5138737"/>
          <a:ext cx="1171575" cy="1270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242889</xdr:colOff>
      <xdr:row>7</xdr:row>
      <xdr:rowOff>100013</xdr:rowOff>
    </xdr:from>
    <xdr:to>
      <xdr:col>10</xdr:col>
      <xdr:colOff>57151</xdr:colOff>
      <xdr:row>10</xdr:row>
      <xdr:rowOff>133350</xdr:rowOff>
    </xdr:to>
    <xdr:cxnSp macro="">
      <xdr:nvCxnSpPr>
        <xdr:cNvPr id="12" name="Shape 17"/>
        <xdr:cNvCxnSpPr>
          <a:stCxn id="4" idx="0"/>
          <a:endCxn id="5" idx="1"/>
        </xdr:cNvCxnSpPr>
      </xdr:nvCxnSpPr>
      <xdr:spPr>
        <a:xfrm rot="5400000" flipH="1" flipV="1">
          <a:off x="6667501" y="4076701"/>
          <a:ext cx="604837" cy="1033462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328613</xdr:colOff>
      <xdr:row>5</xdr:row>
      <xdr:rowOff>104775</xdr:rowOff>
    </xdr:from>
    <xdr:to>
      <xdr:col>2</xdr:col>
      <xdr:colOff>338138</xdr:colOff>
      <xdr:row>10</xdr:row>
      <xdr:rowOff>142875</xdr:rowOff>
    </xdr:to>
    <xdr:cxnSp macro="">
      <xdr:nvCxnSpPr>
        <xdr:cNvPr id="13" name="Shape 17"/>
        <xdr:cNvCxnSpPr>
          <a:stCxn id="2" idx="0"/>
          <a:endCxn id="3" idx="4"/>
        </xdr:cNvCxnSpPr>
      </xdr:nvCxnSpPr>
      <xdr:spPr>
        <a:xfrm rot="16200000" flipV="1">
          <a:off x="1352551" y="4405312"/>
          <a:ext cx="990600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304800</xdr:colOff>
      <xdr:row>16</xdr:row>
      <xdr:rowOff>9525</xdr:rowOff>
    </xdr:from>
    <xdr:to>
      <xdr:col>1</xdr:col>
      <xdr:colOff>600075</xdr:colOff>
      <xdr:row>16</xdr:row>
      <xdr:rowOff>23813</xdr:rowOff>
    </xdr:to>
    <xdr:cxnSp macro="">
      <xdr:nvCxnSpPr>
        <xdr:cNvPr id="14" name="Shape 17"/>
        <xdr:cNvCxnSpPr>
          <a:endCxn id="2" idx="1"/>
        </xdr:cNvCxnSpPr>
      </xdr:nvCxnSpPr>
      <xdr:spPr>
        <a:xfrm>
          <a:off x="304800" y="5915025"/>
          <a:ext cx="1009650" cy="14288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514350</xdr:colOff>
      <xdr:row>4</xdr:row>
      <xdr:rowOff>109538</xdr:rowOff>
    </xdr:from>
    <xdr:to>
      <xdr:col>10</xdr:col>
      <xdr:colOff>500063</xdr:colOff>
      <xdr:row>6</xdr:row>
      <xdr:rowOff>28575</xdr:rowOff>
    </xdr:to>
    <xdr:cxnSp macro="">
      <xdr:nvCxnSpPr>
        <xdr:cNvPr id="15" name="Shape 17"/>
        <xdr:cNvCxnSpPr>
          <a:stCxn id="3" idx="6"/>
          <a:endCxn id="5" idx="0"/>
        </xdr:cNvCxnSpPr>
      </xdr:nvCxnSpPr>
      <xdr:spPr>
        <a:xfrm>
          <a:off x="2028825" y="3729038"/>
          <a:ext cx="5900738" cy="300037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323854</xdr:colOff>
      <xdr:row>0</xdr:row>
      <xdr:rowOff>47625</xdr:rowOff>
    </xdr:from>
    <xdr:to>
      <xdr:col>2</xdr:col>
      <xdr:colOff>328614</xdr:colOff>
      <xdr:row>3</xdr:row>
      <xdr:rowOff>114300</xdr:rowOff>
    </xdr:to>
    <xdr:cxnSp macro="">
      <xdr:nvCxnSpPr>
        <xdr:cNvPr id="16" name="Shape 17"/>
        <xdr:cNvCxnSpPr>
          <a:stCxn id="3" idx="0"/>
        </xdr:cNvCxnSpPr>
      </xdr:nvCxnSpPr>
      <xdr:spPr>
        <a:xfrm rot="16200000" flipV="1">
          <a:off x="1521621" y="3221833"/>
          <a:ext cx="638175" cy="476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19051</xdr:colOff>
      <xdr:row>0</xdr:row>
      <xdr:rowOff>66675</xdr:rowOff>
    </xdr:from>
    <xdr:to>
      <xdr:col>5</xdr:col>
      <xdr:colOff>23814</xdr:colOff>
      <xdr:row>23</xdr:row>
      <xdr:rowOff>95250</xdr:rowOff>
    </xdr:to>
    <xdr:cxnSp macro="">
      <xdr:nvCxnSpPr>
        <xdr:cNvPr id="17" name="Shape 17"/>
        <xdr:cNvCxnSpPr>
          <a:stCxn id="6" idx="0"/>
        </xdr:cNvCxnSpPr>
      </xdr:nvCxnSpPr>
      <xdr:spPr>
        <a:xfrm rot="16200000" flipV="1">
          <a:off x="1750220" y="5126831"/>
          <a:ext cx="4410075" cy="4763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333375</xdr:colOff>
      <xdr:row>0</xdr:row>
      <xdr:rowOff>66675</xdr:rowOff>
    </xdr:from>
    <xdr:to>
      <xdr:col>12</xdr:col>
      <xdr:colOff>0</xdr:colOff>
      <xdr:row>7</xdr:row>
      <xdr:rowOff>100013</xdr:rowOff>
    </xdr:to>
    <xdr:cxnSp macro="">
      <xdr:nvCxnSpPr>
        <xdr:cNvPr id="18" name="Shape 17"/>
        <xdr:cNvCxnSpPr>
          <a:stCxn id="5" idx="3"/>
        </xdr:cNvCxnSpPr>
      </xdr:nvCxnSpPr>
      <xdr:spPr>
        <a:xfrm flipV="1">
          <a:off x="8372475" y="2924175"/>
          <a:ext cx="276225" cy="136683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304800</xdr:colOff>
      <xdr:row>17</xdr:row>
      <xdr:rowOff>38100</xdr:rowOff>
    </xdr:from>
    <xdr:to>
      <xdr:col>1</xdr:col>
      <xdr:colOff>485775</xdr:colOff>
      <xdr:row>18</xdr:row>
      <xdr:rowOff>57150</xdr:rowOff>
    </xdr:to>
    <xdr:sp macro="" textlink="">
      <xdr:nvSpPr>
        <xdr:cNvPr id="19" name="Parallelogram 18"/>
        <xdr:cNvSpPr/>
      </xdr:nvSpPr>
      <xdr:spPr>
        <a:xfrm>
          <a:off x="304800" y="6134100"/>
          <a:ext cx="895350" cy="209550"/>
        </a:xfrm>
        <a:prstGeom prst="parallelogram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sour gas</a:t>
          </a:r>
        </a:p>
      </xdr:txBody>
    </xdr:sp>
    <xdr:clientData/>
  </xdr:twoCellAnchor>
  <xdr:twoCellAnchor>
    <xdr:from>
      <xdr:col>0</xdr:col>
      <xdr:colOff>542926</xdr:colOff>
      <xdr:row>7</xdr:row>
      <xdr:rowOff>104775</xdr:rowOff>
    </xdr:from>
    <xdr:to>
      <xdr:col>2</xdr:col>
      <xdr:colOff>219076</xdr:colOff>
      <xdr:row>8</xdr:row>
      <xdr:rowOff>142875</xdr:rowOff>
    </xdr:to>
    <xdr:sp macro="" textlink="">
      <xdr:nvSpPr>
        <xdr:cNvPr id="20" name="Parallelogram 19"/>
        <xdr:cNvSpPr/>
      </xdr:nvSpPr>
      <xdr:spPr>
        <a:xfrm>
          <a:off x="542926" y="4295775"/>
          <a:ext cx="1190625" cy="228600"/>
        </a:xfrm>
        <a:prstGeom prst="parallelogram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abs ovhd</a:t>
          </a:r>
        </a:p>
      </xdr:txBody>
    </xdr:sp>
    <xdr:clientData/>
  </xdr:twoCellAnchor>
  <xdr:twoCellAnchor>
    <xdr:from>
      <xdr:col>0</xdr:col>
      <xdr:colOff>552451</xdr:colOff>
      <xdr:row>0</xdr:row>
      <xdr:rowOff>114300</xdr:rowOff>
    </xdr:from>
    <xdr:to>
      <xdr:col>2</xdr:col>
      <xdr:colOff>228601</xdr:colOff>
      <xdr:row>1</xdr:row>
      <xdr:rowOff>152400</xdr:rowOff>
    </xdr:to>
    <xdr:sp macro="" textlink="">
      <xdr:nvSpPr>
        <xdr:cNvPr id="21" name="Parallelogram 20"/>
        <xdr:cNvSpPr/>
      </xdr:nvSpPr>
      <xdr:spPr>
        <a:xfrm>
          <a:off x="552451" y="2971800"/>
          <a:ext cx="1190625" cy="228600"/>
        </a:xfrm>
        <a:prstGeom prst="parallelogram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treat gas</a:t>
          </a:r>
        </a:p>
      </xdr:txBody>
    </xdr:sp>
    <xdr:clientData/>
  </xdr:twoCellAnchor>
  <xdr:twoCellAnchor>
    <xdr:from>
      <xdr:col>6</xdr:col>
      <xdr:colOff>133351</xdr:colOff>
      <xdr:row>4</xdr:row>
      <xdr:rowOff>171450</xdr:rowOff>
    </xdr:from>
    <xdr:to>
      <xdr:col>7</xdr:col>
      <xdr:colOff>419101</xdr:colOff>
      <xdr:row>6</xdr:row>
      <xdr:rowOff>19050</xdr:rowOff>
    </xdr:to>
    <xdr:sp macro="" textlink="">
      <xdr:nvSpPr>
        <xdr:cNvPr id="22" name="Parallelogram 21"/>
        <xdr:cNvSpPr/>
      </xdr:nvSpPr>
      <xdr:spPr>
        <a:xfrm>
          <a:off x="4676776" y="3790950"/>
          <a:ext cx="895350" cy="228600"/>
        </a:xfrm>
        <a:prstGeom prst="parallelogram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bypass</a:t>
          </a:r>
        </a:p>
      </xdr:txBody>
    </xdr:sp>
    <xdr:clientData/>
  </xdr:twoCellAnchor>
  <xdr:twoCellAnchor>
    <xdr:from>
      <xdr:col>3</xdr:col>
      <xdr:colOff>266701</xdr:colOff>
      <xdr:row>0</xdr:row>
      <xdr:rowOff>114300</xdr:rowOff>
    </xdr:from>
    <xdr:to>
      <xdr:col>4</xdr:col>
      <xdr:colOff>552451</xdr:colOff>
      <xdr:row>1</xdr:row>
      <xdr:rowOff>152400</xdr:rowOff>
    </xdr:to>
    <xdr:sp macro="" textlink="">
      <xdr:nvSpPr>
        <xdr:cNvPr id="23" name="Parallelogram 22"/>
        <xdr:cNvSpPr/>
      </xdr:nvSpPr>
      <xdr:spPr>
        <a:xfrm>
          <a:off x="2371726" y="2971800"/>
          <a:ext cx="1162050" cy="228600"/>
        </a:xfrm>
        <a:prstGeom prst="parallelogram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fuel gas</a:t>
          </a:r>
        </a:p>
      </xdr:txBody>
    </xdr:sp>
    <xdr:clientData/>
  </xdr:twoCellAnchor>
  <xdr:twoCellAnchor>
    <xdr:from>
      <xdr:col>10</xdr:col>
      <xdr:colOff>219076</xdr:colOff>
      <xdr:row>0</xdr:row>
      <xdr:rowOff>114300</xdr:rowOff>
    </xdr:from>
    <xdr:to>
      <xdr:col>11</xdr:col>
      <xdr:colOff>504826</xdr:colOff>
      <xdr:row>1</xdr:row>
      <xdr:rowOff>152400</xdr:rowOff>
    </xdr:to>
    <xdr:sp macro="" textlink="">
      <xdr:nvSpPr>
        <xdr:cNvPr id="24" name="Parallelogram 23"/>
        <xdr:cNvSpPr/>
      </xdr:nvSpPr>
      <xdr:spPr>
        <a:xfrm>
          <a:off x="7648576" y="2971800"/>
          <a:ext cx="895350" cy="228600"/>
        </a:xfrm>
        <a:prstGeom prst="parallelogram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acid gas</a:t>
          </a:r>
        </a:p>
      </xdr:txBody>
    </xdr:sp>
    <xdr:clientData/>
  </xdr:twoCellAnchor>
  <xdr:twoCellAnchor>
    <xdr:from>
      <xdr:col>6</xdr:col>
      <xdr:colOff>114301</xdr:colOff>
      <xdr:row>8</xdr:row>
      <xdr:rowOff>38100</xdr:rowOff>
    </xdr:from>
    <xdr:to>
      <xdr:col>7</xdr:col>
      <xdr:colOff>400051</xdr:colOff>
      <xdr:row>9</xdr:row>
      <xdr:rowOff>76200</xdr:rowOff>
    </xdr:to>
    <xdr:sp macro="" textlink="">
      <xdr:nvSpPr>
        <xdr:cNvPr id="25" name="Parallelogram 24"/>
        <xdr:cNvSpPr/>
      </xdr:nvSpPr>
      <xdr:spPr>
        <a:xfrm>
          <a:off x="4657726" y="4419600"/>
          <a:ext cx="895350" cy="228600"/>
        </a:xfrm>
        <a:prstGeom prst="parallelogram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sep ovhd</a:t>
          </a:r>
        </a:p>
      </xdr:txBody>
    </xdr:sp>
    <xdr:clientData/>
  </xdr:twoCellAnchor>
  <xdr:twoCellAnchor>
    <xdr:from>
      <xdr:col>6</xdr:col>
      <xdr:colOff>47626</xdr:colOff>
      <xdr:row>21</xdr:row>
      <xdr:rowOff>0</xdr:rowOff>
    </xdr:from>
    <xdr:to>
      <xdr:col>7</xdr:col>
      <xdr:colOff>333376</xdr:colOff>
      <xdr:row>22</xdr:row>
      <xdr:rowOff>38100</xdr:rowOff>
    </xdr:to>
    <xdr:sp macro="" textlink="">
      <xdr:nvSpPr>
        <xdr:cNvPr id="26" name="Parallelogram 25"/>
        <xdr:cNvSpPr/>
      </xdr:nvSpPr>
      <xdr:spPr>
        <a:xfrm>
          <a:off x="4591051" y="6858000"/>
          <a:ext cx="895350" cy="228600"/>
        </a:xfrm>
        <a:prstGeom prst="parallelogram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lean oil</a:t>
          </a:r>
        </a:p>
      </xdr:txBody>
    </xdr:sp>
    <xdr:clientData/>
  </xdr:twoCellAnchor>
  <xdr:twoCellAnchor>
    <xdr:from>
      <xdr:col>9</xdr:col>
      <xdr:colOff>104776</xdr:colOff>
      <xdr:row>17</xdr:row>
      <xdr:rowOff>28575</xdr:rowOff>
    </xdr:from>
    <xdr:to>
      <xdr:col>10</xdr:col>
      <xdr:colOff>390526</xdr:colOff>
      <xdr:row>18</xdr:row>
      <xdr:rowOff>66675</xdr:rowOff>
    </xdr:to>
    <xdr:sp macro="" textlink="">
      <xdr:nvSpPr>
        <xdr:cNvPr id="27" name="Parallelogram 26"/>
        <xdr:cNvSpPr/>
      </xdr:nvSpPr>
      <xdr:spPr>
        <a:xfrm>
          <a:off x="6924676" y="6124575"/>
          <a:ext cx="895350" cy="228600"/>
        </a:xfrm>
        <a:prstGeom prst="parallelogram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recycle</a:t>
          </a:r>
        </a:p>
      </xdr:txBody>
    </xdr:sp>
    <xdr:clientData/>
  </xdr:twoCellAnchor>
  <xdr:twoCellAnchor>
    <xdr:from>
      <xdr:col>10</xdr:col>
      <xdr:colOff>571501</xdr:colOff>
      <xdr:row>10</xdr:row>
      <xdr:rowOff>171450</xdr:rowOff>
    </xdr:from>
    <xdr:to>
      <xdr:col>12</xdr:col>
      <xdr:colOff>247651</xdr:colOff>
      <xdr:row>12</xdr:row>
      <xdr:rowOff>19050</xdr:rowOff>
    </xdr:to>
    <xdr:sp macro="" textlink="">
      <xdr:nvSpPr>
        <xdr:cNvPr id="28" name="Parallelogram 27"/>
        <xdr:cNvSpPr/>
      </xdr:nvSpPr>
      <xdr:spPr>
        <a:xfrm>
          <a:off x="8001001" y="4933950"/>
          <a:ext cx="895350" cy="228600"/>
        </a:xfrm>
        <a:prstGeom prst="parallelogram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91440" tIns="0" rIns="0" bIns="0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condensate</a:t>
          </a:r>
        </a:p>
      </xdr:txBody>
    </xdr:sp>
    <xdr:clientData/>
  </xdr:twoCellAnchor>
  <xdr:twoCellAnchor>
    <xdr:from>
      <xdr:col>6</xdr:col>
      <xdr:colOff>66676</xdr:colOff>
      <xdr:row>25</xdr:row>
      <xdr:rowOff>57150</xdr:rowOff>
    </xdr:from>
    <xdr:to>
      <xdr:col>7</xdr:col>
      <xdr:colOff>352426</xdr:colOff>
      <xdr:row>26</xdr:row>
      <xdr:rowOff>95250</xdr:rowOff>
    </xdr:to>
    <xdr:sp macro="" textlink="">
      <xdr:nvSpPr>
        <xdr:cNvPr id="29" name="Parallelogram 28"/>
        <xdr:cNvSpPr/>
      </xdr:nvSpPr>
      <xdr:spPr>
        <a:xfrm>
          <a:off x="4610101" y="7677150"/>
          <a:ext cx="895350" cy="228600"/>
        </a:xfrm>
        <a:prstGeom prst="parallelogram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fat oil</a:t>
          </a:r>
        </a:p>
      </xdr:txBody>
    </xdr:sp>
    <xdr:clientData/>
  </xdr:twoCellAnchor>
  <xdr:twoCellAnchor>
    <xdr:from>
      <xdr:col>2</xdr:col>
      <xdr:colOff>238126</xdr:colOff>
      <xdr:row>25</xdr:row>
      <xdr:rowOff>66675</xdr:rowOff>
    </xdr:from>
    <xdr:to>
      <xdr:col>3</xdr:col>
      <xdr:colOff>523876</xdr:colOff>
      <xdr:row>26</xdr:row>
      <xdr:rowOff>104775</xdr:rowOff>
    </xdr:to>
    <xdr:sp macro="" textlink="">
      <xdr:nvSpPr>
        <xdr:cNvPr id="30" name="Parallelogram 29"/>
        <xdr:cNvSpPr/>
      </xdr:nvSpPr>
      <xdr:spPr>
        <a:xfrm>
          <a:off x="1752601" y="7686675"/>
          <a:ext cx="876300" cy="228600"/>
        </a:xfrm>
        <a:prstGeom prst="parallelogram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abs btms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>
    <pageSetUpPr fitToPage="1"/>
  </sheetPr>
  <dimension ref="A1:Y43"/>
  <sheetViews>
    <sheetView tabSelected="1" zoomScaleNormal="100" workbookViewId="0">
      <selection activeCell="L50" sqref="L50"/>
    </sheetView>
  </sheetViews>
  <sheetFormatPr defaultRowHeight="15"/>
  <cols>
    <col min="1" max="1" width="18.5703125" customWidth="1"/>
    <col min="2" max="2" width="10.7109375" customWidth="1"/>
    <col min="3" max="3" width="5.42578125" customWidth="1"/>
    <col min="4" max="4" width="15.28515625" customWidth="1"/>
    <col min="5" max="5" width="10" customWidth="1"/>
    <col min="7" max="7" width="6.7109375" customWidth="1"/>
    <col min="8" max="8" width="16" bestFit="1" customWidth="1"/>
    <col min="10" max="10" width="9.7109375" bestFit="1" customWidth="1"/>
    <col min="11" max="11" width="8.7109375" bestFit="1" customWidth="1"/>
    <col min="14" max="14" width="10.5703125" customWidth="1"/>
    <col min="15" max="16" width="13.42578125" customWidth="1"/>
    <col min="19" max="19" width="12" bestFit="1" customWidth="1"/>
    <col min="20" max="20" width="12" customWidth="1"/>
    <col min="21" max="21" width="12" bestFit="1" customWidth="1"/>
  </cols>
  <sheetData>
    <row r="1" spans="1:25">
      <c r="A1" s="11" t="s">
        <v>43</v>
      </c>
      <c r="B1" s="11"/>
      <c r="C1" s="11"/>
      <c r="D1" s="11"/>
      <c r="E1" s="11"/>
      <c r="G1" s="11" t="s">
        <v>44</v>
      </c>
      <c r="H1" s="11"/>
      <c r="I1" s="11"/>
      <c r="J1" s="11"/>
      <c r="K1" s="11"/>
      <c r="L1" s="12"/>
      <c r="M1" s="12"/>
      <c r="N1" s="15"/>
      <c r="O1" s="10" t="s">
        <v>42</v>
      </c>
      <c r="P1" s="10"/>
      <c r="Q1" s="10"/>
      <c r="R1" s="10"/>
      <c r="S1" s="10"/>
      <c r="T1" s="10"/>
      <c r="U1" s="10"/>
      <c r="V1" s="10"/>
    </row>
    <row r="2" spans="1:25">
      <c r="A2" s="11"/>
      <c r="B2" s="11"/>
      <c r="C2" s="11"/>
      <c r="D2" s="11"/>
      <c r="E2" s="11"/>
      <c r="G2" s="11"/>
      <c r="H2" s="11"/>
      <c r="I2" s="11"/>
      <c r="J2" s="11"/>
      <c r="K2" s="11"/>
      <c r="L2" s="12"/>
      <c r="M2" s="12"/>
      <c r="O2" s="9" t="s">
        <v>36</v>
      </c>
      <c r="P2" s="9"/>
      <c r="Q2" s="9" t="s">
        <v>38</v>
      </c>
      <c r="R2" s="9"/>
      <c r="S2" s="9" t="s">
        <v>35</v>
      </c>
      <c r="T2" s="9"/>
      <c r="U2" s="9" t="s">
        <v>37</v>
      </c>
      <c r="V2" s="9"/>
    </row>
    <row r="3" spans="1:25" s="1" customFormat="1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G3" s="1" t="s">
        <v>5</v>
      </c>
      <c r="H3" s="1" t="s">
        <v>33</v>
      </c>
      <c r="I3" s="1" t="s">
        <v>6</v>
      </c>
      <c r="J3" s="1" t="s">
        <v>7</v>
      </c>
      <c r="K3" s="1" t="s">
        <v>8</v>
      </c>
      <c r="N3" s="5"/>
      <c r="O3" s="1" t="s">
        <v>6</v>
      </c>
      <c r="P3" s="5" t="s">
        <v>40</v>
      </c>
      <c r="Q3" s="1" t="s">
        <v>6</v>
      </c>
      <c r="R3" s="5" t="s">
        <v>40</v>
      </c>
      <c r="S3" s="1" t="s">
        <v>6</v>
      </c>
      <c r="T3" s="5" t="s">
        <v>40</v>
      </c>
      <c r="U3" s="1" t="s">
        <v>6</v>
      </c>
      <c r="V3" s="5" t="s">
        <v>40</v>
      </c>
      <c r="W3" s="5"/>
      <c r="X3" s="5"/>
      <c r="Y3" s="5"/>
    </row>
    <row r="4" spans="1:25">
      <c r="A4" t="s">
        <v>30</v>
      </c>
      <c r="B4" s="2">
        <f>abs_btm</f>
        <v>994.10771989253271</v>
      </c>
      <c r="C4" s="3" t="s">
        <v>9</v>
      </c>
      <c r="D4">
        <f xml:space="preserve"> fat_oil + fuel_gas</f>
        <v>994.10771998397399</v>
      </c>
      <c r="E4" t="b">
        <f>B4=D4</f>
        <v>0</v>
      </c>
      <c r="G4" s="2" t="s">
        <v>10</v>
      </c>
      <c r="H4">
        <f t="array" ref="H4">I4:K4</f>
        <v>91.084944772470465</v>
      </c>
      <c r="I4">
        <v>91.084944772470465</v>
      </c>
      <c r="N4" s="16" t="s">
        <v>10</v>
      </c>
      <c r="O4">
        <v>91.069947715497904</v>
      </c>
      <c r="Q4">
        <v>91.301790093787133</v>
      </c>
      <c r="S4">
        <v>99.920351064541805</v>
      </c>
      <c r="U4">
        <v>91.084944772470465</v>
      </c>
      <c r="V4" s="4"/>
      <c r="W4" s="4"/>
      <c r="X4" s="4"/>
      <c r="Y4" s="4"/>
    </row>
    <row r="5" spans="1:25">
      <c r="A5" t="s">
        <v>31</v>
      </c>
      <c r="B5" s="2">
        <f>abs_ovhd</f>
        <v>90.209590770850923</v>
      </c>
      <c r="C5" s="3" t="s">
        <v>9</v>
      </c>
      <c r="D5">
        <f>(bypass+treat_gas)</f>
        <v>90.20959077102485</v>
      </c>
      <c r="E5" t="b">
        <f t="shared" ref="E5:E10" si="0">B5=D5</f>
        <v>0</v>
      </c>
      <c r="G5" s="2" t="s">
        <v>11</v>
      </c>
      <c r="H5">
        <f t="array" ref="H5">I5:K5</f>
        <v>0.20959080041517705</v>
      </c>
      <c r="I5">
        <v>0.20959080041517705</v>
      </c>
      <c r="N5" s="16" t="s">
        <v>11</v>
      </c>
      <c r="O5">
        <v>2.689561068715195E-3</v>
      </c>
      <c r="Q5">
        <v>0</v>
      </c>
      <c r="S5">
        <v>3.9464495983054321E-2</v>
      </c>
      <c r="U5">
        <v>0.20959080041517705</v>
      </c>
      <c r="V5" s="4"/>
      <c r="W5" s="4"/>
      <c r="X5" s="4"/>
      <c r="Y5" s="4"/>
    </row>
    <row r="6" spans="1:25">
      <c r="A6" t="s">
        <v>32</v>
      </c>
      <c r="B6">
        <f>condensate + fat_oil</f>
        <v>1485.4022554752687</v>
      </c>
      <c r="C6" s="3" t="s">
        <v>9</v>
      </c>
      <c r="D6">
        <f xml:space="preserve"> recycle</f>
        <v>1485.4022555574188</v>
      </c>
      <c r="E6" t="b">
        <f t="shared" si="0"/>
        <v>0</v>
      </c>
      <c r="G6" s="2" t="s">
        <v>12</v>
      </c>
      <c r="H6">
        <f t="array" ref="H6">I6:K6</f>
        <v>994.10771989253271</v>
      </c>
      <c r="I6">
        <v>994.10771989253271</v>
      </c>
      <c r="N6" s="16" t="s">
        <v>12</v>
      </c>
      <c r="O6">
        <v>994.28133633519167</v>
      </c>
      <c r="Q6">
        <v>994.63984821695806</v>
      </c>
      <c r="S6">
        <v>952.40007520436416</v>
      </c>
      <c r="U6">
        <v>994.10771989253271</v>
      </c>
      <c r="V6" s="4"/>
      <c r="W6" s="4"/>
      <c r="X6" s="4"/>
      <c r="Y6" s="4"/>
    </row>
    <row r="7" spans="1:25">
      <c r="A7" t="s">
        <v>28</v>
      </c>
      <c r="B7">
        <f>lean_oil + sep_ovhd</f>
        <v>1485.4022556191312</v>
      </c>
      <c r="C7" s="3" t="s">
        <v>9</v>
      </c>
      <c r="D7">
        <f>recycle</f>
        <v>1485.4022555574188</v>
      </c>
      <c r="E7" t="b">
        <f t="shared" si="0"/>
        <v>0</v>
      </c>
      <c r="G7" s="2" t="s">
        <v>13</v>
      </c>
      <c r="H7">
        <f t="array" ref="H7">I7:K7</f>
        <v>1485.4022555574188</v>
      </c>
      <c r="I7" s="4">
        <v>1485.4022555574188</v>
      </c>
      <c r="J7" s="4">
        <v>30</v>
      </c>
      <c r="K7" s="4">
        <v>1450</v>
      </c>
      <c r="N7" s="16" t="s">
        <v>13</v>
      </c>
      <c r="O7" s="13">
        <v>1485.3543293786161</v>
      </c>
      <c r="P7" s="14">
        <f>ABS(($K7-O7)/$J7/O$22)</f>
        <v>0.49557503716891688</v>
      </c>
      <c r="Q7" s="13">
        <v>1485.9414922928574</v>
      </c>
      <c r="R7" s="14">
        <f>ABS(($K7-Q7)/$J7/Q$22)</f>
        <v>0.50380552232204168</v>
      </c>
      <c r="S7" s="13">
        <v>1452.3521060248277</v>
      </c>
      <c r="T7" s="14">
        <f>ABS(($K7-S7)/$J7/S$22)</f>
        <v>3.2970361796319028E-2</v>
      </c>
      <c r="U7" s="13">
        <v>1485.4022555574188</v>
      </c>
      <c r="V7" s="14">
        <f>ABS(($K7-U7)/$J7/U$22)</f>
        <v>0.49624683658525381</v>
      </c>
      <c r="W7" s="4"/>
      <c r="X7" s="4"/>
      <c r="Y7" s="4"/>
    </row>
    <row r="8" spans="1:25">
      <c r="A8" t="s">
        <v>27</v>
      </c>
      <c r="B8">
        <f>lean_oil + sour_gas</f>
        <v>1084.3173109217901</v>
      </c>
      <c r="C8" s="3" t="s">
        <v>9</v>
      </c>
      <c r="D8">
        <f xml:space="preserve"> (abs_btm + abs_ovhd)</f>
        <v>1084.3173106633835</v>
      </c>
      <c r="E8" t="b">
        <f t="shared" si="0"/>
        <v>0</v>
      </c>
      <c r="G8" s="2" t="s">
        <v>14</v>
      </c>
      <c r="H8">
        <f t="array" ref="H8">I8:K8</f>
        <v>984.31731087778815</v>
      </c>
      <c r="I8">
        <v>984.31731087778815</v>
      </c>
      <c r="J8">
        <v>20</v>
      </c>
      <c r="K8">
        <v>1000</v>
      </c>
      <c r="N8" s="16" t="s">
        <v>14</v>
      </c>
      <c r="O8">
        <v>984.28401262597265</v>
      </c>
      <c r="P8">
        <f>ABS(($K8-O8)/$J8/O$22)</f>
        <v>0.33044542905715457</v>
      </c>
      <c r="Q8">
        <v>984.63975632883421</v>
      </c>
      <c r="R8">
        <f>ABS(($K8-Q8)/$J8/Q$22)</f>
        <v>0.32296553754739543</v>
      </c>
      <c r="S8">
        <v>999.00877246853156</v>
      </c>
      <c r="T8">
        <f t="shared" ref="T8" si="1">ABS(($K8-S8)/$J8/S$22)</f>
        <v>2.0841618100983249E-2</v>
      </c>
      <c r="U8">
        <v>984.31731087778815</v>
      </c>
      <c r="V8">
        <f t="shared" ref="V8" si="2">ABS(($K8-U8)/$J8/U$22)</f>
        <v>0.32974529772934447</v>
      </c>
      <c r="W8" s="4"/>
      <c r="X8" s="4"/>
      <c r="Y8" s="4"/>
    </row>
    <row r="9" spans="1:25">
      <c r="A9" t="s">
        <v>29</v>
      </c>
      <c r="B9">
        <f>bypass + sep_ovhd</f>
        <v>591.08494471195286</v>
      </c>
      <c r="C9" s="3" t="s">
        <v>9</v>
      </c>
      <c r="D9">
        <f xml:space="preserve"> acid_gas + condensate</f>
        <v>591.08494473737278</v>
      </c>
      <c r="E9" t="b">
        <f t="shared" si="0"/>
        <v>0</v>
      </c>
      <c r="G9" s="2" t="s">
        <v>15</v>
      </c>
      <c r="H9">
        <f t="array" ref="H9">I9:K9</f>
        <v>90.209590770850923</v>
      </c>
      <c r="I9">
        <v>90.209590770850923</v>
      </c>
      <c r="N9" s="16" t="s">
        <v>15</v>
      </c>
      <c r="O9">
        <v>90.002675417396205</v>
      </c>
      <c r="Q9">
        <v>89.99994062285117</v>
      </c>
      <c r="S9">
        <v>146.60815847675303</v>
      </c>
      <c r="U9">
        <v>90.209590770850923</v>
      </c>
      <c r="W9" s="4"/>
      <c r="X9" s="4"/>
      <c r="Y9" s="4"/>
    </row>
    <row r="10" spans="1:25">
      <c r="A10" t="s">
        <v>16</v>
      </c>
      <c r="B10" s="4">
        <f>sour_gas</f>
        <v>100.00000004400185</v>
      </c>
      <c r="C10" s="7" t="s">
        <v>9</v>
      </c>
      <c r="D10" s="8">
        <f xml:space="preserve"> (treat_gas + acid_gas + fuel_gas)</f>
        <v>100.0000000464932</v>
      </c>
      <c r="E10" t="b">
        <f t="shared" si="0"/>
        <v>0</v>
      </c>
      <c r="G10" s="2" t="s">
        <v>17</v>
      </c>
      <c r="H10">
        <f t="array" ref="H10">I10:K10</f>
        <v>985.40225551036644</v>
      </c>
      <c r="I10">
        <v>985.40225551036644</v>
      </c>
      <c r="N10" s="16" t="s">
        <v>17</v>
      </c>
      <c r="O10">
        <v>985.3539747405888</v>
      </c>
      <c r="Q10">
        <v>985.94160568653706</v>
      </c>
      <c r="S10">
        <v>952.360429398468</v>
      </c>
      <c r="U10">
        <v>985.40225551036644</v>
      </c>
      <c r="W10" s="4"/>
      <c r="X10" s="4"/>
      <c r="Y10" s="4"/>
    </row>
    <row r="11" spans="1:25">
      <c r="A11" s="2"/>
      <c r="G11" s="2" t="s">
        <v>18</v>
      </c>
      <c r="H11">
        <f t="array" ref="H11">I11:K11</f>
        <v>501.08494474134312</v>
      </c>
      <c r="I11">
        <v>501.08494474134312</v>
      </c>
      <c r="J11">
        <v>10</v>
      </c>
      <c r="K11">
        <v>505</v>
      </c>
      <c r="N11" s="16" t="s">
        <v>18</v>
      </c>
      <c r="O11">
        <v>501.07031652185032</v>
      </c>
      <c r="P11">
        <f>ABS(($K11-O11)/$J11/O$22)</f>
        <v>0.16525158898282075</v>
      </c>
      <c r="Q11">
        <v>501.3017359455618</v>
      </c>
      <c r="R11">
        <f>ABS(($K11-Q11)/$J11/Q$22)</f>
        <v>0.15551990761396442</v>
      </c>
      <c r="S11">
        <v>453.34333353796154</v>
      </c>
      <c r="T11">
        <f t="shared" ref="T11" si="3">ABS(($K11-S11)/$J11/S$22)</f>
        <v>2.1722732280786214</v>
      </c>
      <c r="U11">
        <v>501.08494474134312</v>
      </c>
      <c r="V11">
        <f t="shared" ref="V11" si="4">ABS(($K11-U11)/$J11/U$22)</f>
        <v>0.16463644108894659</v>
      </c>
      <c r="W11" s="4"/>
      <c r="X11" s="4"/>
      <c r="Y11" s="4"/>
    </row>
    <row r="12" spans="1:25">
      <c r="A12" s="2"/>
      <c r="G12" s="2" t="s">
        <v>19</v>
      </c>
      <c r="H12">
        <f t="array" ref="H12">I12:K12</f>
        <v>100.00000004400185</v>
      </c>
      <c r="I12">
        <v>100.00000004400185</v>
      </c>
      <c r="J12">
        <v>2</v>
      </c>
      <c r="K12">
        <v>100</v>
      </c>
      <c r="N12" s="16" t="s">
        <v>19</v>
      </c>
      <c r="O12">
        <v>99.999999046582417</v>
      </c>
      <c r="P12">
        <f>ABS(($K12-O12)/$J12/O$22)</f>
        <v>2.0046623531934079E-7</v>
      </c>
      <c r="Q12">
        <v>100.00003248541283</v>
      </c>
      <c r="R12">
        <f>ABS(($K12-Q12)/$J12/Q$22)</f>
        <v>6.8304051953680775E-6</v>
      </c>
      <c r="S12">
        <v>99.999461224048872</v>
      </c>
      <c r="T12">
        <f t="shared" ref="T12" si="5">ABS(($K12-S12)/$J12/S$22)</f>
        <v>1.1328340122643361E-4</v>
      </c>
      <c r="U12">
        <v>100.00000004400185</v>
      </c>
      <c r="V12">
        <f t="shared" ref="V12" si="6">ABS(($K12-U12)/$J12/U$22)</f>
        <v>9.2518593989926518E-9</v>
      </c>
      <c r="W12" s="4"/>
      <c r="X12" s="4"/>
      <c r="Y12" s="4"/>
    </row>
    <row r="13" spans="1:25">
      <c r="A13" s="2"/>
      <c r="G13" s="2" t="s">
        <v>20</v>
      </c>
      <c r="H13">
        <f t="array" ref="H13">I13:K13</f>
        <v>8.7054644736075595</v>
      </c>
      <c r="I13">
        <v>8.7054644736075595</v>
      </c>
      <c r="N13" s="16" t="s">
        <v>20</v>
      </c>
      <c r="O13">
        <v>8.927361803667031</v>
      </c>
      <c r="Q13">
        <v>8.6982424150617277</v>
      </c>
      <c r="S13">
        <v>3.9645675798845266E-2</v>
      </c>
      <c r="U13">
        <v>8.7054644736075595</v>
      </c>
      <c r="W13" s="4"/>
      <c r="X13" s="4"/>
      <c r="Y13" s="4"/>
    </row>
    <row r="14" spans="1:25">
      <c r="A14" s="2"/>
      <c r="G14" s="2" t="s">
        <v>21</v>
      </c>
      <c r="H14">
        <f t="array" ref="H14">I14:K14</f>
        <v>499.99999996490232</v>
      </c>
      <c r="I14">
        <v>499.99999996490232</v>
      </c>
      <c r="J14">
        <v>10</v>
      </c>
      <c r="K14">
        <v>500</v>
      </c>
      <c r="N14" s="16" t="s">
        <v>21</v>
      </c>
      <c r="O14">
        <v>500.00035477029752</v>
      </c>
      <c r="P14">
        <f>ABS(($K14-O14)/$J14/O$22)</f>
        <v>1.4918849244481369E-5</v>
      </c>
      <c r="Q14">
        <v>499.99988644066354</v>
      </c>
      <c r="R14">
        <f>ABS(($K14-Q14)/$J14/Q$22)</f>
        <v>4.775412802938945E-6</v>
      </c>
      <c r="S14">
        <v>499.99167635360487</v>
      </c>
      <c r="T14">
        <f t="shared" ref="T14" si="7">ABS(($K14-S14)/$J14/S$22)</f>
        <v>3.5002712065081176E-4</v>
      </c>
      <c r="U14">
        <v>499.99999996490232</v>
      </c>
      <c r="V14">
        <f t="shared" ref="V14" si="8">ABS(($K14-U14)/$J14/U$22)</f>
        <v>1.4759326567169509E-9</v>
      </c>
      <c r="W14" s="4"/>
      <c r="X14" s="4"/>
      <c r="Y14" s="4"/>
    </row>
    <row r="15" spans="1:25">
      <c r="G15" s="2" t="s">
        <v>22</v>
      </c>
      <c r="H15">
        <f t="array" ref="H15">I15:K15</f>
        <v>89.999999970609679</v>
      </c>
      <c r="I15">
        <v>89.999999970609679</v>
      </c>
      <c r="J15">
        <v>2</v>
      </c>
      <c r="K15">
        <v>90</v>
      </c>
      <c r="N15" s="16" t="s">
        <v>22</v>
      </c>
      <c r="O15">
        <v>89.999985859545532</v>
      </c>
      <c r="P15">
        <f>ABS(($K15-O15)/$J15/O$22)</f>
        <v>2.9731816604758849E-6</v>
      </c>
      <c r="Q15">
        <v>89.999940615772204</v>
      </c>
      <c r="R15">
        <f>ABS(($K15-Q15)/$J15/Q$22)</f>
        <v>1.248616848972021E-5</v>
      </c>
      <c r="S15">
        <v>146.56869395364077</v>
      </c>
      <c r="T15">
        <f t="shared" ref="T15" si="9">ABS(($K15-S15)/$J15/S$22)</f>
        <v>11.894172411722607</v>
      </c>
      <c r="U15">
        <v>89.999999970609679</v>
      </c>
      <c r="V15">
        <f t="shared" ref="V15" si="10">ABS(($K15-U15)/$J15/U$22)</f>
        <v>6.1796291234760366E-9</v>
      </c>
      <c r="W15" s="4"/>
      <c r="X15" s="4"/>
      <c r="Y15" s="4"/>
    </row>
    <row r="16" spans="1:25">
      <c r="N16" s="4"/>
      <c r="O16" s="10" t="s">
        <v>41</v>
      </c>
      <c r="P16" s="10"/>
      <c r="Q16" s="10"/>
      <c r="R16" s="10"/>
      <c r="S16" s="10"/>
      <c r="T16" s="10"/>
      <c r="U16" s="10"/>
      <c r="V16" s="10"/>
      <c r="W16" s="4"/>
      <c r="X16" s="4"/>
      <c r="Y16" s="4"/>
    </row>
    <row r="17" spans="14:25">
      <c r="N17" s="1" t="s">
        <v>34</v>
      </c>
      <c r="O17" s="4">
        <f>Gaussian(I4:I15)</f>
        <v>2.1607208648796585</v>
      </c>
      <c r="P17" s="4"/>
      <c r="Q17">
        <f>Fair(10,I4:I15)</f>
        <v>1.0128884774680533</v>
      </c>
      <c r="S17" s="4">
        <f>Lorentzian(I4:I15)</f>
        <v>5.2831966360380065</v>
      </c>
      <c r="T17" s="4"/>
      <c r="U17">
        <f>ContaminatedGaussian(10,0.05,I4:I15)</f>
        <v>19.251193780262049</v>
      </c>
      <c r="V17" s="4"/>
      <c r="W17" s="4"/>
      <c r="X17" s="4"/>
      <c r="Y17" s="4"/>
    </row>
    <row r="18" spans="14:25">
      <c r="N18" s="1" t="s">
        <v>23</v>
      </c>
      <c r="O18">
        <f>MIN($O$17)</f>
        <v>2.1607208648796585</v>
      </c>
      <c r="Q18">
        <f>MIN($Q$17)</f>
        <v>1.0128884774680533</v>
      </c>
      <c r="S18">
        <f>MAX($S$17)</f>
        <v>5.2831966360380065</v>
      </c>
      <c r="U18">
        <f>MAX($U$17)</f>
        <v>19.251193780262049</v>
      </c>
      <c r="V18" s="4"/>
      <c r="W18" s="4"/>
      <c r="X18" s="4"/>
      <c r="Y18" s="4"/>
    </row>
    <row r="19" spans="14:25">
      <c r="N19" s="1" t="s">
        <v>24</v>
      </c>
      <c r="O19">
        <f>COUNT($I$4:$I$15)</f>
        <v>12</v>
      </c>
      <c r="Q19">
        <f>COUNT($I$4:$I$15)</f>
        <v>12</v>
      </c>
      <c r="S19">
        <f>COUNT($I$4:$I$15)</f>
        <v>12</v>
      </c>
      <c r="U19">
        <f>COUNT($I$4:$I$15)</f>
        <v>12</v>
      </c>
      <c r="V19" s="6"/>
      <c r="W19" s="4"/>
      <c r="X19" s="4"/>
      <c r="Y19" s="4"/>
    </row>
    <row r="20" spans="14:25">
      <c r="N20" s="1" t="s">
        <v>25</v>
      </c>
      <c r="O20" t="b">
        <f t="array" ref="O20">$B$4:$B$9='Reconciliation Problem'!$D$4:$D$9</f>
        <v>0</v>
      </c>
      <c r="Q20" t="b">
        <f t="array" ref="Q20">$B$4:$B$9='Reconciliation Problem'!$D$4:$D$9</f>
        <v>0</v>
      </c>
      <c r="S20" t="b">
        <f t="array" ref="S20">$B$4:$B$9='Reconciliation Problem'!$D$4:$D$9</f>
        <v>0</v>
      </c>
      <c r="U20" t="b">
        <f t="array" ref="U20">$B$4:$B$9='Reconciliation Problem'!$D$4:$D$9</f>
        <v>0</v>
      </c>
      <c r="V20" s="4"/>
      <c r="W20" s="4"/>
      <c r="X20" s="4"/>
      <c r="Y20" s="4"/>
    </row>
    <row r="21" spans="14:25">
      <c r="N21" s="1" t="s">
        <v>26</v>
      </c>
      <c r="O21">
        <f>{100,100,0.000001,0.05,FALSE,FALSE,FALSE,2,2,1,0.0001,TRUE}</f>
        <v>100</v>
      </c>
      <c r="Q21">
        <f>{100,100,0.000001,0.05,FALSE,FALSE,FALSE,2,2,1,0.0001,TRUE}</f>
        <v>100</v>
      </c>
      <c r="S21">
        <f>{100,100,0.000001,0.05,FALSE,FALSE,FALSE,2,2,1,0.0001,TRUE}</f>
        <v>100</v>
      </c>
      <c r="U21">
        <f>{100,100,0.000001,0.05,FALSE,FALSE,FALSE,2,2,1,0.0001,TRUE}</f>
        <v>100</v>
      </c>
      <c r="V21" s="4"/>
      <c r="W21" s="4"/>
      <c r="X21" s="4"/>
      <c r="Y21" s="4"/>
    </row>
    <row r="22" spans="14:25">
      <c r="N22" s="1" t="s">
        <v>39</v>
      </c>
      <c r="O22">
        <f>ErrorCriticalLevel(COUNT($K4:$K15),0.1)</f>
        <v>2.3780004188390631</v>
      </c>
      <c r="Q22">
        <f>ErrorCriticalLevel(COUNT($K4:$K15),0.1)</f>
        <v>2.3780004188390631</v>
      </c>
      <c r="S22">
        <f>ErrorCriticalLevel(COUNT($K4:$K15),0.1)</f>
        <v>2.3780004188390631</v>
      </c>
      <c r="U22">
        <f>ErrorCriticalLevel(COUNT($K4:$K15),0.1)</f>
        <v>2.3780004188390631</v>
      </c>
    </row>
    <row r="32" spans="14:25">
      <c r="O32" s="2"/>
    </row>
    <row r="33" spans="15:15">
      <c r="O33" s="2"/>
    </row>
    <row r="34" spans="15:15">
      <c r="O34" s="2"/>
    </row>
    <row r="35" spans="15:15">
      <c r="O35" s="2"/>
    </row>
    <row r="36" spans="15:15">
      <c r="O36" s="2"/>
    </row>
    <row r="37" spans="15:15">
      <c r="O37" s="2"/>
    </row>
    <row r="38" spans="15:15">
      <c r="O38" s="2"/>
    </row>
    <row r="39" spans="15:15">
      <c r="O39" s="2"/>
    </row>
    <row r="40" spans="15:15">
      <c r="O40" s="2"/>
    </row>
    <row r="41" spans="15:15">
      <c r="O41" s="2"/>
    </row>
    <row r="42" spans="15:15">
      <c r="O42" s="2"/>
    </row>
    <row r="43" spans="15:15">
      <c r="O43" s="2"/>
    </row>
  </sheetData>
  <mergeCells count="8">
    <mergeCell ref="A1:E2"/>
    <mergeCell ref="G1:K2"/>
    <mergeCell ref="O2:P2"/>
    <mergeCell ref="Q2:R2"/>
    <mergeCell ref="S2:T2"/>
    <mergeCell ref="U2:V2"/>
    <mergeCell ref="O16:V16"/>
    <mergeCell ref="O1:V1"/>
  </mergeCells>
  <pageMargins left="0.7" right="0.7" top="0.75" bottom="0.75" header="0.3" footer="0.3"/>
  <pageSetup paperSize="262" scale="4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showGridLines="0" workbookViewId="0">
      <selection sqref="A1:M27"/>
    </sheetView>
  </sheetViews>
  <sheetFormatPr defaultRowHeight="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</vt:i4>
      </vt:variant>
    </vt:vector>
  </HeadingPairs>
  <TitlesOfParts>
    <vt:vector size="14" baseType="lpstr">
      <vt:lpstr>Reconciliation Problem</vt:lpstr>
      <vt:lpstr>Sheet1</vt:lpstr>
      <vt:lpstr>abs_btm</vt:lpstr>
      <vt:lpstr>abs_ovhd</vt:lpstr>
      <vt:lpstr>acid_gas</vt:lpstr>
      <vt:lpstr>bypass</vt:lpstr>
      <vt:lpstr>condensate</vt:lpstr>
      <vt:lpstr>fat_oil</vt:lpstr>
      <vt:lpstr>fuel_gas</vt:lpstr>
      <vt:lpstr>lean_oil</vt:lpstr>
      <vt:lpstr>recycle</vt:lpstr>
      <vt:lpstr>sep_ovhd</vt:lpstr>
      <vt:lpstr>sour_gas</vt:lpstr>
      <vt:lpstr>treat_gas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PeterL</dc:creator>
  <cp:lastModifiedBy>PeterL</cp:lastModifiedBy>
  <dcterms:created xsi:type="dcterms:W3CDTF">2012-01-02T15:28:26Z</dcterms:created>
  <dcterms:modified xsi:type="dcterms:W3CDTF">2012-01-04T00:42:08Z</dcterms:modified>
</cp:coreProperties>
</file>